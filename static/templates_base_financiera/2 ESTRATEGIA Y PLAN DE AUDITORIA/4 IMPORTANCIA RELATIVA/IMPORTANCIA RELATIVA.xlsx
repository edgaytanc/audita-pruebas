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4 IMPORTANCIA RELATIVA\"/>
    </mc:Choice>
  </mc:AlternateContent>
  <xr:revisionPtr revIDLastSave="0" documentId="13_ncr:1_{CF6ADB3C-7838-4904-BCBB-2CBC835C2FF4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IR INGRESOS TOTALES" sheetId="1" r:id="rId2"/>
    <sheet name="IR ACTIVOS TOTALES" sheetId="4" r:id="rId3"/>
    <sheet name="IR UTILIDAD ANTES DE IMPUEST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" l="1"/>
  <c r="F26" i="3" s="1"/>
  <c r="D33" i="1" a="1"/>
  <c r="D33" i="1" s="1"/>
  <c r="E26" i="4"/>
  <c r="F26" i="4" s="1"/>
  <c r="E26" i="1"/>
  <c r="F26" i="1" l="1"/>
  <c r="D36" i="1" a="1"/>
  <c r="D36" i="1" s="1"/>
  <c r="D37" i="1" a="1"/>
  <c r="D37" i="1" s="1"/>
  <c r="D35" i="1" a="1"/>
  <c r="D35" i="1" s="1"/>
  <c r="D34" i="1" a="1"/>
  <c r="D34" i="1" s="1"/>
  <c r="F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<sst xmlns="http://schemas.openxmlformats.org/spreadsheetml/2006/main" count="155" uniqueCount="80">
  <si>
    <t>Elaboró:</t>
  </si>
  <si>
    <t>Fecha:</t>
  </si>
  <si>
    <t>Revisó:</t>
  </si>
  <si>
    <t>Monto en Q.</t>
  </si>
  <si>
    <t>Objetivo:</t>
  </si>
  <si>
    <t xml:space="preserve">El objetivo principal de la NIA 320 es proporcionar a los auditores orientación sobre cómo evaluar la importancia relativa </t>
  </si>
  <si>
    <t>en la planificación y realización de una auditoría de estados financieros.</t>
  </si>
  <si>
    <t>La evaluación de la importancia relativa en la ejecución del trabajo requiere la aplicación del juicio profesional.</t>
  </si>
  <si>
    <t xml:space="preserve">El auditor debe analizar la materialidad tanto para la totalidad de los estados financieros como para segmentos específicos, </t>
  </si>
  <si>
    <t>como transacciones particulares, saldos contables o información a revelar, en cada fase de la auditoría.</t>
  </si>
  <si>
    <t xml:space="preserve">Opciones para calcular la Importancia Relativa: </t>
  </si>
  <si>
    <t>X  Porcentaje de Materialidad</t>
  </si>
  <si>
    <t>Datos Hipotéticos</t>
  </si>
  <si>
    <t>Pasos para Calcular la Materialidad:</t>
  </si>
  <si>
    <t>·         Materialidad = 10,000,000 x 2% = 200,000</t>
  </si>
  <si>
    <t xml:space="preserve">Cuentas por Cobrar" con un saldo de 1,500,000 </t>
  </si>
  <si>
    <t>1. Calcular la Materialidad</t>
  </si>
  <si>
    <t xml:space="preserve">Importancia Relativa de Cuentas por Cobrar </t>
  </si>
  <si>
    <t xml:space="preserve">Importancia Relativa de Inventario </t>
  </si>
  <si>
    <t>2,500,000 / 200,000 =  12.5</t>
  </si>
  <si>
    <t>La Importancia Acumulada es la suma de las Importancias Relativas de todas las cuentas seleccionadas</t>
  </si>
  <si>
    <t>1,500,000 / 200,000 = 7.5</t>
  </si>
  <si>
    <t>Importancia Acumulada =  7.5 + 12.5 =   20</t>
  </si>
  <si>
    <t>10,000,000 / 200,000 = 50</t>
  </si>
  <si>
    <t>2. Calcular la Importancia Relativa de Cada Cuenta</t>
  </si>
  <si>
    <t xml:space="preserve">Importancia Relativa de Ingresos = (Ingresos Totales / Materialidad Global) </t>
  </si>
  <si>
    <t>Inventario con un saldo de 2,500,000.00</t>
  </si>
  <si>
    <t>3. Identificar la Importancia Relativa de las Partidas Individuales</t>
  </si>
  <si>
    <t>4. Evaluar la Importancia Acumulada</t>
  </si>
  <si>
    <t>5. Comparar con la Materialidad</t>
  </si>
  <si>
    <t>de la materialidad global, y las cuentas seleccionadas en la auditoría han sido cubiertas de manera adecuada.</t>
  </si>
  <si>
    <t xml:space="preserve">                                                                                  IMPORTANCIA RELATIVA</t>
  </si>
  <si>
    <t>Calculos:</t>
  </si>
  <si>
    <t>F)</t>
  </si>
  <si>
    <t>Conclusión:</t>
  </si>
  <si>
    <t xml:space="preserve">En conclusión, la consideración cuidadosa de la importancia relativa en ingresos contribuye a la emisión de informes de auditoría confiables y sólidos, </t>
  </si>
  <si>
    <t>brindando a los usuarios de los estados financieros la certeza de que se ha aplicado un juicio profesional adecuado para garantizar la fiabilidad de la información financiera presentada.</t>
  </si>
  <si>
    <t>·         Porcentaje de Materialidad: 1.5%</t>
  </si>
  <si>
    <t>2. Utilidad antes de impuestos:</t>
  </si>
  <si>
    <t>3. Calcular la Importancia Relativa de Utilidad antes de impuestos</t>
  </si>
  <si>
    <t>500,000 / 150,000 = 3.33</t>
  </si>
  <si>
    <t>Materialidad = 10,000,000 x 1.5% = 150,000.00</t>
  </si>
  <si>
    <t xml:space="preserve">La importancia relativa de la Utilidad antes de impuestos es 3.33, lo cual es mayor que 1 (equivalente al 100%). </t>
  </si>
  <si>
    <t>brindando a los usuarios de los estados financieros la certeza de que se ha aplicado un juicio profesional adecuado para garantizar</t>
  </si>
  <si>
    <t>la fiabilidad de la información financiera presentada.</t>
  </si>
  <si>
    <r>
      <t xml:space="preserve">Esto indica que la Utilidad antes de impuestos supera la materialidad y </t>
    </r>
    <r>
      <rPr>
        <b/>
        <sz val="12"/>
        <color theme="1"/>
        <rFont val="Arial"/>
        <family val="2"/>
      </rPr>
      <t>es una partida significativa en los estados financieros.</t>
    </r>
  </si>
  <si>
    <r>
      <t xml:space="preserve">Importancia Acumulada de todas las cuentas seleccionadas es 20. Esto indicaría que la auditoría </t>
    </r>
    <r>
      <rPr>
        <b/>
        <sz val="12"/>
        <color theme="1"/>
        <rFont val="Arial"/>
        <family val="2"/>
      </rPr>
      <t xml:space="preserve">está dentro de los límites </t>
    </r>
  </si>
  <si>
    <r>
      <rPr>
        <b/>
        <sz val="12"/>
        <color theme="1"/>
        <rFont val="Arial"/>
        <family val="2"/>
      </rPr>
      <t>4</t>
    </r>
    <r>
      <rPr>
        <b/>
        <sz val="7"/>
        <color theme="1"/>
        <rFont val="Arial"/>
        <family val="2"/>
      </rPr>
      <t>.</t>
    </r>
    <r>
      <rPr>
        <sz val="7"/>
        <color theme="1"/>
        <rFont val="Arial"/>
        <family val="2"/>
      </rPr>
      <t xml:space="preserve">  </t>
    </r>
    <r>
      <rPr>
        <b/>
        <sz val="12"/>
        <color theme="1"/>
        <rFont val="Arial"/>
        <family val="2"/>
      </rPr>
      <t>Evaluación:</t>
    </r>
  </si>
  <si>
    <t>·         Ingresos Totales: 10,000,000</t>
  </si>
  <si>
    <t>UTILIDAD ANTES DE IMPUESTOS</t>
  </si>
  <si>
    <t>2. Aplicación a Activos Totales:</t>
  </si>
  <si>
    <t>Materialidad = 1,000,000 x 5% = 50,000.00</t>
  </si>
  <si>
    <t>4. Evaluación:</t>
  </si>
  <si>
    <t>Esto indica que los Activos Totales superan la materialidad y son una partida significativa en los estados financieros.</t>
  </si>
  <si>
    <t>Activos Totales 5,000,000.00  /   50,000.00   =   100%</t>
  </si>
  <si>
    <t xml:space="preserve">La importancia relativa de los Activos Totales es 100%, lo cual es mayor que 1 (equivalente al 100%). </t>
  </si>
  <si>
    <t>PL-4</t>
  </si>
  <si>
    <t>Importancia Relativa</t>
  </si>
  <si>
    <t>Cuenta</t>
  </si>
  <si>
    <t>Saldo</t>
  </si>
  <si>
    <t>Importancia Acumuluda</t>
  </si>
  <si>
    <t>Materialidad</t>
  </si>
  <si>
    <t>Importancia Relativa de las Partidas Individuales</t>
  </si>
  <si>
    <t>Aplicación a Activos Totales</t>
  </si>
  <si>
    <t>PA-7</t>
  </si>
  <si>
    <t>Entidad XXXXXXX</t>
  </si>
  <si>
    <t xml:space="preserve">Auditoría de Estados Financieros </t>
  </si>
  <si>
    <t>Del 01 de Enero al 31 de Diciembre de 2023</t>
  </si>
  <si>
    <t>IMPORTANCIA RELATIVA</t>
  </si>
  <si>
    <t>·         Activos Totales: 1,000,000</t>
  </si>
  <si>
    <t>ACTIVOS TOTALES</t>
  </si>
  <si>
    <t>Ingresos Totales</t>
  </si>
  <si>
    <t>·         UTILIDAD ANTES DE IMPUESTOS: 500.000,00</t>
  </si>
  <si>
    <t>Base</t>
  </si>
  <si>
    <t>[NOMBRE_AUDITOR]</t>
  </si>
  <si>
    <t>[FECHA_ELABORACION]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</si>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</sst>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5"/>
      <color theme="0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12"/>
      <color rgb="FFC00000"/>
      <name val="Arial"/>
      <family val="2"/>
    </font>
    <font>
      <b/>
      <sz val="13"/>
      <color theme="1"/>
      <name val="Arial"/>
      <family val="2"/>
    </font>
    <font>
      <b/>
      <sz val="12"/>
      <color rgb="FFC00000"/>
      <name val="Arial"/>
      <family val="2"/>
    </font>
    <font>
      <sz val="11"/>
      <color theme="1"/>
      <name val="Calibri"/>
      <family val="2"/>
    </font>
    <font>
      <b/>
      <sz val="7"/>
      <color theme="1"/>
      <name val="Arial"/>
      <family val="2"/>
    </font>
    <font>
      <b/>
      <sz val="9"/>
      <color theme="0"/>
      <name val="Arial"/>
      <family val="2"/>
    </font>
    <font>
      <b/>
      <sz val="16"/>
      <color rgb="FFC00000"/>
      <name val="Calibri"/>
      <family val="2"/>
      <scheme val="minor"/>
    </font>
    <font>
      <u/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shrinkToFi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shrinkToFit="1"/>
    </xf>
    <xf numFmtId="0" fontId="8" fillId="0" borderId="1" xfId="0" applyFont="1" applyBorder="1"/>
    <xf numFmtId="0" fontId="8" fillId="0" borderId="0" xfId="0" applyFont="1"/>
    <xf numFmtId="14" fontId="9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0" xfId="0" applyFont="1" applyFill="1"/>
    <xf numFmtId="0" fontId="7" fillId="0" borderId="0" xfId="0" applyFont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left" vertical="center" indent="1"/>
    </xf>
    <xf numFmtId="43" fontId="13" fillId="2" borderId="1" xfId="1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2"/>
    </xf>
    <xf numFmtId="0" fontId="16" fillId="0" borderId="0" xfId="0" applyFont="1"/>
    <xf numFmtId="0" fontId="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2" xfId="0" applyFont="1" applyBorder="1"/>
    <xf numFmtId="0" fontId="5" fillId="0" borderId="2" xfId="0" applyFont="1" applyBorder="1"/>
    <xf numFmtId="0" fontId="14" fillId="0" borderId="0" xfId="0" applyFont="1"/>
    <xf numFmtId="0" fontId="5" fillId="0" borderId="0" xfId="0" applyFont="1"/>
    <xf numFmtId="0" fontId="19" fillId="0" borderId="0" xfId="0" applyFont="1"/>
    <xf numFmtId="4" fontId="7" fillId="0" borderId="0" xfId="0" applyNumberFormat="1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23" fillId="0" borderId="0" xfId="0" applyFont="1"/>
    <xf numFmtId="43" fontId="13" fillId="2" borderId="3" xfId="1" applyFont="1" applyFill="1" applyBorder="1" applyAlignment="1">
      <alignment vertical="center"/>
    </xf>
    <xf numFmtId="9" fontId="7" fillId="2" borderId="3" xfId="0" applyNumberFormat="1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2" fontId="7" fillId="2" borderId="3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left" vertical="center"/>
    </xf>
    <xf numFmtId="43" fontId="13" fillId="2" borderId="3" xfId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2" fontId="13" fillId="2" borderId="3" xfId="1" applyNumberFormat="1" applyFont="1" applyFill="1" applyBorder="1" applyAlignment="1">
      <alignment horizontal="left" vertical="center"/>
    </xf>
    <xf numFmtId="9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2" fontId="7" fillId="2" borderId="3" xfId="0" applyNumberFormat="1" applyFont="1" applyFill="1" applyBorder="1" applyAlignment="1">
      <alignment horizontal="left"/>
    </xf>
    <xf numFmtId="0" fontId="25" fillId="0" borderId="0" xfId="0" applyFont="1" applyAlignment="1">
      <alignment vertical="center"/>
    </xf>
    <xf numFmtId="0" fontId="11" fillId="2" borderId="3" xfId="0" applyFont="1" applyFill="1" applyBorder="1" applyAlignment="1">
      <alignment horizontal="left" vertical="center"/>
    </xf>
    <xf numFmtId="10" fontId="7" fillId="2" borderId="3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2" fontId="24" fillId="0" borderId="3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0" borderId="1" xfId="0" applyFont="1" applyBorder="1"/>
  </cellXfs>
  <cellStyles count="2">
    <cellStyle name="Millares" xfId="1" builtinId="3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 diagonalUp="0" diagonalDown="0"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374EE-CF1D-4D20-AB85-7AD3778E0CA5}" name="Tabla2" displayName="Tabla2" ref="B32:D37" totalsRowShown="0" headerRowDxfId="28" tableBorderDxfId="27">
  <autoFilter ref="B32:D37" xr:uid="{CC5374EE-CF1D-4D20-AB85-7AD3778E0CA5}"/>
  <tableColumns count="3">
    <tableColumn id="1" xr3:uid="{B3FC672E-421E-4F62-A901-EE84DFC86EF6}" name="Cuenta" dataDxfId="26"/>
    <tableColumn id="2" xr3:uid="{95BB6566-FA28-48F5-9FFB-0D7E501608CE}" name="Saldo" dataDxfId="25" dataCellStyle="Millares"/>
    <tableColumn id="3" xr3:uid="{71C628F6-087F-48EA-A36F-0CDEB752DF7D}" name="Importancia Relativa" dataDxfId="24">
      <calculatedColumnFormula array="1">Tabla2[[#This Row],[Saldo]]/irIngresosTotales[Materialidad]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8DE9FE-A4E5-4A74-884A-2CA4B67BD669}" name="irIngresosTotales" displayName="irIngresosTotales" ref="B25:F26" totalsRowShown="0" headerRowDxfId="23" dataDxfId="22" tableBorderDxfId="21">
  <autoFilter ref="B25:F26" xr:uid="{268DE9FE-A4E5-4A74-884A-2CA4B67BD669}"/>
  <tableColumns count="5">
    <tableColumn id="1" xr3:uid="{4455E91C-3F82-4DD0-B5A2-0F1D9615F93D}" name="Base" dataDxfId="20"/>
    <tableColumn id="2" xr3:uid="{34D8FD7D-4AD0-4970-9426-3CC6A2320C8F}" name="Monto en Q." dataDxfId="19" dataCellStyle="Millares"/>
    <tableColumn id="3" xr3:uid="{B9256D92-810E-464A-845F-5EA2F8B8E0F0}" name="X  Porcentaje de Materialidad" dataDxfId="18"/>
    <tableColumn id="4" xr3:uid="{06BC3EBF-E307-4080-97B9-A239F50820C1}" name="Materialidad" dataDxfId="17">
      <calculatedColumnFormula>C26*D26</calculatedColumnFormula>
    </tableColumn>
    <tableColumn id="5" xr3:uid="{72B33021-BFDC-4861-9E89-F1B4FB590F44}" name="Importancia Relativa" dataDxfId="16">
      <calculatedColumnFormula>C26/E26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EAFE62-FA8F-4E95-87B4-B78300931DF7}" name="irActivosTotales" displayName="irActivosTotales" ref="B25:F26" totalsRowShown="0" headerRowDxfId="15" dataDxfId="14" tableBorderDxfId="13">
  <autoFilter ref="B25:F26" xr:uid="{0EEAFE62-FA8F-4E95-87B4-B78300931DF7}"/>
  <tableColumns count="5">
    <tableColumn id="1" xr3:uid="{4193858A-E91A-4F23-AB35-E254DF525A58}" name="Base" dataDxfId="12"/>
    <tableColumn id="2" xr3:uid="{5BAA2333-4638-4FF8-9F65-70AE9A469F30}" name="Monto en Q." dataDxfId="11" dataCellStyle="Millares"/>
    <tableColumn id="3" xr3:uid="{0963B51B-4CBD-4ED9-A947-88EC5073437E}" name="X  Porcentaje de Materialidad" dataDxfId="10"/>
    <tableColumn id="4" xr3:uid="{4EA93036-B987-41B1-A3BE-CB85F77CC797}" name="Materialidad" dataDxfId="9">
      <calculatedColumnFormula>irActivosTotales[[#This Row],[Monto en Q.]]*irActivosTotales[[#This Row],[X  Porcentaje de Materialidad]]</calculatedColumnFormula>
    </tableColumn>
    <tableColumn id="5" xr3:uid="{8CFA7962-7E1F-4630-A3B6-4F4E89447C20}" name="Aplicación a Activos Totales" dataDxfId="8">
      <calculatedColumnFormula>irActivosTotales[[#This Row],[Monto en Q.]]/irActivosTotales[[#This Row],[Materialidad]]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16299B-9704-4D22-A1BD-FBBC3668A27B}" name="irUtilidadImpuestoTotales" displayName="irUtilidadImpuestoTotales" ref="B25:F26" totalsRowShown="0" headerRowDxfId="7" dataDxfId="6" tableBorderDxfId="5">
  <autoFilter ref="B25:F26" xr:uid="{9116299B-9704-4D22-A1BD-FBBC3668A27B}"/>
  <tableColumns count="5">
    <tableColumn id="1" xr3:uid="{C6F294A9-FE1B-42A1-A680-3BDD823E5E22}" name="Base" dataDxfId="4"/>
    <tableColumn id="2" xr3:uid="{521ECA19-B74F-4167-9EDF-61BC03191EBF}" name="Monto en Q." dataDxfId="3" dataCellStyle="Millares"/>
    <tableColumn id="3" xr3:uid="{112F9319-1D08-4A95-B6FF-E38C58749F45}" name="X  Porcentaje de Materialidad" dataDxfId="2"/>
    <tableColumn id="4" xr3:uid="{3817F7A8-EEDC-445A-9961-2D3B8B27D94A}" name="Materialidad" dataDxfId="1">
      <calculatedColumnFormula>irUtilidadImpuestoTotales[[#This Row],[Monto en Q.]]*irUtilidadImpuestoTotales[[#This Row],[X  Porcentaje de Materialidad]]</calculatedColumnFormula>
    </tableColumn>
    <tableColumn id="5" xr3:uid="{1429984C-9DAC-4DB8-B6F8-BCC137D3F7FC}" name="Importancia Relativa" dataDxfId="0">
      <calculatedColumnFormula>irUtilidadImpuestoTotales[[#This Row],[Monto en Q.]]/irUtilidadImpuestoTotales[[#This Row],[Materialidad]]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7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8"/>
  <sheetViews>
    <sheetView tabSelected="1" zoomScaleNormal="100" workbookViewId="0">
      <selection activeCell="F80" sqref="F80"/>
    </sheetView>
  </sheetViews>
  <sheetFormatPr baseColWidth="10" defaultRowHeight="15.05" x14ac:dyDescent="0.3"/>
  <cols>
    <col min="2" max="2" width="32.6640625" customWidth="1"/>
    <col min="3" max="3" width="32.5546875" customWidth="1"/>
    <col min="4" max="4" width="34.5546875" customWidth="1"/>
    <col min="5" max="5" width="30.33203125" customWidth="1"/>
    <col min="6" max="6" width="29" customWidth="1"/>
    <col min="7" max="7" width="41.5546875" customWidth="1"/>
    <col min="9" max="9" width="22.33203125" bestFit="1" customWidth="1"/>
  </cols>
  <sheetData>
    <row r="2" spans="2:9" x14ac:dyDescent="0.3">
      <c r="B2" s="56"/>
      <c r="C2" s="2"/>
    </row>
    <row r="3" spans="2:9" ht="20.3" x14ac:dyDescent="0.3">
      <c r="B3" s="56"/>
      <c r="C3" s="2"/>
      <c r="H3" s="37" t="s">
        <v>56</v>
      </c>
      <c r="I3" s="1"/>
    </row>
    <row r="4" spans="2:9" x14ac:dyDescent="0.3">
      <c r="B4" s="56"/>
      <c r="C4" s="2"/>
      <c r="I4" s="1"/>
    </row>
    <row r="5" spans="2:9" x14ac:dyDescent="0.3">
      <c r="B5" s="2"/>
      <c r="C5" s="2"/>
      <c r="H5" s="3" t="s">
        <v>0</v>
      </c>
      <c r="I5" s="64" t="s">
        <v>74</v>
      </c>
    </row>
    <row r="6" spans="2:9" ht="16.55" customHeight="1" x14ac:dyDescent="0.3">
      <c r="B6" s="4"/>
      <c r="C6" s="2"/>
      <c r="H6" s="3" t="s">
        <v>1</v>
      </c>
      <c r="I6" s="64" t="s">
        <v>75</v>
      </c>
    </row>
    <row r="7" spans="2:9" x14ac:dyDescent="0.3">
      <c r="B7" s="61" t="s">
        <v>65</v>
      </c>
      <c r="C7" s="61"/>
      <c r="D7" s="61"/>
      <c r="E7" s="10"/>
      <c r="H7" s="11" t="s">
        <v>2</v>
      </c>
      <c r="I7" s="64" t="s">
        <v>76</v>
      </c>
    </row>
    <row r="8" spans="2:9" x14ac:dyDescent="0.3">
      <c r="B8" s="61" t="s">
        <v>66</v>
      </c>
      <c r="C8" s="61"/>
      <c r="D8" s="61"/>
      <c r="E8" s="10"/>
      <c r="H8" s="11" t="s">
        <v>1</v>
      </c>
      <c r="I8" s="64" t="s">
        <v>77</v>
      </c>
    </row>
    <row r="9" spans="2:9" x14ac:dyDescent="0.3">
      <c r="B9" s="61" t="s">
        <v>67</v>
      </c>
      <c r="C9" s="61"/>
      <c r="D9" s="61"/>
      <c r="E9" s="10"/>
      <c r="F9" s="12"/>
      <c r="G9" s="12"/>
      <c r="H9" s="13"/>
    </row>
    <row r="10" spans="2:9" ht="15.75" x14ac:dyDescent="0.3">
      <c r="B10" s="62" t="s">
        <v>68</v>
      </c>
      <c r="C10" s="62"/>
      <c r="D10" s="62"/>
      <c r="E10" s="22"/>
      <c r="F10" s="22"/>
      <c r="G10" s="22"/>
      <c r="H10" s="22"/>
    </row>
    <row r="11" spans="2:9" ht="15.75" x14ac:dyDescent="0.3">
      <c r="B11" s="5"/>
      <c r="C11" s="5"/>
      <c r="D11" s="5"/>
      <c r="E11" s="5"/>
      <c r="F11" s="5"/>
      <c r="G11" s="5"/>
      <c r="H11" s="5"/>
    </row>
    <row r="12" spans="2:9" ht="15.75" x14ac:dyDescent="0.3">
      <c r="B12" s="5"/>
      <c r="C12" s="5"/>
      <c r="D12" s="5"/>
      <c r="E12" s="5"/>
      <c r="F12" s="5"/>
      <c r="G12" s="5"/>
      <c r="H12" s="5"/>
    </row>
    <row r="13" spans="2:9" ht="17.05" x14ac:dyDescent="0.3">
      <c r="B13" s="27" t="s">
        <v>4</v>
      </c>
      <c r="C13" s="8"/>
      <c r="D13" s="8"/>
      <c r="E13" s="8"/>
      <c r="F13" s="8"/>
      <c r="G13" s="5"/>
      <c r="H13" s="5"/>
    </row>
    <row r="14" spans="2:9" ht="15.75" x14ac:dyDescent="0.3">
      <c r="B14" s="9" t="s">
        <v>5</v>
      </c>
      <c r="C14" s="8"/>
      <c r="D14" s="8"/>
      <c r="E14" s="8"/>
      <c r="F14" s="8"/>
      <c r="G14" s="5"/>
      <c r="H14" s="5"/>
    </row>
    <row r="15" spans="2:9" ht="15.75" x14ac:dyDescent="0.3">
      <c r="B15" s="14" t="s">
        <v>6</v>
      </c>
      <c r="C15" s="8"/>
      <c r="D15" s="8"/>
      <c r="E15" s="8"/>
      <c r="F15" s="8"/>
      <c r="G15" s="5"/>
      <c r="H15" s="5"/>
    </row>
    <row r="16" spans="2:9" ht="15.75" x14ac:dyDescent="0.3">
      <c r="B16" s="8"/>
      <c r="C16" s="8"/>
      <c r="D16" s="8"/>
      <c r="E16" s="8"/>
      <c r="F16" s="8"/>
      <c r="G16" s="5"/>
      <c r="H16" s="5"/>
    </row>
    <row r="17" spans="2:8" ht="15.75" x14ac:dyDescent="0.3">
      <c r="B17" s="9" t="s">
        <v>7</v>
      </c>
      <c r="C17" s="8"/>
      <c r="D17" s="8"/>
      <c r="E17" s="8"/>
      <c r="F17" s="8"/>
      <c r="G17" s="5"/>
      <c r="H17" s="5"/>
    </row>
    <row r="18" spans="2:8" ht="15.75" x14ac:dyDescent="0.3">
      <c r="B18" s="14"/>
      <c r="C18" s="8"/>
      <c r="D18" s="8"/>
      <c r="E18" s="8"/>
      <c r="F18" s="8"/>
      <c r="G18" s="5"/>
      <c r="H18" s="5"/>
    </row>
    <row r="19" spans="2:8" ht="15.75" x14ac:dyDescent="0.3">
      <c r="B19" s="8" t="s">
        <v>32</v>
      </c>
      <c r="C19" s="8"/>
      <c r="D19" s="8"/>
      <c r="E19" s="8"/>
      <c r="F19" s="8"/>
      <c r="G19" s="5"/>
      <c r="H19" s="5"/>
    </row>
    <row r="20" spans="2:8" ht="15.75" x14ac:dyDescent="0.3">
      <c r="B20" s="9" t="s">
        <v>8</v>
      </c>
      <c r="C20" s="14"/>
      <c r="D20" s="14"/>
      <c r="E20" s="14"/>
      <c r="F20" s="14"/>
      <c r="G20" s="14"/>
      <c r="H20" s="14"/>
    </row>
    <row r="21" spans="2:8" ht="15.75" x14ac:dyDescent="0.3">
      <c r="B21" s="14" t="s">
        <v>9</v>
      </c>
      <c r="C21" s="14"/>
      <c r="D21" s="14"/>
      <c r="E21" s="14"/>
      <c r="F21" s="14"/>
      <c r="G21" s="14"/>
      <c r="H21" s="14"/>
    </row>
    <row r="22" spans="2:8" ht="15.75" x14ac:dyDescent="0.3">
      <c r="B22" s="8"/>
      <c r="C22" s="8"/>
      <c r="F22" s="8"/>
      <c r="G22" s="5"/>
      <c r="H22" s="5"/>
    </row>
    <row r="23" spans="2:8" ht="31.6" customHeight="1" x14ac:dyDescent="0.3">
      <c r="B23" s="63" t="s">
        <v>10</v>
      </c>
      <c r="C23" s="63"/>
      <c r="D23" s="63"/>
      <c r="F23" s="8"/>
      <c r="G23" s="5"/>
      <c r="H23" s="5"/>
    </row>
    <row r="24" spans="2:8" ht="15.75" x14ac:dyDescent="0.3">
      <c r="F24" s="8"/>
      <c r="G24" s="5"/>
      <c r="H24" s="5"/>
    </row>
    <row r="25" spans="2:8" ht="22.6" customHeight="1" x14ac:dyDescent="0.3">
      <c r="B25" s="18" t="s">
        <v>73</v>
      </c>
      <c r="C25" s="18" t="s">
        <v>3</v>
      </c>
      <c r="D25" s="18" t="s">
        <v>11</v>
      </c>
      <c r="E25" s="18" t="s">
        <v>61</v>
      </c>
      <c r="F25" s="18" t="s">
        <v>57</v>
      </c>
      <c r="G25" s="5"/>
      <c r="H25" s="5"/>
    </row>
    <row r="26" spans="2:8" ht="20.149999999999999" customHeight="1" x14ac:dyDescent="0.3">
      <c r="B26" s="44"/>
      <c r="C26" s="45">
        <v>0</v>
      </c>
      <c r="D26" s="40">
        <v>0.02</v>
      </c>
      <c r="E26" s="43">
        <f>C26*D26</f>
        <v>0</v>
      </c>
      <c r="F26" s="42" t="e">
        <f>C26/E26</f>
        <v>#DIV/0!</v>
      </c>
      <c r="H26" s="5"/>
    </row>
    <row r="27" spans="2:8" ht="20.149999999999999" customHeight="1" x14ac:dyDescent="0.3"/>
    <row r="28" spans="2:8" ht="20.149999999999999" customHeight="1" x14ac:dyDescent="0.3">
      <c r="G28" s="5"/>
      <c r="H28" s="5"/>
    </row>
    <row r="29" spans="2:8" ht="15.75" customHeight="1" x14ac:dyDescent="0.3">
      <c r="B29" s="63" t="s">
        <v>62</v>
      </c>
      <c r="C29" s="63"/>
      <c r="D29" s="63"/>
      <c r="E29" s="8"/>
      <c r="F29" s="59" t="s">
        <v>60</v>
      </c>
      <c r="G29" s="5"/>
      <c r="H29" s="5"/>
    </row>
    <row r="30" spans="2:8" ht="15.75" customHeight="1" x14ac:dyDescent="0.3">
      <c r="B30" s="63"/>
      <c r="C30" s="63"/>
      <c r="D30" s="63"/>
      <c r="E30" s="8"/>
      <c r="F30" s="59"/>
      <c r="G30" s="5"/>
      <c r="H30" s="5"/>
    </row>
    <row r="31" spans="2:8" ht="15.75" customHeight="1" x14ac:dyDescent="0.3">
      <c r="E31" s="9"/>
      <c r="F31" s="60"/>
    </row>
    <row r="32" spans="2:8" ht="15.75" x14ac:dyDescent="0.3">
      <c r="B32" s="18" t="s">
        <v>58</v>
      </c>
      <c r="C32" s="18" t="s">
        <v>59</v>
      </c>
      <c r="D32" s="18" t="s">
        <v>57</v>
      </c>
      <c r="E32" s="9"/>
      <c r="F32" s="57" t="e">
        <f>SUM(Tabla2[Importancia Relativa])</f>
        <v>#DIV/0!</v>
      </c>
    </row>
    <row r="33" spans="2:8" ht="15.75" x14ac:dyDescent="0.3">
      <c r="B33" s="19"/>
      <c r="C33" s="20"/>
      <c r="D33" s="41" t="e" cm="1">
        <f t="array" ref="D33">Tabla2[[#This Row],[Saldo]]/irIngresosTotales[Materialidad]</f>
        <v>#DIV/0!</v>
      </c>
      <c r="E33" s="9"/>
      <c r="F33" s="58"/>
    </row>
    <row r="34" spans="2:8" ht="15.75" x14ac:dyDescent="0.3">
      <c r="B34" s="19"/>
      <c r="C34" s="20"/>
      <c r="D34" s="41" t="e" cm="1">
        <f t="array" ref="D34">Tabla2[[#This Row],[Saldo]]/irIngresosTotales[Materialidad]</f>
        <v>#DIV/0!</v>
      </c>
      <c r="E34" s="9"/>
      <c r="G34" s="6"/>
      <c r="H34" s="6"/>
    </row>
    <row r="35" spans="2:8" ht="15.75" x14ac:dyDescent="0.3">
      <c r="B35" s="19"/>
      <c r="C35" s="39"/>
      <c r="D35" s="43" t="e" cm="1">
        <f t="array" ref="D35">Tabla2[[#This Row],[Saldo]]/irIngresosTotales[Materialidad]</f>
        <v>#DIV/0!</v>
      </c>
      <c r="E35" s="9"/>
      <c r="G35" s="6"/>
      <c r="H35" s="6"/>
    </row>
    <row r="36" spans="2:8" ht="15.75" x14ac:dyDescent="0.3">
      <c r="B36" s="19"/>
      <c r="C36" s="20"/>
      <c r="D36" s="41" t="e" cm="1">
        <f t="array" ref="D36">Tabla2[[#This Row],[Saldo]]/irIngresosTotales[Materialidad]</f>
        <v>#DIV/0!</v>
      </c>
      <c r="E36" s="9"/>
      <c r="F36" s="9"/>
      <c r="G36" s="6"/>
      <c r="H36" s="6"/>
    </row>
    <row r="37" spans="2:8" ht="17.2" customHeight="1" x14ac:dyDescent="0.3">
      <c r="B37" s="46"/>
      <c r="C37" s="20"/>
      <c r="D37" s="41" t="e" cm="1">
        <f t="array" ref="D37">Tabla2[[#This Row],[Saldo]]/irIngresosTotales[Materialidad]</f>
        <v>#DIV/0!</v>
      </c>
      <c r="E37" s="9"/>
      <c r="F37" s="9"/>
      <c r="G37" s="6"/>
      <c r="H37" s="6"/>
    </row>
    <row r="38" spans="2:8" ht="21.8" customHeight="1" x14ac:dyDescent="0.3">
      <c r="F38" s="9"/>
      <c r="G38" s="6"/>
      <c r="H38" s="6"/>
    </row>
    <row r="39" spans="2:8" ht="23.25" customHeight="1" x14ac:dyDescent="0.3">
      <c r="B39" s="21" t="s">
        <v>71</v>
      </c>
      <c r="C39" s="9"/>
      <c r="G39" s="6"/>
      <c r="H39" s="6"/>
    </row>
    <row r="40" spans="2:8" ht="18.850000000000001" customHeight="1" x14ac:dyDescent="0.3">
      <c r="B40" s="22" t="s">
        <v>12</v>
      </c>
      <c r="C40" s="9"/>
      <c r="G40" s="6"/>
      <c r="H40" s="6"/>
    </row>
    <row r="41" spans="2:8" ht="23.25" customHeight="1" x14ac:dyDescent="0.3">
      <c r="B41" s="24" t="s">
        <v>48</v>
      </c>
      <c r="C41" s="9"/>
      <c r="G41" s="6"/>
      <c r="H41" s="6"/>
    </row>
    <row r="42" spans="2:8" ht="23.25" customHeight="1" x14ac:dyDescent="0.3">
      <c r="B42" s="24" t="s">
        <v>37</v>
      </c>
      <c r="C42" s="9"/>
      <c r="G42" s="6"/>
      <c r="H42" s="6"/>
    </row>
    <row r="43" spans="2:8" ht="23.25" customHeight="1" x14ac:dyDescent="0.3">
      <c r="B43" s="28" t="s">
        <v>13</v>
      </c>
      <c r="C43" s="25"/>
      <c r="D43" s="38"/>
      <c r="F43" s="9"/>
      <c r="G43" s="6"/>
      <c r="H43" s="6"/>
    </row>
    <row r="44" spans="2:8" ht="15.75" x14ac:dyDescent="0.3">
      <c r="B44" s="26" t="s">
        <v>16</v>
      </c>
      <c r="C44" s="9"/>
      <c r="E44" s="9"/>
      <c r="F44" s="9"/>
      <c r="G44" s="6"/>
      <c r="H44" s="6"/>
    </row>
    <row r="45" spans="2:8" ht="28.5" customHeight="1" x14ac:dyDescent="0.3">
      <c r="B45" s="17" t="s">
        <v>14</v>
      </c>
      <c r="C45" s="9"/>
      <c r="E45" s="38"/>
      <c r="F45" s="9"/>
      <c r="H45" s="6"/>
    </row>
    <row r="46" spans="2:8" ht="15.75" x14ac:dyDescent="0.3">
      <c r="B46" s="17"/>
      <c r="C46" s="9"/>
      <c r="D46" s="9"/>
      <c r="F46" s="9"/>
      <c r="H46" s="6"/>
    </row>
    <row r="47" spans="2:8" ht="15.75" x14ac:dyDescent="0.3">
      <c r="B47" s="26" t="s">
        <v>24</v>
      </c>
      <c r="C47" s="9"/>
      <c r="D47" s="9"/>
      <c r="F47" s="9"/>
      <c r="H47" s="6"/>
    </row>
    <row r="48" spans="2:8" ht="15.75" x14ac:dyDescent="0.3">
      <c r="B48" s="23" t="s">
        <v>25</v>
      </c>
      <c r="C48" s="9"/>
      <c r="D48" s="9"/>
      <c r="E48" s="9"/>
      <c r="F48" s="9"/>
      <c r="H48" s="6"/>
    </row>
    <row r="49" spans="2:8" ht="15.75" x14ac:dyDescent="0.3">
      <c r="B49" s="24" t="s">
        <v>23</v>
      </c>
      <c r="C49" s="9"/>
      <c r="D49" s="9"/>
      <c r="G49" s="6"/>
      <c r="H49" s="6"/>
    </row>
    <row r="50" spans="2:8" ht="15.75" x14ac:dyDescent="0.3">
      <c r="B50" s="17"/>
      <c r="C50" s="9"/>
      <c r="D50" s="9"/>
      <c r="G50" s="6"/>
      <c r="H50" s="6"/>
    </row>
    <row r="51" spans="2:8" ht="15.75" x14ac:dyDescent="0.3">
      <c r="B51" s="26" t="s">
        <v>27</v>
      </c>
      <c r="C51" s="9"/>
      <c r="D51" s="9"/>
      <c r="G51" s="6"/>
      <c r="H51" s="6"/>
    </row>
    <row r="52" spans="2:8" ht="15.75" x14ac:dyDescent="0.3">
      <c r="B52" s="9" t="s">
        <v>15</v>
      </c>
      <c r="C52" s="9"/>
      <c r="D52" s="9"/>
      <c r="G52" s="6"/>
      <c r="H52" s="6"/>
    </row>
    <row r="53" spans="2:8" ht="15.75" x14ac:dyDescent="0.3">
      <c r="B53" s="23" t="s">
        <v>17</v>
      </c>
      <c r="C53" s="9"/>
      <c r="D53" s="9"/>
      <c r="E53" s="9"/>
      <c r="F53" s="9"/>
      <c r="G53" s="6"/>
      <c r="H53" s="6"/>
    </row>
    <row r="54" spans="2:8" ht="23.25" customHeight="1" x14ac:dyDescent="0.3">
      <c r="B54" s="17" t="s">
        <v>21</v>
      </c>
      <c r="C54" s="9"/>
      <c r="D54" s="9"/>
      <c r="E54" s="9"/>
      <c r="F54" s="9"/>
      <c r="G54" s="6"/>
      <c r="H54" s="6"/>
    </row>
    <row r="55" spans="2:8" ht="27" customHeight="1" x14ac:dyDescent="0.3">
      <c r="B55" s="12"/>
      <c r="C55" s="12"/>
      <c r="D55" s="9"/>
      <c r="E55" s="9"/>
      <c r="F55" s="9"/>
      <c r="G55" s="6"/>
      <c r="H55" s="6"/>
    </row>
    <row r="56" spans="2:8" ht="15.75" x14ac:dyDescent="0.3">
      <c r="B56" s="9" t="s">
        <v>26</v>
      </c>
      <c r="C56" s="12"/>
      <c r="D56" s="9"/>
      <c r="E56" s="9"/>
      <c r="F56" s="9"/>
      <c r="G56" s="6"/>
      <c r="H56" s="6"/>
    </row>
    <row r="57" spans="2:8" ht="15.75" x14ac:dyDescent="0.3">
      <c r="B57" s="23" t="s">
        <v>18</v>
      </c>
      <c r="C57" s="9"/>
      <c r="D57" s="9"/>
      <c r="E57" s="9"/>
      <c r="F57" s="9"/>
      <c r="G57" s="6"/>
      <c r="H57" s="6"/>
    </row>
    <row r="58" spans="2:8" ht="24.05" customHeight="1" x14ac:dyDescent="0.3">
      <c r="B58" s="17" t="s">
        <v>19</v>
      </c>
      <c r="C58" s="9"/>
      <c r="D58" s="9"/>
      <c r="E58" s="9"/>
      <c r="G58" s="6"/>
      <c r="H58" s="6"/>
    </row>
    <row r="59" spans="2:8" ht="15.75" x14ac:dyDescent="0.3">
      <c r="B59" s="17"/>
      <c r="C59" s="9"/>
      <c r="D59" s="9"/>
      <c r="E59" s="9"/>
      <c r="G59" s="6"/>
      <c r="H59" s="6"/>
    </row>
    <row r="60" spans="2:8" ht="15.75" x14ac:dyDescent="0.3">
      <c r="B60" s="26" t="s">
        <v>28</v>
      </c>
      <c r="C60" s="9"/>
      <c r="D60" s="9"/>
      <c r="E60" s="9"/>
      <c r="F60" s="9"/>
      <c r="G60" s="6"/>
      <c r="H60" s="6"/>
    </row>
    <row r="61" spans="2:8" ht="15.75" x14ac:dyDescent="0.3">
      <c r="B61" s="9" t="s">
        <v>20</v>
      </c>
      <c r="C61" s="9"/>
      <c r="D61" s="9"/>
      <c r="E61" s="9"/>
      <c r="F61" s="9"/>
    </row>
    <row r="62" spans="2:8" ht="15.75" x14ac:dyDescent="0.3">
      <c r="B62" s="23" t="s">
        <v>22</v>
      </c>
      <c r="C62" s="9"/>
      <c r="D62" s="9"/>
      <c r="E62" s="9"/>
      <c r="F62" s="9"/>
    </row>
    <row r="63" spans="2:8" ht="15.75" x14ac:dyDescent="0.3">
      <c r="B63" s="9"/>
      <c r="C63" s="9"/>
      <c r="D63" s="9"/>
      <c r="E63" s="9"/>
      <c r="F63" s="9"/>
    </row>
    <row r="64" spans="2:8" ht="15.75" x14ac:dyDescent="0.3">
      <c r="B64" s="26" t="s">
        <v>29</v>
      </c>
      <c r="C64" s="9"/>
      <c r="D64" s="9"/>
      <c r="E64" s="9"/>
      <c r="F64" s="9"/>
    </row>
    <row r="65" spans="2:8" ht="15.75" x14ac:dyDescent="0.3">
      <c r="B65" s="23" t="s">
        <v>46</v>
      </c>
      <c r="C65" s="9"/>
      <c r="D65" s="9"/>
      <c r="E65" s="12"/>
      <c r="F65" s="12"/>
    </row>
    <row r="66" spans="2:8" ht="15.75" x14ac:dyDescent="0.3">
      <c r="B66" s="9" t="s">
        <v>30</v>
      </c>
      <c r="C66" s="9"/>
      <c r="D66" s="9"/>
      <c r="E66" s="12"/>
    </row>
    <row r="67" spans="2:8" x14ac:dyDescent="0.3">
      <c r="B67" s="12"/>
      <c r="C67" s="12"/>
      <c r="D67" s="12"/>
    </row>
    <row r="68" spans="2:8" x14ac:dyDescent="0.3">
      <c r="B68" s="12"/>
      <c r="C68" s="12"/>
      <c r="D68" s="12"/>
    </row>
    <row r="69" spans="2:8" ht="15.75" x14ac:dyDescent="0.3">
      <c r="B69" s="22" t="s">
        <v>34</v>
      </c>
    </row>
    <row r="70" spans="2:8" ht="15.75" x14ac:dyDescent="0.3">
      <c r="B70" s="9" t="s">
        <v>35</v>
      </c>
    </row>
    <row r="71" spans="2:8" ht="15.75" x14ac:dyDescent="0.3">
      <c r="B71" s="9" t="s">
        <v>36</v>
      </c>
      <c r="G71" s="29"/>
      <c r="H71" s="30"/>
    </row>
    <row r="75" spans="2:8" x14ac:dyDescent="0.3">
      <c r="E75" s="29" t="s">
        <v>33</v>
      </c>
      <c r="F75" s="29"/>
    </row>
    <row r="76" spans="2:8" x14ac:dyDescent="0.3">
      <c r="E76" s="32" t="s">
        <v>79</v>
      </c>
    </row>
    <row r="77" spans="2:8" x14ac:dyDescent="0.3">
      <c r="B77" s="29" t="s">
        <v>33</v>
      </c>
      <c r="C77" s="29"/>
      <c r="D77" s="33"/>
    </row>
    <row r="78" spans="2:8" x14ac:dyDescent="0.3">
      <c r="B78" s="31" t="s">
        <v>78</v>
      </c>
    </row>
  </sheetData>
  <mergeCells count="9">
    <mergeCell ref="B2:B4"/>
    <mergeCell ref="F32:F33"/>
    <mergeCell ref="F29:F31"/>
    <mergeCell ref="B7:D7"/>
    <mergeCell ref="B8:D8"/>
    <mergeCell ref="B9:D9"/>
    <mergeCell ref="B10:D10"/>
    <mergeCell ref="B29:D30"/>
    <mergeCell ref="B23:D23"/>
  </mergeCells>
  <pageMargins left="0.70866141732283472" right="0.70866141732283472" top="0.74803149606299213" bottom="0.74803149606299213" header="0.31496062992125984" footer="0.31496062992125984"/>
  <pageSetup scale="70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1"/>
  <sheetViews>
    <sheetView topLeftCell="C41" workbookViewId="0">
      <selection activeCell="E54" sqref="E54"/>
    </sheetView>
  </sheetViews>
  <sheetFormatPr baseColWidth="10" defaultRowHeight="15.05" x14ac:dyDescent="0.3"/>
  <cols>
    <col min="2" max="2" width="32.6640625" customWidth="1"/>
    <col min="3" max="3" width="32.5546875" customWidth="1"/>
    <col min="4" max="4" width="33.44140625" customWidth="1"/>
    <col min="5" max="5" width="30.33203125" customWidth="1"/>
    <col min="6" max="6" width="47" customWidth="1"/>
    <col min="8" max="8" width="22.33203125" bestFit="1" customWidth="1"/>
  </cols>
  <sheetData>
    <row r="2" spans="2:8" x14ac:dyDescent="0.3">
      <c r="B2" s="2"/>
      <c r="C2" s="2"/>
    </row>
    <row r="3" spans="2:8" ht="20.3" x14ac:dyDescent="0.3">
      <c r="B3" s="56"/>
      <c r="C3" s="2"/>
      <c r="G3" s="37" t="s">
        <v>64</v>
      </c>
      <c r="H3" s="1"/>
    </row>
    <row r="4" spans="2:8" x14ac:dyDescent="0.3">
      <c r="B4" s="56"/>
      <c r="C4" s="2"/>
      <c r="H4" s="1"/>
    </row>
    <row r="5" spans="2:8" x14ac:dyDescent="0.3">
      <c r="B5" s="56"/>
      <c r="C5" s="2"/>
      <c r="G5" s="3" t="s">
        <v>0</v>
      </c>
      <c r="H5" s="64" t="s">
        <v>74</v>
      </c>
    </row>
    <row r="6" spans="2:8" ht="16.55" customHeight="1" x14ac:dyDescent="0.3">
      <c r="B6" s="4"/>
      <c r="C6" s="2"/>
      <c r="G6" s="3" t="s">
        <v>1</v>
      </c>
      <c r="H6" s="64" t="s">
        <v>75</v>
      </c>
    </row>
    <row r="7" spans="2:8" ht="15.75" x14ac:dyDescent="0.3">
      <c r="B7" s="8"/>
      <c r="C7" s="61" t="s">
        <v>65</v>
      </c>
      <c r="D7" s="61"/>
      <c r="E7" s="61"/>
      <c r="G7" s="11" t="s">
        <v>2</v>
      </c>
      <c r="H7" s="64" t="s">
        <v>76</v>
      </c>
    </row>
    <row r="8" spans="2:8" ht="15.75" x14ac:dyDescent="0.3">
      <c r="B8" s="8"/>
      <c r="C8" s="61" t="s">
        <v>66</v>
      </c>
      <c r="D8" s="61"/>
      <c r="E8" s="61"/>
      <c r="G8" s="11" t="s">
        <v>1</v>
      </c>
      <c r="H8" s="64" t="s">
        <v>77</v>
      </c>
    </row>
    <row r="9" spans="2:8" ht="15.75" x14ac:dyDescent="0.3">
      <c r="B9" s="8"/>
      <c r="C9" s="61" t="s">
        <v>67</v>
      </c>
      <c r="D9" s="61"/>
      <c r="E9" s="61"/>
      <c r="F9" s="12"/>
      <c r="G9" s="12"/>
      <c r="H9" s="13"/>
    </row>
    <row r="10" spans="2:8" ht="15.75" x14ac:dyDescent="0.3">
      <c r="B10" s="22" t="s">
        <v>31</v>
      </c>
      <c r="C10" s="62" t="s">
        <v>68</v>
      </c>
      <c r="D10" s="62"/>
      <c r="E10" s="62"/>
      <c r="F10" s="22"/>
      <c r="G10" s="22"/>
      <c r="H10" s="22"/>
    </row>
    <row r="11" spans="2:8" ht="15.75" x14ac:dyDescent="0.3">
      <c r="B11" s="5"/>
      <c r="C11" s="5"/>
      <c r="D11" s="5"/>
      <c r="E11" s="5"/>
      <c r="F11" s="5"/>
      <c r="G11" s="5"/>
      <c r="H11" s="5"/>
    </row>
    <row r="12" spans="2:8" ht="15.75" x14ac:dyDescent="0.3">
      <c r="B12" s="5"/>
      <c r="C12" s="5"/>
      <c r="D12" s="5"/>
      <c r="E12" s="5"/>
      <c r="F12" s="5"/>
      <c r="G12" s="5"/>
      <c r="H12" s="5"/>
    </row>
    <row r="13" spans="2:8" ht="17.05" x14ac:dyDescent="0.3">
      <c r="B13" s="27" t="s">
        <v>4</v>
      </c>
      <c r="C13" s="8"/>
      <c r="D13" s="8"/>
      <c r="E13" s="8"/>
      <c r="F13" s="8"/>
      <c r="G13" s="5"/>
      <c r="H13" s="5"/>
    </row>
    <row r="14" spans="2:8" ht="15.75" x14ac:dyDescent="0.3">
      <c r="B14" s="9" t="s">
        <v>5</v>
      </c>
      <c r="C14" s="8"/>
      <c r="D14" s="8"/>
      <c r="E14" s="8"/>
      <c r="F14" s="8"/>
      <c r="G14" s="5"/>
      <c r="H14" s="5"/>
    </row>
    <row r="15" spans="2:8" ht="15.75" x14ac:dyDescent="0.3">
      <c r="B15" s="14" t="s">
        <v>6</v>
      </c>
      <c r="C15" s="8"/>
      <c r="D15" s="8"/>
      <c r="E15" s="8"/>
      <c r="F15" s="8"/>
      <c r="G15" s="5"/>
      <c r="H15" s="5"/>
    </row>
    <row r="16" spans="2:8" ht="15.75" x14ac:dyDescent="0.3">
      <c r="B16" s="8"/>
      <c r="C16" s="8"/>
      <c r="D16" s="8"/>
      <c r="E16" s="8"/>
      <c r="F16" s="8"/>
      <c r="G16" s="5"/>
      <c r="H16" s="5"/>
    </row>
    <row r="17" spans="2:8" ht="15.75" x14ac:dyDescent="0.3">
      <c r="B17" s="9" t="s">
        <v>7</v>
      </c>
      <c r="C17" s="8"/>
      <c r="D17" s="8"/>
      <c r="E17" s="8"/>
      <c r="F17" s="8"/>
      <c r="G17" s="5"/>
      <c r="H17" s="5"/>
    </row>
    <row r="18" spans="2:8" ht="15.75" x14ac:dyDescent="0.3">
      <c r="B18" s="14"/>
      <c r="C18" s="8"/>
      <c r="D18" s="8"/>
      <c r="E18" s="8"/>
      <c r="F18" s="8"/>
      <c r="G18" s="5"/>
      <c r="H18" s="5"/>
    </row>
    <row r="19" spans="2:8" ht="15.75" x14ac:dyDescent="0.3">
      <c r="B19" s="8" t="s">
        <v>32</v>
      </c>
      <c r="C19" s="8"/>
      <c r="D19" s="8"/>
      <c r="E19" s="8"/>
      <c r="F19" s="8"/>
      <c r="G19" s="5"/>
      <c r="H19" s="5"/>
    </row>
    <row r="20" spans="2:8" ht="15.75" x14ac:dyDescent="0.3">
      <c r="B20" s="9" t="s">
        <v>8</v>
      </c>
      <c r="C20" s="14"/>
      <c r="D20" s="14"/>
      <c r="E20" s="14"/>
      <c r="F20" s="14"/>
      <c r="G20" s="14"/>
      <c r="H20" s="14"/>
    </row>
    <row r="21" spans="2:8" ht="15.75" x14ac:dyDescent="0.3">
      <c r="B21" s="14" t="s">
        <v>9</v>
      </c>
      <c r="C21" s="14"/>
      <c r="D21" s="14"/>
      <c r="E21" s="14"/>
      <c r="F21" s="14"/>
      <c r="G21" s="14"/>
      <c r="H21" s="14"/>
    </row>
    <row r="22" spans="2:8" ht="15.75" x14ac:dyDescent="0.3">
      <c r="B22" s="8"/>
      <c r="C22" s="8"/>
      <c r="H22" s="5"/>
    </row>
    <row r="23" spans="2:8" ht="19" x14ac:dyDescent="0.3">
      <c r="B23" s="15" t="s">
        <v>10</v>
      </c>
      <c r="C23" s="16"/>
      <c r="H23" s="5"/>
    </row>
    <row r="24" spans="2:8" ht="15.75" x14ac:dyDescent="0.3">
      <c r="H24" s="5"/>
    </row>
    <row r="25" spans="2:8" ht="22.6" customHeight="1" x14ac:dyDescent="0.3">
      <c r="B25" s="18" t="s">
        <v>73</v>
      </c>
      <c r="C25" s="18" t="s">
        <v>3</v>
      </c>
      <c r="D25" s="18" t="s">
        <v>11</v>
      </c>
      <c r="E25" s="18" t="s">
        <v>61</v>
      </c>
      <c r="F25" s="18" t="s">
        <v>63</v>
      </c>
      <c r="G25" s="5"/>
      <c r="H25" s="5"/>
    </row>
    <row r="26" spans="2:8" ht="20.149999999999999" customHeight="1" x14ac:dyDescent="0.3">
      <c r="B26" s="44"/>
      <c r="C26" s="48"/>
      <c r="D26" s="49">
        <v>0.05</v>
      </c>
      <c r="E26" s="50">
        <f>irActivosTotales[[#This Row],[Monto en Q.]]*irActivosTotales[[#This Row],[X  Porcentaje de Materialidad]]</f>
        <v>0</v>
      </c>
      <c r="F26" s="52" t="e">
        <f>irActivosTotales[[#This Row],[Monto en Q.]]/irActivosTotales[[#This Row],[Materialidad]]</f>
        <v>#DIV/0!</v>
      </c>
      <c r="H26" s="5"/>
    </row>
    <row r="27" spans="2:8" ht="20.149999999999999" customHeight="1" x14ac:dyDescent="0.3">
      <c r="C27" s="51"/>
      <c r="D27" s="51"/>
      <c r="E27" s="51"/>
      <c r="F27" s="8"/>
    </row>
    <row r="28" spans="2:8" ht="16.55" customHeight="1" x14ac:dyDescent="0.3">
      <c r="G28" s="9"/>
      <c r="H28" s="9"/>
    </row>
    <row r="29" spans="2:8" ht="15.75" x14ac:dyDescent="0.3">
      <c r="B29" s="21" t="s">
        <v>70</v>
      </c>
      <c r="C29" s="9"/>
      <c r="G29" s="9"/>
      <c r="H29" s="9"/>
    </row>
    <row r="30" spans="2:8" ht="15.75" x14ac:dyDescent="0.3">
      <c r="B30" s="22" t="s">
        <v>12</v>
      </c>
      <c r="C30" s="9"/>
      <c r="G30" s="9"/>
      <c r="H30" s="9"/>
    </row>
    <row r="31" spans="2:8" ht="24.05" customHeight="1" x14ac:dyDescent="0.3">
      <c r="B31" s="24" t="s">
        <v>69</v>
      </c>
      <c r="C31" s="9"/>
      <c r="G31" s="9"/>
      <c r="H31" s="9"/>
    </row>
    <row r="32" spans="2:8" ht="15.75" x14ac:dyDescent="0.3">
      <c r="B32" s="24" t="s">
        <v>37</v>
      </c>
      <c r="C32" s="9"/>
      <c r="H32" s="9"/>
    </row>
    <row r="33" spans="2:8" ht="15.75" x14ac:dyDescent="0.3">
      <c r="H33" s="9"/>
    </row>
    <row r="34" spans="2:8" ht="15.75" x14ac:dyDescent="0.3">
      <c r="B34" s="53" t="s">
        <v>13</v>
      </c>
      <c r="C34" s="9"/>
      <c r="D34" s="9"/>
      <c r="E34" s="9"/>
      <c r="F34" s="9"/>
      <c r="G34" s="9"/>
      <c r="H34" s="9"/>
    </row>
    <row r="35" spans="2:8" ht="15.75" x14ac:dyDescent="0.3">
      <c r="B35" s="26" t="s">
        <v>16</v>
      </c>
      <c r="C35" s="9"/>
      <c r="D35" s="9"/>
      <c r="E35" s="9"/>
      <c r="F35" s="9"/>
      <c r="G35" s="9"/>
      <c r="H35" s="9"/>
    </row>
    <row r="36" spans="2:8" ht="15.75" x14ac:dyDescent="0.3">
      <c r="B36" s="17" t="s">
        <v>51</v>
      </c>
      <c r="C36" s="9"/>
      <c r="D36" s="9"/>
      <c r="E36" s="9"/>
      <c r="F36" s="9"/>
      <c r="G36" s="9"/>
      <c r="H36" s="9"/>
    </row>
    <row r="37" spans="2:8" ht="20.3" customHeight="1" x14ac:dyDescent="0.3">
      <c r="B37" s="17"/>
      <c r="C37" s="9"/>
      <c r="D37" s="9"/>
      <c r="E37" s="9"/>
      <c r="F37" s="9"/>
      <c r="G37" s="9"/>
      <c r="H37" s="9"/>
    </row>
    <row r="38" spans="2:8" ht="21.8" customHeight="1" x14ac:dyDescent="0.3">
      <c r="B38" s="22" t="s">
        <v>50</v>
      </c>
      <c r="C38" s="9"/>
      <c r="D38" s="9"/>
      <c r="E38" s="9"/>
      <c r="F38" s="9"/>
      <c r="G38" s="9"/>
      <c r="H38" s="9"/>
    </row>
    <row r="39" spans="2:8" ht="23.25" customHeight="1" x14ac:dyDescent="0.3">
      <c r="B39" s="36" t="s">
        <v>54</v>
      </c>
      <c r="C39" s="9"/>
      <c r="D39" s="9"/>
      <c r="E39" s="9"/>
      <c r="F39" s="9"/>
      <c r="G39" s="9"/>
      <c r="H39" s="9"/>
    </row>
    <row r="40" spans="2:8" ht="18.850000000000001" customHeight="1" x14ac:dyDescent="0.3">
      <c r="B40" s="36"/>
      <c r="C40" s="9"/>
      <c r="D40" s="9"/>
      <c r="E40" s="9"/>
      <c r="F40" s="9"/>
      <c r="G40" s="9"/>
      <c r="H40" s="9"/>
    </row>
    <row r="41" spans="2:8" ht="23.25" customHeight="1" x14ac:dyDescent="0.3">
      <c r="B41" s="47" t="s">
        <v>52</v>
      </c>
      <c r="C41" s="9"/>
      <c r="D41" s="9"/>
      <c r="E41" s="9"/>
      <c r="F41" s="9"/>
      <c r="G41" s="9"/>
      <c r="H41" s="9"/>
    </row>
    <row r="42" spans="2:8" ht="23.25" customHeight="1" x14ac:dyDescent="0.3">
      <c r="B42" s="23" t="s">
        <v>55</v>
      </c>
      <c r="C42" s="9"/>
      <c r="D42" s="9"/>
      <c r="E42" s="9"/>
      <c r="F42" s="9"/>
      <c r="G42" s="9"/>
      <c r="H42" s="9"/>
    </row>
    <row r="43" spans="2:8" ht="23.25" customHeight="1" x14ac:dyDescent="0.3">
      <c r="B43" s="23" t="s">
        <v>53</v>
      </c>
      <c r="C43" s="9"/>
      <c r="D43" s="9"/>
      <c r="E43" s="9"/>
      <c r="F43" s="9"/>
      <c r="G43" s="9"/>
      <c r="H43" s="9"/>
    </row>
    <row r="44" spans="2:8" ht="15.75" x14ac:dyDescent="0.3">
      <c r="B44" s="9"/>
      <c r="C44" s="9"/>
      <c r="D44" s="9"/>
      <c r="E44" s="9"/>
      <c r="F44" s="9"/>
      <c r="G44" s="9"/>
    </row>
    <row r="45" spans="2:8" ht="15.75" x14ac:dyDescent="0.3">
      <c r="B45" s="22" t="s">
        <v>34</v>
      </c>
      <c r="C45" s="9"/>
      <c r="D45" s="9"/>
      <c r="E45" s="9"/>
      <c r="F45" s="9"/>
    </row>
    <row r="46" spans="2:8" ht="15.75" x14ac:dyDescent="0.3">
      <c r="B46" s="9" t="s">
        <v>35</v>
      </c>
      <c r="C46" s="9"/>
      <c r="D46" s="9"/>
      <c r="E46" s="9"/>
      <c r="F46" s="9"/>
    </row>
    <row r="47" spans="2:8" ht="15.75" x14ac:dyDescent="0.3">
      <c r="B47" s="9" t="s">
        <v>43</v>
      </c>
      <c r="C47" s="9"/>
      <c r="D47" s="9"/>
      <c r="E47" s="9"/>
      <c r="F47" s="9"/>
    </row>
    <row r="48" spans="2:8" ht="15.75" x14ac:dyDescent="0.3">
      <c r="B48" s="9" t="s">
        <v>44</v>
      </c>
      <c r="C48" s="9"/>
      <c r="D48" s="9"/>
      <c r="E48" s="9"/>
      <c r="F48" s="9"/>
    </row>
    <row r="50" spans="2:7" x14ac:dyDescent="0.3">
      <c r="B50" s="29" t="s">
        <v>33</v>
      </c>
      <c r="C50" s="29"/>
      <c r="D50" s="33"/>
      <c r="E50" s="29" t="s">
        <v>33</v>
      </c>
      <c r="F50" s="29"/>
      <c r="G50" s="29"/>
    </row>
    <row r="51" spans="2:7" x14ac:dyDescent="0.3">
      <c r="B51" s="31" t="s">
        <v>78</v>
      </c>
      <c r="E51" s="32" t="s">
        <v>79</v>
      </c>
    </row>
  </sheetData>
  <mergeCells count="5">
    <mergeCell ref="B3:B5"/>
    <mergeCell ref="C7:E7"/>
    <mergeCell ref="C8:E8"/>
    <mergeCell ref="C9:E9"/>
    <mergeCell ref="C10:E10"/>
  </mergeCells>
  <pageMargins left="0.70866141732283472" right="0.70866141732283472" top="0.74803149606299213" bottom="0.74803149606299213" header="0.31496062992125984" footer="0.31496062992125984"/>
  <pageSetup scale="7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9"/>
  <sheetViews>
    <sheetView topLeftCell="C49" workbookViewId="0">
      <selection activeCell="E63" sqref="E63"/>
    </sheetView>
  </sheetViews>
  <sheetFormatPr baseColWidth="10" defaultRowHeight="15.05" x14ac:dyDescent="0.3"/>
  <cols>
    <col min="2" max="2" width="39.109375" customWidth="1"/>
    <col min="3" max="3" width="32.5546875" customWidth="1"/>
    <col min="4" max="4" width="33.44140625" customWidth="1"/>
    <col min="5" max="5" width="33.109375" customWidth="1"/>
    <col min="6" max="6" width="32.44140625" customWidth="1"/>
    <col min="9" max="9" width="22.33203125" bestFit="1" customWidth="1"/>
  </cols>
  <sheetData>
    <row r="2" spans="2:9" x14ac:dyDescent="0.3">
      <c r="B2" s="56"/>
      <c r="C2" s="2"/>
    </row>
    <row r="3" spans="2:9" x14ac:dyDescent="0.3">
      <c r="B3" s="56"/>
      <c r="C3" s="2"/>
      <c r="I3" s="1"/>
    </row>
    <row r="4" spans="2:9" ht="20.3" x14ac:dyDescent="0.3">
      <c r="B4" s="56"/>
      <c r="C4" s="2"/>
      <c r="H4" s="37" t="s">
        <v>64</v>
      </c>
      <c r="I4" s="1"/>
    </row>
    <row r="5" spans="2:9" x14ac:dyDescent="0.3">
      <c r="B5" s="2"/>
      <c r="C5" s="2"/>
      <c r="H5" s="3" t="s">
        <v>0</v>
      </c>
      <c r="I5" s="64" t="s">
        <v>74</v>
      </c>
    </row>
    <row r="6" spans="2:9" ht="16.55" customHeight="1" x14ac:dyDescent="0.3">
      <c r="B6" s="4"/>
      <c r="C6" s="2"/>
      <c r="H6" s="3" t="s">
        <v>1</v>
      </c>
      <c r="I6" s="64" t="s">
        <v>75</v>
      </c>
    </row>
    <row r="7" spans="2:9" x14ac:dyDescent="0.3">
      <c r="B7" s="61" t="s">
        <v>65</v>
      </c>
      <c r="C7" s="61"/>
      <c r="D7" s="61"/>
      <c r="E7" s="10"/>
      <c r="H7" s="11" t="s">
        <v>2</v>
      </c>
      <c r="I7" s="64" t="s">
        <v>76</v>
      </c>
    </row>
    <row r="8" spans="2:9" x14ac:dyDescent="0.3">
      <c r="B8" s="61" t="s">
        <v>66</v>
      </c>
      <c r="C8" s="61"/>
      <c r="D8" s="61"/>
      <c r="E8" s="10"/>
      <c r="H8" s="11" t="s">
        <v>1</v>
      </c>
      <c r="I8" s="64" t="s">
        <v>77</v>
      </c>
    </row>
    <row r="9" spans="2:9" x14ac:dyDescent="0.3">
      <c r="B9" s="61" t="s">
        <v>67</v>
      </c>
      <c r="C9" s="61"/>
      <c r="D9" s="61"/>
      <c r="E9" s="10"/>
      <c r="F9" s="12"/>
      <c r="G9" s="12"/>
      <c r="H9" s="13"/>
    </row>
    <row r="10" spans="2:9" ht="15.75" x14ac:dyDescent="0.3">
      <c r="B10" s="62" t="s">
        <v>68</v>
      </c>
      <c r="C10" s="62"/>
      <c r="D10" s="62"/>
      <c r="E10" s="22"/>
      <c r="F10" s="22"/>
      <c r="G10" s="22"/>
      <c r="H10" s="22"/>
    </row>
    <row r="11" spans="2:9" ht="15.75" x14ac:dyDescent="0.3">
      <c r="B11" s="5"/>
      <c r="C11" s="5"/>
      <c r="D11" s="5"/>
      <c r="E11" s="5"/>
      <c r="F11" s="5"/>
      <c r="G11" s="5"/>
      <c r="H11" s="5"/>
    </row>
    <row r="12" spans="2:9" ht="15.75" x14ac:dyDescent="0.3">
      <c r="B12" s="5"/>
      <c r="C12" s="5"/>
      <c r="D12" s="5"/>
      <c r="E12" s="5"/>
      <c r="F12" s="5"/>
      <c r="G12" s="5"/>
      <c r="H12" s="5"/>
    </row>
    <row r="13" spans="2:9" ht="17.05" x14ac:dyDescent="0.3">
      <c r="B13" s="27" t="s">
        <v>4</v>
      </c>
      <c r="C13" s="8"/>
      <c r="D13" s="8"/>
      <c r="E13" s="8"/>
      <c r="F13" s="8"/>
      <c r="G13" s="5"/>
      <c r="H13" s="5"/>
    </row>
    <row r="14" spans="2:9" ht="15.75" x14ac:dyDescent="0.3">
      <c r="B14" s="9" t="s">
        <v>5</v>
      </c>
      <c r="C14" s="8"/>
      <c r="D14" s="8"/>
      <c r="E14" s="8"/>
      <c r="F14" s="8"/>
      <c r="G14" s="5"/>
      <c r="H14" s="5"/>
    </row>
    <row r="15" spans="2:9" ht="15.75" x14ac:dyDescent="0.3">
      <c r="B15" s="14" t="s">
        <v>6</v>
      </c>
      <c r="C15" s="8"/>
      <c r="D15" s="8"/>
      <c r="E15" s="8"/>
      <c r="F15" s="8"/>
      <c r="G15" s="5"/>
      <c r="H15" s="5"/>
    </row>
    <row r="16" spans="2:9" ht="15.75" x14ac:dyDescent="0.3">
      <c r="B16" s="8"/>
      <c r="C16" s="8"/>
      <c r="D16" s="8"/>
      <c r="E16" s="8"/>
      <c r="F16" s="8"/>
      <c r="G16" s="5"/>
      <c r="H16" s="5"/>
    </row>
    <row r="17" spans="2:8" ht="15.75" x14ac:dyDescent="0.3">
      <c r="B17" s="9" t="s">
        <v>7</v>
      </c>
      <c r="C17" s="8"/>
      <c r="D17" s="8"/>
      <c r="E17" s="8"/>
      <c r="F17" s="8"/>
      <c r="G17" s="5"/>
      <c r="H17" s="5"/>
    </row>
    <row r="18" spans="2:8" ht="15.75" x14ac:dyDescent="0.3">
      <c r="B18" s="14"/>
      <c r="C18" s="8"/>
      <c r="D18" s="8"/>
      <c r="E18" s="8"/>
      <c r="F18" s="8"/>
      <c r="G18" s="5"/>
      <c r="H18" s="5"/>
    </row>
    <row r="19" spans="2:8" ht="15.75" x14ac:dyDescent="0.3">
      <c r="B19" s="8" t="s">
        <v>32</v>
      </c>
      <c r="C19" s="8"/>
      <c r="D19" s="8"/>
      <c r="E19" s="8"/>
      <c r="F19" s="8"/>
      <c r="G19" s="5"/>
      <c r="H19" s="5"/>
    </row>
    <row r="20" spans="2:8" ht="15.75" x14ac:dyDescent="0.3">
      <c r="B20" s="9" t="s">
        <v>8</v>
      </c>
      <c r="C20" s="14"/>
      <c r="D20" s="14"/>
      <c r="E20" s="14"/>
      <c r="F20" s="14"/>
      <c r="G20" s="14"/>
      <c r="H20" s="14"/>
    </row>
    <row r="21" spans="2:8" ht="15.75" x14ac:dyDescent="0.3">
      <c r="B21" s="14" t="s">
        <v>9</v>
      </c>
      <c r="C21" s="14"/>
      <c r="D21" s="14"/>
      <c r="E21" s="14"/>
      <c r="F21" s="14"/>
      <c r="G21" s="14"/>
      <c r="H21" s="14"/>
    </row>
    <row r="22" spans="2:8" ht="15.75" x14ac:dyDescent="0.3">
      <c r="B22" s="8"/>
      <c r="C22" s="8"/>
      <c r="G22" s="5"/>
      <c r="H22" s="5"/>
    </row>
    <row r="23" spans="2:8" ht="19" x14ac:dyDescent="0.3">
      <c r="B23" s="15" t="s">
        <v>10</v>
      </c>
      <c r="C23" s="16"/>
      <c r="G23" s="5"/>
      <c r="H23" s="5"/>
    </row>
    <row r="24" spans="2:8" ht="15.75" x14ac:dyDescent="0.3">
      <c r="G24" s="5"/>
      <c r="H24" s="5"/>
    </row>
    <row r="25" spans="2:8" ht="22.6" customHeight="1" x14ac:dyDescent="0.3">
      <c r="B25" s="18" t="s">
        <v>73</v>
      </c>
      <c r="C25" s="18" t="s">
        <v>3</v>
      </c>
      <c r="D25" s="18" t="s">
        <v>11</v>
      </c>
      <c r="E25" s="18" t="s">
        <v>61</v>
      </c>
      <c r="F25" s="18" t="s">
        <v>57</v>
      </c>
      <c r="G25" s="5"/>
      <c r="H25" s="5"/>
    </row>
    <row r="26" spans="2:8" ht="20.149999999999999" customHeight="1" x14ac:dyDescent="0.3">
      <c r="B26" s="54"/>
      <c r="C26" s="48"/>
      <c r="D26" s="55">
        <v>1.4999999999999999E-2</v>
      </c>
      <c r="E26" s="50">
        <f>irUtilidadImpuestoTotales[[#This Row],[Monto en Q.]]*irUtilidadImpuestoTotales[[#This Row],[X  Porcentaje de Materialidad]]</f>
        <v>0</v>
      </c>
      <c r="F26" s="52" t="e">
        <f>irUtilidadImpuestoTotales[[#This Row],[Monto en Q.]]/irUtilidadImpuestoTotales[[#This Row],[Materialidad]]</f>
        <v>#DIV/0!</v>
      </c>
      <c r="H26" s="5"/>
    </row>
    <row r="27" spans="2:8" ht="20.149999999999999" customHeight="1" x14ac:dyDescent="0.3">
      <c r="E27" s="12"/>
      <c r="F27" s="8"/>
    </row>
    <row r="28" spans="2:8" ht="20.149999999999999" customHeight="1" x14ac:dyDescent="0.3">
      <c r="B28" s="35" t="s">
        <v>49</v>
      </c>
      <c r="C28" s="9"/>
      <c r="D28" s="9"/>
      <c r="E28" s="9"/>
      <c r="F28" s="9"/>
    </row>
    <row r="29" spans="2:8" ht="15.75" x14ac:dyDescent="0.3">
      <c r="B29" s="9"/>
      <c r="C29" s="9"/>
      <c r="D29" s="9"/>
      <c r="E29" s="9"/>
      <c r="F29" s="9"/>
    </row>
    <row r="30" spans="2:8" ht="15.75" x14ac:dyDescent="0.3">
      <c r="B30" s="22" t="s">
        <v>12</v>
      </c>
      <c r="C30" s="9"/>
      <c r="D30" s="9"/>
      <c r="E30" s="9"/>
      <c r="F30" s="9"/>
    </row>
    <row r="31" spans="2:8" ht="24.05" customHeight="1" x14ac:dyDescent="0.3">
      <c r="B31" s="24" t="s">
        <v>72</v>
      </c>
      <c r="C31" s="9"/>
      <c r="D31" s="9"/>
      <c r="E31" s="9"/>
      <c r="F31" s="9"/>
      <c r="G31" s="6"/>
      <c r="H31" s="6"/>
    </row>
    <row r="32" spans="2:8" ht="15.75" x14ac:dyDescent="0.3">
      <c r="B32" s="24" t="s">
        <v>37</v>
      </c>
      <c r="C32" s="9"/>
      <c r="D32" s="9"/>
      <c r="E32" s="9"/>
      <c r="F32" s="9"/>
      <c r="G32" s="6"/>
      <c r="H32" s="6"/>
    </row>
    <row r="33" spans="2:8" ht="15.75" x14ac:dyDescent="0.3">
      <c r="B33" s="17"/>
      <c r="C33" s="9"/>
      <c r="D33" s="9"/>
      <c r="E33" s="9"/>
      <c r="F33" s="9"/>
      <c r="G33" s="6"/>
      <c r="H33" s="6"/>
    </row>
    <row r="34" spans="2:8" ht="15.75" x14ac:dyDescent="0.3">
      <c r="B34" s="22" t="s">
        <v>13</v>
      </c>
      <c r="C34" s="9"/>
      <c r="D34" s="9"/>
      <c r="E34" s="9"/>
      <c r="F34" s="9"/>
      <c r="G34" s="6"/>
      <c r="H34" s="6"/>
    </row>
    <row r="35" spans="2:8" ht="15.75" x14ac:dyDescent="0.3">
      <c r="B35" s="26" t="s">
        <v>16</v>
      </c>
      <c r="C35" s="9"/>
      <c r="D35" s="9"/>
      <c r="E35" s="9"/>
      <c r="F35" s="9"/>
      <c r="G35" s="6"/>
      <c r="H35" s="6"/>
    </row>
    <row r="36" spans="2:8" ht="15.75" x14ac:dyDescent="0.3">
      <c r="B36" s="17" t="s">
        <v>41</v>
      </c>
      <c r="C36" s="9"/>
      <c r="D36" s="9"/>
      <c r="E36" s="9"/>
      <c r="F36" s="9"/>
      <c r="G36" s="6"/>
      <c r="H36" s="6"/>
    </row>
    <row r="37" spans="2:8" ht="33.049999999999997" customHeight="1" x14ac:dyDescent="0.3">
      <c r="B37" s="17"/>
      <c r="C37" s="9"/>
      <c r="D37" s="9"/>
      <c r="E37" s="9"/>
      <c r="F37" s="9"/>
      <c r="G37" s="6"/>
      <c r="H37" s="6"/>
    </row>
    <row r="38" spans="2:8" ht="21.8" customHeight="1" x14ac:dyDescent="0.3">
      <c r="B38" s="26" t="s">
        <v>38</v>
      </c>
      <c r="C38" s="9"/>
      <c r="D38" s="9"/>
      <c r="E38" s="9"/>
      <c r="F38" s="9"/>
      <c r="G38" s="6"/>
      <c r="H38" s="6"/>
    </row>
    <row r="39" spans="2:8" ht="23.25" customHeight="1" x14ac:dyDescent="0.3">
      <c r="B39" s="34">
        <v>500000</v>
      </c>
      <c r="C39" s="9"/>
      <c r="D39" s="9"/>
      <c r="E39" s="9"/>
      <c r="F39" s="9"/>
      <c r="G39" s="6"/>
      <c r="H39" s="6"/>
    </row>
    <row r="40" spans="2:8" ht="18.850000000000001" customHeight="1" x14ac:dyDescent="0.3">
      <c r="B40" s="22" t="s">
        <v>39</v>
      </c>
      <c r="C40" s="9"/>
      <c r="D40" s="9"/>
      <c r="E40" s="9"/>
      <c r="F40" s="9"/>
      <c r="G40" s="6"/>
      <c r="H40" s="6"/>
    </row>
    <row r="41" spans="2:8" ht="23.25" customHeight="1" x14ac:dyDescent="0.3">
      <c r="B41" s="24" t="s">
        <v>40</v>
      </c>
      <c r="C41" s="9"/>
      <c r="D41" s="9"/>
      <c r="E41" s="9"/>
      <c r="F41" s="9"/>
      <c r="G41" s="6"/>
      <c r="H41" s="6"/>
    </row>
    <row r="42" spans="2:8" ht="23.25" customHeight="1" x14ac:dyDescent="0.3">
      <c r="B42" s="23"/>
      <c r="C42" s="9"/>
      <c r="D42" s="9"/>
      <c r="E42" s="9"/>
      <c r="F42" s="9"/>
      <c r="G42" s="6"/>
      <c r="H42" s="6"/>
    </row>
    <row r="43" spans="2:8" ht="28.5" customHeight="1" x14ac:dyDescent="0.3">
      <c r="B43" s="23" t="s">
        <v>47</v>
      </c>
      <c r="C43" s="9"/>
      <c r="D43" s="9"/>
      <c r="E43" s="9"/>
      <c r="F43" s="9"/>
      <c r="G43" s="6"/>
      <c r="H43" s="6"/>
    </row>
    <row r="44" spans="2:8" ht="15.75" x14ac:dyDescent="0.3">
      <c r="B44" s="23" t="s">
        <v>42</v>
      </c>
      <c r="C44" s="12"/>
      <c r="D44" s="9"/>
      <c r="E44" s="9"/>
      <c r="F44" s="9"/>
      <c r="G44" s="6"/>
      <c r="H44" s="6"/>
    </row>
    <row r="45" spans="2:8" ht="15.75" x14ac:dyDescent="0.3">
      <c r="B45" s="9" t="s">
        <v>45</v>
      </c>
      <c r="C45" s="12"/>
      <c r="D45" s="9"/>
      <c r="E45" s="9"/>
      <c r="F45" s="9"/>
      <c r="G45" s="6"/>
      <c r="H45" s="6"/>
    </row>
    <row r="46" spans="2:8" ht="15.75" x14ac:dyDescent="0.3">
      <c r="B46" s="23"/>
      <c r="C46" s="9"/>
      <c r="D46" s="9"/>
      <c r="E46" s="9"/>
      <c r="F46" s="9"/>
      <c r="G46" s="6"/>
      <c r="H46" s="6"/>
    </row>
    <row r="47" spans="2:8" x14ac:dyDescent="0.3">
      <c r="B47" s="12"/>
      <c r="C47" s="12"/>
      <c r="D47" s="12"/>
      <c r="E47" s="12"/>
    </row>
    <row r="48" spans="2:8" ht="15.75" x14ac:dyDescent="0.3">
      <c r="B48" s="22" t="s">
        <v>34</v>
      </c>
    </row>
    <row r="49" spans="2:8" ht="15.75" x14ac:dyDescent="0.3">
      <c r="B49" s="9" t="s">
        <v>35</v>
      </c>
    </row>
    <row r="50" spans="2:8" ht="15.75" x14ac:dyDescent="0.3">
      <c r="B50" s="9" t="s">
        <v>43</v>
      </c>
    </row>
    <row r="51" spans="2:8" ht="15.75" x14ac:dyDescent="0.3">
      <c r="B51" s="9" t="s">
        <v>44</v>
      </c>
    </row>
    <row r="58" spans="2:8" x14ac:dyDescent="0.3">
      <c r="B58" s="29" t="s">
        <v>33</v>
      </c>
      <c r="C58" s="29"/>
      <c r="D58" s="33"/>
      <c r="E58" s="29" t="s">
        <v>33</v>
      </c>
      <c r="F58" s="29"/>
      <c r="G58" s="29"/>
      <c r="H58" s="30"/>
    </row>
    <row r="59" spans="2:8" x14ac:dyDescent="0.3">
      <c r="B59" s="31" t="s">
        <v>78</v>
      </c>
      <c r="E59" s="32" t="s">
        <v>79</v>
      </c>
    </row>
  </sheetData>
  <mergeCells count="5">
    <mergeCell ref="B2:B4"/>
    <mergeCell ref="B7:D7"/>
    <mergeCell ref="B8:D8"/>
    <mergeCell ref="B9:D9"/>
    <mergeCell ref="B10:D10"/>
  </mergeCells>
  <pageMargins left="0.70866141732283472" right="0.70866141732283472" top="0.74803149606299213" bottom="0.74803149606299213" header="0.31496062992125984" footer="0.31496062992125984"/>
  <pageSetup scale="7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IR INGRESOS TOTALES</vt:lpstr>
      <vt:lpstr>IR ACTIVOS TOTALES</vt:lpstr>
      <vt:lpstr>IR UTILIDAD ANTES DE IMPUESTO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2022-04-21T19:22:13Z</cp:lastPrinted>
  <dcterms:created xsi:type="dcterms:W3CDTF">2022-04-21T19:21:12Z</dcterms:created>
  <dcterms:modified xsi:type="dcterms:W3CDTF">2025-11-03T14:11:26Z</dcterms:modified>
</cp:coreProperties>
</file>