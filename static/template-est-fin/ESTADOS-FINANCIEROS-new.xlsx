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-est-fin\"/>
    </mc:Choice>
  </mc:AlternateContent>
  <xr:revisionPtr revIDLastSave="0" documentId="13_ncr:1_{C0CA2C16-8782-4E43-BA24-2549DD49EB04}" xr6:coauthVersionLast="47" xr6:coauthVersionMax="47" xr10:uidLastSave="{00000000-0000-0000-0000-000000000000}"/>
  <bookViews>
    <workbookView xWindow="-118" yWindow="-118" windowWidth="25370" windowHeight="13667" tabRatio="500" activeTab="1" xr2:uid="{00000000-000D-0000-FFFF-FFFF00000000}"/>
  </bookViews>
  <sheets>
    <sheet name="ESTADOS FINANCIEROS ANUAL" sheetId="1" r:id="rId1"/>
    <sheet name="ESTADOS FINANCIEROS SEMESTRALES" sheetId="4" r:id="rId2"/>
    <sheet name="REGISTROS AUXILIARES" sheetId="2" r:id="rId3"/>
    <sheet name="SALDOS INICIAL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1" l="1"/>
  <c r="B60" i="1"/>
  <c r="C41" i="1"/>
  <c r="B41" i="1"/>
  <c r="C25" i="1"/>
  <c r="B25" i="1"/>
  <c r="C64" i="3"/>
  <c r="C45" i="3"/>
  <c r="C26" i="3"/>
  <c r="G42" i="4"/>
  <c r="D42" i="4"/>
  <c r="C42" i="4"/>
  <c r="B42" i="4"/>
  <c r="G29" i="4"/>
  <c r="D29" i="4"/>
  <c r="C29" i="4"/>
  <c r="B29" i="4"/>
  <c r="G14" i="4"/>
  <c r="D14" i="4"/>
  <c r="C14" i="4"/>
  <c r="B14" i="4"/>
</calcChain>
</file>

<file path=xl/sharedStrings.xml><?xml version="1.0" encoding="utf-8"?>
<sst xmlns="http://schemas.openxmlformats.org/spreadsheetml/2006/main" count="105" uniqueCount="41">
  <si>
    <t>CUENTA</t>
  </si>
  <si>
    <t>TOTAL ACTIVO</t>
  </si>
  <si>
    <t>ESTADO DE RESULTADOS</t>
  </si>
  <si>
    <t>PL-2.1</t>
  </si>
  <si>
    <t>Activo</t>
  </si>
  <si>
    <t>Pasivo</t>
  </si>
  <si>
    <t>Patrimonio</t>
  </si>
  <si>
    <t>TOTAL PASIVO</t>
  </si>
  <si>
    <t>TOTAL PATRIMONIO</t>
  </si>
  <si>
    <t>Fecha corte año actual</t>
  </si>
  <si>
    <t>Fecha corte año anterior</t>
  </si>
  <si>
    <t>PL-2.2</t>
  </si>
  <si>
    <t>REGISTROS AUXILIARES</t>
  </si>
  <si>
    <t xml:space="preserve">Cuenta </t>
  </si>
  <si>
    <t>Saldo</t>
  </si>
  <si>
    <t>SALDO INICIAL</t>
  </si>
  <si>
    <t>Al 31/12/2023</t>
  </si>
  <si>
    <t>Al 31/12/2024</t>
  </si>
  <si>
    <t>SALDOS INICIALES</t>
  </si>
  <si>
    <t>ESTADOS FINANCIEROS SEMESTRALES</t>
  </si>
  <si>
    <t>Al 01/01/2023</t>
  </si>
  <si>
    <t>Al 31/07/2023</t>
  </si>
  <si>
    <t>Cuentas por Cobrar</t>
  </si>
  <si>
    <t>Inversiones</t>
  </si>
  <si>
    <t>Inventarios</t>
  </si>
  <si>
    <t>Construcciones en Proceso</t>
  </si>
  <si>
    <t>Propiedad  y Planta en Operacion</t>
  </si>
  <si>
    <t>Activo Intangible Bruto</t>
  </si>
  <si>
    <t>Cuentas por Pagar</t>
  </si>
  <si>
    <t xml:space="preserve">Pasivo Largo Plazo </t>
  </si>
  <si>
    <t>Resultados</t>
  </si>
  <si>
    <t>Utilidad antes de impuesto</t>
  </si>
  <si>
    <t>Ingresos totales</t>
  </si>
  <si>
    <t>ESTADOS FINANCIEROS ANTERIOR Y ACTUAL</t>
  </si>
  <si>
    <t>AJUSTES / RECLASIFICACIONES</t>
  </si>
  <si>
    <t>Debe</t>
  </si>
  <si>
    <t>Haber</t>
  </si>
  <si>
    <t>Tipo. Cuenta</t>
  </si>
  <si>
    <t>C/NC</t>
  </si>
  <si>
    <t xml:space="preserve">Caja y Bancos </t>
  </si>
  <si>
    <t xml:space="preserve">Activo Intangible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</si>
</sst>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2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</font>
    <font>
      <b/>
      <sz val="13"/>
      <color rgb="FFFF0000"/>
      <name val="Calibri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2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3"/>
      <color rgb="FFC00000"/>
      <name val="Calibri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969696"/>
      </patternFill>
    </fill>
    <fill>
      <patternFill patternType="solid">
        <fgColor rgb="FF0070C0"/>
        <bgColor rgb="FF808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080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2" fillId="0" borderId="0" applyBorder="0" applyProtection="0"/>
    <xf numFmtId="0" fontId="3" fillId="0" borderId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4" fillId="5" borderId="1" xfId="2" applyFont="1" applyFill="1" applyBorder="1" applyAlignment="1">
      <alignment vertical="center"/>
    </xf>
    <xf numFmtId="0" fontId="0" fillId="5" borderId="0" xfId="0" applyFill="1"/>
    <xf numFmtId="0" fontId="3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164" fontId="3" fillId="2" borderId="1" xfId="1" applyFont="1" applyFill="1" applyBorder="1" applyProtection="1">
      <protection hidden="1"/>
    </xf>
    <xf numFmtId="164" fontId="6" fillId="4" borderId="1" xfId="1" applyFont="1" applyFill="1" applyBorder="1" applyProtection="1">
      <protection hidden="1"/>
    </xf>
    <xf numFmtId="0" fontId="12" fillId="7" borderId="1" xfId="3" applyFont="1" applyBorder="1" applyAlignment="1" applyProtection="1">
      <protection locked="0"/>
    </xf>
    <xf numFmtId="0" fontId="13" fillId="8" borderId="1" xfId="4" applyFont="1" applyBorder="1" applyAlignment="1" applyProtection="1">
      <protection locked="0"/>
    </xf>
    <xf numFmtId="0" fontId="6" fillId="4" borderId="1" xfId="0" applyFont="1" applyFill="1" applyBorder="1" applyProtection="1">
      <protection locked="0"/>
    </xf>
    <xf numFmtId="164" fontId="7" fillId="4" borderId="1" xfId="1" applyFont="1" applyFill="1" applyBorder="1" applyProtection="1">
      <protection hidden="1"/>
    </xf>
    <xf numFmtId="0" fontId="3" fillId="0" borderId="0" xfId="2"/>
    <xf numFmtId="0" fontId="0" fillId="9" borderId="0" xfId="0" applyFill="1"/>
    <xf numFmtId="0" fontId="4" fillId="6" borderId="1" xfId="0" applyFont="1" applyFill="1" applyBorder="1" applyProtection="1">
      <protection locked="0"/>
    </xf>
    <xf numFmtId="0" fontId="16" fillId="0" borderId="1" xfId="0" applyFont="1" applyBorder="1" applyAlignment="1">
      <alignment horizontal="center" vertical="center"/>
    </xf>
    <xf numFmtId="0" fontId="18" fillId="0" borderId="0" xfId="0" applyFont="1"/>
    <xf numFmtId="0" fontId="14" fillId="10" borderId="0" xfId="0" applyFont="1" applyFill="1" applyAlignment="1">
      <alignment horizontal="center" vertical="center"/>
    </xf>
    <xf numFmtId="0" fontId="0" fillId="0" borderId="1" xfId="0" applyBorder="1"/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/>
    <xf numFmtId="0" fontId="6" fillId="3" borderId="1" xfId="1" applyNumberFormat="1" applyFont="1" applyFill="1" applyBorder="1" applyAlignment="1" applyProtection="1">
      <alignment horizontal="center" vertical="center"/>
      <protection hidden="1"/>
    </xf>
    <xf numFmtId="0" fontId="15" fillId="10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 applyProtection="1">
      <alignment horizontal="center" vertical="center"/>
      <protection hidden="1"/>
    </xf>
    <xf numFmtId="2" fontId="3" fillId="2" borderId="1" xfId="1" applyNumberFormat="1" applyFont="1" applyFill="1" applyBorder="1" applyProtection="1">
      <protection hidden="1"/>
    </xf>
    <xf numFmtId="2" fontId="13" fillId="8" borderId="0" xfId="4" applyNumberFormat="1" applyFont="1"/>
    <xf numFmtId="2" fontId="13" fillId="8" borderId="1" xfId="4" applyNumberFormat="1" applyFont="1" applyBorder="1" applyAlignment="1" applyProtection="1">
      <protection hidden="1"/>
    </xf>
    <xf numFmtId="2" fontId="12" fillId="7" borderId="0" xfId="3" applyNumberFormat="1" applyFont="1"/>
    <xf numFmtId="2" fontId="12" fillId="7" borderId="1" xfId="3" applyNumberFormat="1" applyFont="1" applyBorder="1" applyAlignment="1" applyProtection="1">
      <protection hidden="1"/>
    </xf>
    <xf numFmtId="2" fontId="7" fillId="9" borderId="0" xfId="2" applyNumberFormat="1" applyFont="1" applyFill="1"/>
    <xf numFmtId="2" fontId="3" fillId="2" borderId="1" xfId="1" applyNumberFormat="1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15" fillId="3" borderId="1" xfId="1" applyNumberFormat="1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24" fillId="10" borderId="0" xfId="0" applyFont="1" applyFill="1" applyAlignment="1">
      <alignment horizontal="center" vertical="center" wrapText="1"/>
    </xf>
    <xf numFmtId="0" fontId="14" fillId="3" borderId="1" xfId="1" applyNumberFormat="1" applyFont="1" applyFill="1" applyBorder="1" applyAlignment="1" applyProtection="1">
      <alignment horizontal="center" vertical="center"/>
      <protection hidden="1"/>
    </xf>
    <xf numFmtId="0" fontId="25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hidden="1"/>
    </xf>
    <xf numFmtId="0" fontId="26" fillId="3" borderId="1" xfId="0" applyFont="1" applyFill="1" applyBorder="1" applyAlignment="1" applyProtection="1">
      <alignment horizontal="center" vertical="center"/>
      <protection hidden="1"/>
    </xf>
    <xf numFmtId="164" fontId="2" fillId="0" borderId="1" xfId="1" applyBorder="1"/>
    <xf numFmtId="164" fontId="3" fillId="11" borderId="1" xfId="1" applyFont="1" applyFill="1" applyBorder="1" applyProtection="1">
      <protection hidden="1"/>
    </xf>
    <xf numFmtId="2" fontId="3" fillId="11" borderId="1" xfId="1" applyNumberFormat="1" applyFont="1" applyFill="1" applyBorder="1" applyProtection="1">
      <protection hidden="1"/>
    </xf>
    <xf numFmtId="0" fontId="3" fillId="5" borderId="0" xfId="0" applyFont="1" applyFill="1" applyAlignment="1">
      <alignment vertical="center" wrapText="1"/>
    </xf>
    <xf numFmtId="164" fontId="3" fillId="2" borderId="0" xfId="1" applyFont="1" applyFill="1" applyBorder="1" applyProtection="1">
      <protection hidden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3" fillId="10" borderId="0" xfId="0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5">
    <cellStyle name="Incorrecto" xfId="3" builtinId="27"/>
    <cellStyle name="Millares" xfId="1" builtinId="3"/>
    <cellStyle name="Neutral" xfId="4" builtinId="28"/>
    <cellStyle name="Normal" xfId="0" builtinId="0"/>
    <cellStyle name="Normal 3" xfId="2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CB20C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75"/>
  <sheetViews>
    <sheetView zoomScale="85" zoomScaleNormal="85" workbookViewId="0">
      <selection activeCell="B6" sqref="B6:C11"/>
    </sheetView>
  </sheetViews>
  <sheetFormatPr baseColWidth="10" defaultColWidth="10.5546875" defaultRowHeight="15.05" x14ac:dyDescent="0.3"/>
  <cols>
    <col min="1" max="1" width="60.109375" customWidth="1"/>
    <col min="2" max="2" width="31.5546875" customWidth="1"/>
    <col min="3" max="3" width="31" customWidth="1"/>
    <col min="4" max="4" width="24.88671875" customWidth="1"/>
    <col min="5" max="5" width="22.5546875" customWidth="1"/>
    <col min="6" max="6" width="21.88671875" customWidth="1"/>
    <col min="7" max="7" width="14.6640625" customWidth="1"/>
    <col min="16382" max="16384" width="11.5546875" customWidth="1"/>
  </cols>
  <sheetData>
    <row r="3" spans="1:11" ht="23.25" customHeight="1" x14ac:dyDescent="0.3">
      <c r="A3" s="48" t="s">
        <v>33</v>
      </c>
      <c r="B3" s="48"/>
      <c r="C3" s="48"/>
      <c r="D3" s="48"/>
      <c r="E3" s="40" t="s">
        <v>3</v>
      </c>
    </row>
    <row r="5" spans="1:11" s="1" customFormat="1" ht="24.75" customHeight="1" x14ac:dyDescent="0.3">
      <c r="A5" s="5" t="s">
        <v>0</v>
      </c>
      <c r="B5" s="39" t="s">
        <v>10</v>
      </c>
      <c r="C5" s="39" t="s">
        <v>9</v>
      </c>
      <c r="D5" s="5" t="s">
        <v>37</v>
      </c>
      <c r="E5"/>
      <c r="F5"/>
      <c r="G5"/>
      <c r="H5"/>
      <c r="I5"/>
      <c r="J5"/>
      <c r="K5"/>
    </row>
    <row r="6" spans="1:11" s="1" customFormat="1" ht="24.75" customHeight="1" x14ac:dyDescent="0.3">
      <c r="A6" s="5" t="s">
        <v>4</v>
      </c>
      <c r="B6" s="42" t="s">
        <v>16</v>
      </c>
      <c r="C6" s="42" t="s">
        <v>17</v>
      </c>
      <c r="D6" s="41" t="s">
        <v>38</v>
      </c>
      <c r="E6" s="7"/>
      <c r="F6" s="8"/>
      <c r="G6" s="8"/>
      <c r="H6"/>
      <c r="I6"/>
      <c r="J6"/>
      <c r="K6"/>
    </row>
    <row r="7" spans="1:11" x14ac:dyDescent="0.3">
      <c r="A7" s="4" t="s">
        <v>39</v>
      </c>
      <c r="B7" s="44">
        <v>850000</v>
      </c>
      <c r="C7" s="44">
        <v>850000</v>
      </c>
      <c r="D7" s="10"/>
      <c r="E7" s="6"/>
    </row>
    <row r="8" spans="1:11" x14ac:dyDescent="0.3">
      <c r="A8" s="4" t="s">
        <v>22</v>
      </c>
      <c r="B8" s="44">
        <v>850000</v>
      </c>
      <c r="C8" s="44">
        <v>850000</v>
      </c>
      <c r="D8" s="10"/>
      <c r="E8" s="6"/>
    </row>
    <row r="9" spans="1:11" x14ac:dyDescent="0.3">
      <c r="A9" s="4" t="s">
        <v>23</v>
      </c>
      <c r="B9" s="44">
        <v>850000</v>
      </c>
      <c r="C9" s="44">
        <v>850000</v>
      </c>
      <c r="D9" s="10"/>
    </row>
    <row r="10" spans="1:11" x14ac:dyDescent="0.3">
      <c r="A10" s="4" t="s">
        <v>24</v>
      </c>
      <c r="B10" s="44">
        <v>850000</v>
      </c>
      <c r="C10" s="44">
        <v>850000</v>
      </c>
      <c r="D10" s="10"/>
    </row>
    <row r="11" spans="1:11" x14ac:dyDescent="0.3">
      <c r="A11" s="4" t="s">
        <v>25</v>
      </c>
      <c r="B11" s="44">
        <v>850000</v>
      </c>
      <c r="C11" s="44">
        <v>850000</v>
      </c>
      <c r="D11" s="10"/>
      <c r="E11" s="7"/>
      <c r="F11" s="8"/>
      <c r="G11" s="8"/>
    </row>
    <row r="12" spans="1:11" x14ac:dyDescent="0.3">
      <c r="A12" s="4" t="s">
        <v>26</v>
      </c>
      <c r="B12" s="44">
        <v>850000</v>
      </c>
      <c r="C12" s="44">
        <v>850000</v>
      </c>
      <c r="D12" s="10"/>
      <c r="E12" s="6"/>
    </row>
    <row r="13" spans="1:11" x14ac:dyDescent="0.3">
      <c r="A13" s="4" t="s">
        <v>27</v>
      </c>
      <c r="B13" s="44"/>
      <c r="C13" s="44"/>
      <c r="D13" s="10"/>
      <c r="E13" s="6"/>
    </row>
    <row r="14" spans="1:11" x14ac:dyDescent="0.3">
      <c r="A14" s="4"/>
      <c r="B14" s="44"/>
      <c r="C14" s="44"/>
      <c r="D14" s="10"/>
      <c r="E14" s="6"/>
    </row>
    <row r="15" spans="1:11" x14ac:dyDescent="0.3">
      <c r="A15" s="4"/>
      <c r="B15" s="44"/>
      <c r="C15" s="44"/>
      <c r="D15" s="10"/>
      <c r="E15" s="6"/>
    </row>
    <row r="16" spans="1:11" x14ac:dyDescent="0.3">
      <c r="A16" s="4"/>
      <c r="B16" s="44"/>
      <c r="C16" s="44"/>
      <c r="D16" s="10"/>
    </row>
    <row r="17" spans="1:50" x14ac:dyDescent="0.3">
      <c r="A17" s="4"/>
      <c r="B17" s="44"/>
      <c r="C17" s="44"/>
      <c r="D17" s="10"/>
    </row>
    <row r="18" spans="1:50" x14ac:dyDescent="0.3">
      <c r="A18" s="4"/>
      <c r="B18" s="44"/>
      <c r="C18" s="44"/>
      <c r="D18" s="10"/>
    </row>
    <row r="19" spans="1:50" x14ac:dyDescent="0.3">
      <c r="A19" s="4"/>
      <c r="B19" s="44"/>
      <c r="C19" s="44"/>
      <c r="D19" s="10"/>
    </row>
    <row r="20" spans="1:50" x14ac:dyDescent="0.3">
      <c r="A20" s="4"/>
      <c r="B20" s="44"/>
      <c r="C20" s="44"/>
      <c r="D20" s="10"/>
    </row>
    <row r="21" spans="1:50" x14ac:dyDescent="0.3">
      <c r="A21" s="4"/>
      <c r="B21" s="28"/>
      <c r="C21" s="28"/>
      <c r="D21" s="10"/>
    </row>
    <row r="22" spans="1:50" x14ac:dyDescent="0.3">
      <c r="A22" s="4"/>
      <c r="B22" s="28"/>
      <c r="C22" s="28"/>
      <c r="D22" s="10"/>
    </row>
    <row r="23" spans="1:50" x14ac:dyDescent="0.3">
      <c r="A23" s="4"/>
      <c r="B23" s="28"/>
      <c r="C23" s="28"/>
      <c r="D23" s="10"/>
    </row>
    <row r="24" spans="1:50" x14ac:dyDescent="0.3">
      <c r="A24" s="4"/>
      <c r="B24" s="28"/>
      <c r="C24" s="28"/>
      <c r="D24" s="10"/>
    </row>
    <row r="25" spans="1:50" x14ac:dyDescent="0.3">
      <c r="A25" s="17" t="s">
        <v>1</v>
      </c>
      <c r="B25" s="33">
        <f>SUM(B7:B24)</f>
        <v>5100000</v>
      </c>
      <c r="C25" s="33">
        <f>SUM(C7:C24)</f>
        <v>5100000</v>
      </c>
      <c r="D25" s="33"/>
    </row>
    <row r="26" spans="1:50" ht="24.05" customHeight="1" x14ac:dyDescent="0.3">
      <c r="A26" s="5" t="s">
        <v>5</v>
      </c>
      <c r="B26" s="11"/>
      <c r="C26" s="11"/>
      <c r="D26" s="11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 spans="1:50" ht="15.75" customHeight="1" x14ac:dyDescent="0.3">
      <c r="A27" s="2" t="s">
        <v>28</v>
      </c>
      <c r="B27" s="44">
        <v>850000</v>
      </c>
      <c r="C27" s="44">
        <v>850000</v>
      </c>
      <c r="D27" s="10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</row>
    <row r="28" spans="1:50" s="3" customFormat="1" x14ac:dyDescent="0.3">
      <c r="A28" s="2" t="s">
        <v>29</v>
      </c>
      <c r="B28" s="44">
        <v>850000</v>
      </c>
      <c r="C28" s="44">
        <v>850000</v>
      </c>
      <c r="D28" s="1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</row>
    <row r="29" spans="1:50" s="3" customFormat="1" x14ac:dyDescent="0.3">
      <c r="A29" s="4"/>
      <c r="B29" s="44"/>
      <c r="C29" s="44"/>
      <c r="D29" s="1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</row>
    <row r="30" spans="1:50" s="3" customFormat="1" x14ac:dyDescent="0.3">
      <c r="A30" s="4"/>
      <c r="B30" s="44"/>
      <c r="C30" s="44"/>
      <c r="D30" s="1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 spans="1:50" s="3" customFormat="1" x14ac:dyDescent="0.3">
      <c r="A31" s="4"/>
      <c r="B31" s="44"/>
      <c r="C31" s="44"/>
      <c r="D31" s="1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</row>
    <row r="32" spans="1:50" s="3" customFormat="1" x14ac:dyDescent="0.3">
      <c r="A32" s="4"/>
      <c r="B32" s="44"/>
      <c r="C32" s="44"/>
      <c r="D32" s="1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</row>
    <row r="33" spans="1:50" s="3" customFormat="1" x14ac:dyDescent="0.3">
      <c r="A33" s="4"/>
      <c r="B33" s="44"/>
      <c r="C33" s="44"/>
      <c r="D33" s="1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</row>
    <row r="34" spans="1:50" x14ac:dyDescent="0.3">
      <c r="A34" s="2"/>
      <c r="B34" s="45"/>
      <c r="C34" s="45"/>
      <c r="D34" s="10"/>
    </row>
    <row r="35" spans="1:50" x14ac:dyDescent="0.3">
      <c r="A35" s="2"/>
      <c r="B35" s="28"/>
      <c r="C35" s="28"/>
      <c r="D35" s="10"/>
    </row>
    <row r="36" spans="1:50" x14ac:dyDescent="0.3">
      <c r="A36" s="2"/>
      <c r="B36" s="28"/>
      <c r="C36" s="28"/>
      <c r="D36" s="10"/>
    </row>
    <row r="37" spans="1:50" ht="18" customHeight="1" x14ac:dyDescent="0.3">
      <c r="A37" s="2"/>
      <c r="B37" s="28"/>
      <c r="C37" s="28"/>
      <c r="D37" s="10"/>
    </row>
    <row r="38" spans="1:50" x14ac:dyDescent="0.3">
      <c r="A38" s="2"/>
      <c r="B38" s="28"/>
      <c r="C38" s="28"/>
      <c r="D38" s="10"/>
    </row>
    <row r="39" spans="1:50" x14ac:dyDescent="0.3">
      <c r="A39" s="2"/>
      <c r="B39" s="28"/>
      <c r="C39" s="28"/>
      <c r="D39" s="10"/>
    </row>
    <row r="40" spans="1:50" x14ac:dyDescent="0.3">
      <c r="A40" s="2"/>
      <c r="B40" s="28"/>
      <c r="C40" s="28"/>
      <c r="D40" s="10"/>
    </row>
    <row r="41" spans="1:50" x14ac:dyDescent="0.3">
      <c r="A41" s="12" t="s">
        <v>7</v>
      </c>
      <c r="B41" s="31">
        <f>SUM(B27:B40)</f>
        <v>1700000</v>
      </c>
      <c r="C41" s="32">
        <f>SUM(C27:C40)</f>
        <v>1700000</v>
      </c>
      <c r="D41" s="31"/>
    </row>
    <row r="42" spans="1:50" x14ac:dyDescent="0.3">
      <c r="A42" s="5" t="s">
        <v>6</v>
      </c>
      <c r="B42" s="11"/>
      <c r="C42" s="11"/>
      <c r="D42" s="11"/>
    </row>
    <row r="43" spans="1:50" x14ac:dyDescent="0.3">
      <c r="A43" s="2" t="s">
        <v>6</v>
      </c>
      <c r="B43" s="44">
        <v>850000</v>
      </c>
      <c r="C43" s="44">
        <v>850000</v>
      </c>
      <c r="D43" s="10"/>
    </row>
    <row r="44" spans="1:50" x14ac:dyDescent="0.3">
      <c r="A44" s="2"/>
      <c r="B44" s="10"/>
      <c r="C44" s="10"/>
      <c r="D44" s="10"/>
    </row>
    <row r="45" spans="1:50" x14ac:dyDescent="0.3">
      <c r="A45" s="4"/>
      <c r="B45" s="44"/>
      <c r="C45" s="44"/>
      <c r="D45" s="10"/>
    </row>
    <row r="46" spans="1:50" x14ac:dyDescent="0.3">
      <c r="A46" s="4"/>
      <c r="B46" s="44"/>
      <c r="C46" s="44"/>
      <c r="D46" s="10"/>
    </row>
    <row r="47" spans="1:50" x14ac:dyDescent="0.3">
      <c r="A47" s="4"/>
      <c r="B47" s="44"/>
      <c r="C47" s="44"/>
      <c r="D47" s="10"/>
    </row>
    <row r="48" spans="1:50" x14ac:dyDescent="0.3">
      <c r="A48" s="4"/>
      <c r="B48" s="44"/>
      <c r="C48" s="44"/>
      <c r="D48" s="10"/>
    </row>
    <row r="49" spans="1:4" x14ac:dyDescent="0.3">
      <c r="A49" s="4"/>
      <c r="B49" s="44"/>
      <c r="C49" s="44"/>
      <c r="D49" s="10"/>
    </row>
    <row r="50" spans="1:4" x14ac:dyDescent="0.3">
      <c r="A50" s="2"/>
      <c r="B50" s="28"/>
      <c r="C50" s="28"/>
      <c r="D50" s="10"/>
    </row>
    <row r="51" spans="1:4" x14ac:dyDescent="0.3">
      <c r="A51" s="2"/>
      <c r="B51" s="28"/>
      <c r="C51" s="28"/>
      <c r="D51" s="10"/>
    </row>
    <row r="52" spans="1:4" x14ac:dyDescent="0.3">
      <c r="A52" s="2"/>
      <c r="B52" s="28"/>
      <c r="C52" s="28"/>
      <c r="D52" s="10"/>
    </row>
    <row r="53" spans="1:4" x14ac:dyDescent="0.3">
      <c r="A53" s="2"/>
      <c r="B53" s="28"/>
      <c r="C53" s="28"/>
      <c r="D53" s="10"/>
    </row>
    <row r="54" spans="1:4" x14ac:dyDescent="0.3">
      <c r="A54" s="2"/>
      <c r="B54" s="28"/>
      <c r="C54" s="28"/>
      <c r="D54" s="10"/>
    </row>
    <row r="55" spans="1:4" x14ac:dyDescent="0.3">
      <c r="A55" s="2"/>
      <c r="B55" s="28"/>
      <c r="C55" s="28"/>
      <c r="D55" s="10"/>
    </row>
    <row r="56" spans="1:4" x14ac:dyDescent="0.3">
      <c r="A56" s="2"/>
      <c r="B56" s="28"/>
      <c r="C56" s="28"/>
      <c r="D56" s="10"/>
    </row>
    <row r="57" spans="1:4" x14ac:dyDescent="0.3">
      <c r="A57" s="2"/>
      <c r="B57" s="28"/>
      <c r="C57" s="28"/>
      <c r="D57" s="10"/>
    </row>
    <row r="58" spans="1:4" x14ac:dyDescent="0.3">
      <c r="A58" s="2"/>
      <c r="B58" s="28"/>
      <c r="C58" s="28"/>
      <c r="D58" s="10"/>
    </row>
    <row r="59" spans="1:4" x14ac:dyDescent="0.3">
      <c r="A59" s="2"/>
      <c r="B59" s="28"/>
      <c r="C59" s="28"/>
      <c r="D59" s="10"/>
    </row>
    <row r="60" spans="1:4" x14ac:dyDescent="0.3">
      <c r="A60" s="13" t="s">
        <v>8</v>
      </c>
      <c r="B60" s="29">
        <f>SUM(B43:B59)</f>
        <v>850000</v>
      </c>
      <c r="C60" s="30">
        <f>SUM(C43:C59)</f>
        <v>850000</v>
      </c>
      <c r="D60" s="29"/>
    </row>
    <row r="61" spans="1:4" x14ac:dyDescent="0.3">
      <c r="A61" s="14"/>
      <c r="B61" s="11"/>
      <c r="C61" s="11"/>
      <c r="D61" s="11"/>
    </row>
    <row r="62" spans="1:4" x14ac:dyDescent="0.3">
      <c r="A62" s="35" t="s">
        <v>2</v>
      </c>
      <c r="B62" s="15"/>
      <c r="C62" s="15"/>
      <c r="D62" s="15"/>
    </row>
    <row r="63" spans="1:4" x14ac:dyDescent="0.3">
      <c r="A63" s="18" t="s">
        <v>30</v>
      </c>
      <c r="B63" s="44">
        <v>850000</v>
      </c>
      <c r="C63" s="44">
        <v>850000</v>
      </c>
      <c r="D63" s="44"/>
    </row>
    <row r="64" spans="1:4" x14ac:dyDescent="0.3">
      <c r="A64" s="18" t="s">
        <v>31</v>
      </c>
      <c r="B64" s="44">
        <v>850000</v>
      </c>
      <c r="C64" s="44">
        <v>850000</v>
      </c>
      <c r="D64" s="10"/>
    </row>
    <row r="65" spans="1:4" x14ac:dyDescent="0.3">
      <c r="A65" s="18" t="s">
        <v>32</v>
      </c>
      <c r="B65" s="44">
        <v>850000</v>
      </c>
      <c r="C65" s="44">
        <v>850000</v>
      </c>
      <c r="D65" s="10"/>
    </row>
    <row r="66" spans="1:4" x14ac:dyDescent="0.3">
      <c r="A66" s="4"/>
      <c r="B66" s="44"/>
      <c r="C66" s="44"/>
      <c r="D66" s="10"/>
    </row>
    <row r="67" spans="1:4" x14ac:dyDescent="0.3">
      <c r="A67" s="4"/>
      <c r="B67" s="44"/>
      <c r="C67" s="44"/>
      <c r="D67" s="10"/>
    </row>
    <row r="68" spans="1:4" x14ac:dyDescent="0.3">
      <c r="A68" s="4"/>
      <c r="B68" s="44"/>
      <c r="C68" s="44"/>
      <c r="D68" s="10"/>
    </row>
    <row r="69" spans="1:4" x14ac:dyDescent="0.3">
      <c r="A69" s="4"/>
      <c r="B69" s="44"/>
      <c r="C69" s="44"/>
      <c r="D69" s="10"/>
    </row>
    <row r="70" spans="1:4" x14ac:dyDescent="0.3">
      <c r="A70" s="4"/>
      <c r="B70" s="44"/>
      <c r="C70" s="44"/>
      <c r="D70" s="10"/>
    </row>
    <row r="71" spans="1:4" x14ac:dyDescent="0.3">
      <c r="A71" s="4"/>
      <c r="B71" s="44"/>
      <c r="C71" s="44"/>
      <c r="D71" s="10"/>
    </row>
    <row r="72" spans="1:4" x14ac:dyDescent="0.3">
      <c r="A72" s="4"/>
      <c r="B72" s="44"/>
      <c r="C72" s="44"/>
      <c r="D72" s="10"/>
    </row>
    <row r="73" spans="1:4" x14ac:dyDescent="0.3">
      <c r="A73" s="4"/>
      <c r="B73" s="44"/>
      <c r="C73" s="44"/>
    </row>
    <row r="74" spans="1:4" x14ac:dyDescent="0.3">
      <c r="A74" s="4"/>
      <c r="B74" s="44"/>
      <c r="C74" s="44"/>
    </row>
    <row r="75" spans="1:4" x14ac:dyDescent="0.3">
      <c r="A75" s="4"/>
      <c r="B75" s="44"/>
      <c r="C75" s="44"/>
    </row>
  </sheetData>
  <mergeCells count="1">
    <mergeCell ref="A3:D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47"/>
  <sheetViews>
    <sheetView tabSelected="1" zoomScaleNormal="100" workbookViewId="0">
      <selection activeCell="C12" sqref="C12"/>
    </sheetView>
  </sheetViews>
  <sheetFormatPr baseColWidth="10" defaultRowHeight="15.05" x14ac:dyDescent="0.3"/>
  <cols>
    <col min="1" max="1" width="72.109375" customWidth="1"/>
    <col min="2" max="2" width="26.88671875" customWidth="1"/>
    <col min="3" max="3" width="28.109375" customWidth="1"/>
    <col min="4" max="4" width="27.6640625" customWidth="1"/>
    <col min="5" max="5" width="20.6640625" customWidth="1"/>
    <col min="6" max="6" width="16.33203125" customWidth="1"/>
    <col min="7" max="7" width="33" customWidth="1"/>
  </cols>
  <sheetData>
    <row r="3" spans="1:9" ht="20.3" x14ac:dyDescent="0.3">
      <c r="A3" s="49" t="s">
        <v>19</v>
      </c>
      <c r="B3" s="49"/>
      <c r="C3" s="49"/>
      <c r="D3" s="49"/>
      <c r="E3" s="49"/>
      <c r="F3" s="49"/>
      <c r="G3" s="50"/>
      <c r="H3" s="9" t="s">
        <v>3</v>
      </c>
    </row>
    <row r="5" spans="1:9" ht="23.25" customHeight="1" x14ac:dyDescent="0.3">
      <c r="A5" s="5" t="s">
        <v>0</v>
      </c>
      <c r="B5" s="25" t="s">
        <v>10</v>
      </c>
      <c r="C5" s="25" t="s">
        <v>10</v>
      </c>
      <c r="D5" s="25" t="s">
        <v>10</v>
      </c>
      <c r="E5" s="51" t="s">
        <v>34</v>
      </c>
      <c r="F5" s="51"/>
      <c r="G5" s="25" t="s">
        <v>9</v>
      </c>
      <c r="H5" s="1"/>
    </row>
    <row r="6" spans="1:9" ht="23.25" customHeight="1" x14ac:dyDescent="0.3">
      <c r="A6" s="5" t="s">
        <v>4</v>
      </c>
      <c r="B6" s="26" t="s">
        <v>20</v>
      </c>
      <c r="C6" s="26" t="s">
        <v>21</v>
      </c>
      <c r="D6" s="36" t="s">
        <v>16</v>
      </c>
      <c r="E6" s="38" t="s">
        <v>35</v>
      </c>
      <c r="F6" s="38" t="s">
        <v>36</v>
      </c>
      <c r="G6" s="36" t="s">
        <v>17</v>
      </c>
      <c r="H6" s="1"/>
      <c r="I6" s="7"/>
    </row>
    <row r="7" spans="1:9" x14ac:dyDescent="0.3">
      <c r="A7" s="4" t="s">
        <v>39</v>
      </c>
      <c r="B7" s="44">
        <v>15000</v>
      </c>
      <c r="C7" s="44">
        <v>370000</v>
      </c>
      <c r="D7" s="44">
        <v>850000</v>
      </c>
      <c r="E7" s="44">
        <v>15000</v>
      </c>
      <c r="F7" s="44">
        <v>121000</v>
      </c>
      <c r="G7" s="44">
        <v>15000000</v>
      </c>
      <c r="I7" s="6"/>
    </row>
    <row r="8" spans="1:9" x14ac:dyDescent="0.3">
      <c r="A8" s="4" t="s">
        <v>22</v>
      </c>
      <c r="B8" s="44">
        <v>15000</v>
      </c>
      <c r="C8" s="44">
        <v>370000</v>
      </c>
      <c r="D8" s="44">
        <v>850000</v>
      </c>
      <c r="E8" s="44">
        <v>15000</v>
      </c>
      <c r="F8" s="44">
        <v>121000</v>
      </c>
      <c r="G8" s="44">
        <v>15000000</v>
      </c>
      <c r="H8" s="8"/>
      <c r="I8" s="6"/>
    </row>
    <row r="9" spans="1:9" x14ac:dyDescent="0.3">
      <c r="A9" s="4" t="s">
        <v>23</v>
      </c>
      <c r="B9" s="44">
        <v>15000</v>
      </c>
      <c r="C9" s="44">
        <v>370000</v>
      </c>
      <c r="D9" s="44">
        <v>850000</v>
      </c>
      <c r="E9" s="44">
        <v>15000</v>
      </c>
      <c r="F9" s="44">
        <v>121000</v>
      </c>
      <c r="G9" s="44">
        <v>15000000</v>
      </c>
    </row>
    <row r="10" spans="1:9" x14ac:dyDescent="0.3">
      <c r="A10" s="4" t="s">
        <v>24</v>
      </c>
      <c r="B10" s="44">
        <v>15000</v>
      </c>
      <c r="C10" s="44">
        <v>370000</v>
      </c>
      <c r="D10" s="44">
        <v>850000</v>
      </c>
      <c r="E10" s="44">
        <v>15000</v>
      </c>
      <c r="F10" s="44">
        <v>121000</v>
      </c>
      <c r="G10" s="44">
        <v>15000000</v>
      </c>
    </row>
    <row r="11" spans="1:9" x14ac:dyDescent="0.3">
      <c r="A11" s="4" t="s">
        <v>25</v>
      </c>
      <c r="B11" s="44">
        <v>15000</v>
      </c>
      <c r="C11" s="44">
        <v>370000</v>
      </c>
      <c r="D11" s="44">
        <v>850000</v>
      </c>
      <c r="E11" s="44">
        <v>15000</v>
      </c>
      <c r="F11" s="44">
        <v>121000</v>
      </c>
      <c r="G11" s="44">
        <v>15000000</v>
      </c>
      <c r="I11" s="7"/>
    </row>
    <row r="12" spans="1:9" x14ac:dyDescent="0.3">
      <c r="A12" s="4" t="s">
        <v>26</v>
      </c>
      <c r="B12" s="44">
        <v>15000</v>
      </c>
      <c r="C12" s="44">
        <v>370000</v>
      </c>
      <c r="D12" s="44">
        <v>850000</v>
      </c>
      <c r="E12" s="44">
        <v>15000</v>
      </c>
      <c r="F12" s="44">
        <v>121000</v>
      </c>
      <c r="G12" s="44">
        <v>15000000</v>
      </c>
      <c r="I12" s="6"/>
    </row>
    <row r="13" spans="1:9" x14ac:dyDescent="0.3">
      <c r="A13" s="46" t="s">
        <v>40</v>
      </c>
      <c r="B13" s="47"/>
      <c r="C13" s="47"/>
      <c r="D13" s="47"/>
      <c r="E13" s="47"/>
      <c r="F13" s="47"/>
      <c r="G13" s="47"/>
      <c r="I13" s="6"/>
    </row>
    <row r="14" spans="1:9" x14ac:dyDescent="0.3">
      <c r="A14" s="17" t="s">
        <v>1</v>
      </c>
      <c r="B14" s="33">
        <f>SUM(B7:B12)</f>
        <v>90000</v>
      </c>
      <c r="C14" s="33">
        <f>SUM(C7:C12)</f>
        <v>2220000</v>
      </c>
      <c r="D14" s="33">
        <f>SUM(D7:D12)</f>
        <v>5100000</v>
      </c>
      <c r="E14" s="33"/>
      <c r="F14" s="33"/>
      <c r="G14" s="33">
        <f>SUM(G7:G12)</f>
        <v>90000000</v>
      </c>
    </row>
    <row r="15" spans="1:9" x14ac:dyDescent="0.3">
      <c r="A15" s="5" t="s">
        <v>5</v>
      </c>
      <c r="B15" s="27"/>
      <c r="C15" s="15"/>
      <c r="D15" s="27"/>
      <c r="E15" s="27"/>
      <c r="F15" s="27"/>
      <c r="G15" s="15"/>
    </row>
    <row r="16" spans="1:9" x14ac:dyDescent="0.3">
      <c r="A16" s="2" t="s">
        <v>28</v>
      </c>
      <c r="B16" s="44">
        <v>15000</v>
      </c>
      <c r="C16" s="44">
        <v>370000</v>
      </c>
      <c r="D16" s="44">
        <v>850000</v>
      </c>
      <c r="E16" s="44">
        <v>15000</v>
      </c>
      <c r="F16" s="44">
        <v>121000</v>
      </c>
      <c r="G16" s="44">
        <v>15000000</v>
      </c>
    </row>
    <row r="17" spans="1:7" x14ac:dyDescent="0.3">
      <c r="A17" s="2" t="s">
        <v>29</v>
      </c>
      <c r="B17" s="44">
        <v>15000</v>
      </c>
      <c r="C17" s="44">
        <v>370000</v>
      </c>
      <c r="D17" s="44">
        <v>850000</v>
      </c>
      <c r="E17" s="44">
        <v>15000</v>
      </c>
      <c r="F17" s="44">
        <v>121000</v>
      </c>
      <c r="G17" s="44">
        <v>15000000</v>
      </c>
    </row>
    <row r="18" spans="1:7" x14ac:dyDescent="0.3">
      <c r="A18" s="4"/>
      <c r="B18" s="44"/>
      <c r="C18" s="44"/>
      <c r="D18" s="44"/>
      <c r="E18" s="44"/>
      <c r="F18" s="44"/>
      <c r="G18" s="44"/>
    </row>
    <row r="19" spans="1:7" x14ac:dyDescent="0.3">
      <c r="A19" s="2"/>
      <c r="B19" s="28"/>
      <c r="C19" s="28"/>
      <c r="D19" s="28"/>
      <c r="E19" s="28"/>
      <c r="F19" s="28"/>
      <c r="G19" s="28"/>
    </row>
    <row r="20" spans="1:7" x14ac:dyDescent="0.3">
      <c r="A20" s="2"/>
      <c r="B20" s="28"/>
      <c r="C20" s="28"/>
      <c r="D20" s="28"/>
      <c r="E20" s="28"/>
      <c r="F20" s="28"/>
      <c r="G20" s="28"/>
    </row>
    <row r="21" spans="1:7" x14ac:dyDescent="0.3">
      <c r="A21" s="2"/>
      <c r="B21" s="28"/>
      <c r="C21" s="28"/>
      <c r="D21" s="28"/>
      <c r="E21" s="28"/>
      <c r="F21" s="28"/>
      <c r="G21" s="28"/>
    </row>
    <row r="22" spans="1:7" x14ac:dyDescent="0.3">
      <c r="A22" s="2"/>
      <c r="B22" s="28"/>
      <c r="C22" s="28"/>
      <c r="D22" s="28"/>
      <c r="E22" s="28"/>
      <c r="F22" s="28"/>
      <c r="G22" s="28"/>
    </row>
    <row r="23" spans="1:7" x14ac:dyDescent="0.3">
      <c r="A23" s="2"/>
      <c r="B23" s="28"/>
      <c r="C23" s="28"/>
      <c r="D23" s="28"/>
      <c r="E23" s="28"/>
      <c r="F23" s="28"/>
      <c r="G23" s="28"/>
    </row>
    <row r="24" spans="1:7" x14ac:dyDescent="0.3">
      <c r="A24" s="2"/>
      <c r="B24" s="28"/>
      <c r="C24" s="28"/>
      <c r="D24" s="28"/>
      <c r="E24" s="28"/>
      <c r="F24" s="28"/>
      <c r="G24" s="28"/>
    </row>
    <row r="25" spans="1:7" x14ac:dyDescent="0.3">
      <c r="A25" s="2"/>
      <c r="B25" s="28"/>
      <c r="C25" s="28"/>
      <c r="D25" s="28"/>
      <c r="E25" s="28"/>
      <c r="F25" s="28"/>
      <c r="G25" s="28"/>
    </row>
    <row r="26" spans="1:7" x14ac:dyDescent="0.3">
      <c r="A26" s="2"/>
      <c r="B26" s="28"/>
      <c r="C26" s="28"/>
      <c r="D26" s="28"/>
      <c r="E26" s="28"/>
      <c r="F26" s="28"/>
      <c r="G26" s="28"/>
    </row>
    <row r="27" spans="1:7" x14ac:dyDescent="0.3">
      <c r="A27" s="2"/>
      <c r="B27" s="28"/>
      <c r="C27" s="28"/>
      <c r="D27" s="28"/>
      <c r="E27" s="28"/>
      <c r="F27" s="28"/>
      <c r="G27" s="28"/>
    </row>
    <row r="28" spans="1:7" x14ac:dyDescent="0.3">
      <c r="A28" s="2"/>
      <c r="B28" s="28"/>
      <c r="C28" s="28"/>
      <c r="D28" s="28"/>
      <c r="E28" s="28"/>
      <c r="F28" s="28"/>
      <c r="G28" s="28"/>
    </row>
    <row r="29" spans="1:7" x14ac:dyDescent="0.3">
      <c r="A29" s="12" t="s">
        <v>7</v>
      </c>
      <c r="B29" s="32">
        <f>SUM(B15:B28)</f>
        <v>30000</v>
      </c>
      <c r="C29" s="32">
        <f>SUM(C15:C28)</f>
        <v>740000</v>
      </c>
      <c r="D29" s="31">
        <f>SUM(D16:D28)</f>
        <v>1700000</v>
      </c>
      <c r="E29" s="31"/>
      <c r="F29" s="31"/>
      <c r="G29" s="32">
        <f>SUM(G16:G28)</f>
        <v>30000000</v>
      </c>
    </row>
    <row r="30" spans="1:7" x14ac:dyDescent="0.3">
      <c r="A30" s="5" t="s">
        <v>6</v>
      </c>
      <c r="B30" s="27"/>
      <c r="C30" s="15"/>
      <c r="D30" s="27"/>
      <c r="E30" s="27"/>
      <c r="F30" s="27"/>
      <c r="G30" s="15"/>
    </row>
    <row r="31" spans="1:7" x14ac:dyDescent="0.3">
      <c r="A31" s="2" t="s">
        <v>6</v>
      </c>
      <c r="B31" s="44">
        <v>15000</v>
      </c>
      <c r="C31" s="44">
        <v>370000</v>
      </c>
      <c r="D31" s="44">
        <v>850000</v>
      </c>
      <c r="E31" s="44">
        <v>15000</v>
      </c>
      <c r="F31" s="44">
        <v>121000</v>
      </c>
      <c r="G31" s="44">
        <v>15000000</v>
      </c>
    </row>
    <row r="32" spans="1:7" x14ac:dyDescent="0.3">
      <c r="A32" s="2"/>
      <c r="B32" s="44"/>
      <c r="C32" s="44"/>
      <c r="D32" s="44"/>
      <c r="E32" s="44"/>
      <c r="F32" s="44"/>
      <c r="G32" s="44"/>
    </row>
    <row r="33" spans="1:7" x14ac:dyDescent="0.3">
      <c r="A33" s="2"/>
      <c r="B33" s="44"/>
      <c r="C33" s="44"/>
      <c r="D33" s="44"/>
      <c r="E33" s="44"/>
      <c r="F33" s="44"/>
      <c r="G33" s="44"/>
    </row>
    <row r="34" spans="1:7" x14ac:dyDescent="0.3">
      <c r="A34" s="2"/>
      <c r="B34" s="28"/>
      <c r="C34" s="28"/>
      <c r="D34" s="45"/>
      <c r="E34" s="45"/>
      <c r="F34" s="45"/>
      <c r="G34" s="45"/>
    </row>
    <row r="35" spans="1:7" x14ac:dyDescent="0.3">
      <c r="A35" s="2"/>
      <c r="B35" s="28"/>
      <c r="C35" s="28"/>
      <c r="D35" s="28"/>
      <c r="E35" s="28"/>
      <c r="F35" s="28"/>
      <c r="G35" s="28"/>
    </row>
    <row r="36" spans="1:7" x14ac:dyDescent="0.3">
      <c r="A36" s="2"/>
      <c r="B36" s="28"/>
      <c r="C36" s="28"/>
      <c r="D36" s="28"/>
      <c r="E36" s="28"/>
      <c r="F36" s="28"/>
      <c r="G36" s="28"/>
    </row>
    <row r="37" spans="1:7" x14ac:dyDescent="0.3">
      <c r="A37" s="2"/>
      <c r="B37" s="28"/>
      <c r="C37" s="28"/>
      <c r="D37" s="28"/>
      <c r="E37" s="28"/>
      <c r="F37" s="28"/>
      <c r="G37" s="28"/>
    </row>
    <row r="38" spans="1:7" x14ac:dyDescent="0.3">
      <c r="A38" s="2"/>
      <c r="B38" s="28"/>
      <c r="C38" s="28"/>
      <c r="D38" s="28"/>
      <c r="E38" s="28"/>
      <c r="F38" s="28"/>
      <c r="G38" s="28"/>
    </row>
    <row r="39" spans="1:7" x14ac:dyDescent="0.3">
      <c r="A39" s="2"/>
      <c r="B39" s="28"/>
      <c r="C39" s="28"/>
      <c r="D39" s="28"/>
      <c r="E39" s="28"/>
      <c r="F39" s="28"/>
      <c r="G39" s="28"/>
    </row>
    <row r="40" spans="1:7" x14ac:dyDescent="0.3">
      <c r="A40" s="2"/>
      <c r="B40" s="28"/>
      <c r="C40" s="28"/>
      <c r="D40" s="28"/>
      <c r="E40" s="28"/>
      <c r="F40" s="28"/>
      <c r="G40" s="28"/>
    </row>
    <row r="41" spans="1:7" x14ac:dyDescent="0.3">
      <c r="A41" s="2"/>
      <c r="B41" s="28"/>
      <c r="C41" s="28"/>
      <c r="D41" s="28"/>
      <c r="E41" s="28"/>
      <c r="F41" s="28"/>
      <c r="G41" s="28"/>
    </row>
    <row r="42" spans="1:7" x14ac:dyDescent="0.3">
      <c r="A42" s="13" t="s">
        <v>8</v>
      </c>
      <c r="B42" s="30">
        <f>SUM(B30:B41)</f>
        <v>15000</v>
      </c>
      <c r="C42" s="30">
        <f>SUM(C30:C41)</f>
        <v>370000</v>
      </c>
      <c r="D42" s="29">
        <f>SUM(D31:D41)</f>
        <v>850000</v>
      </c>
      <c r="E42" s="29"/>
      <c r="F42" s="29"/>
      <c r="G42" s="30">
        <f>SUM(G31:G41)</f>
        <v>15000000</v>
      </c>
    </row>
    <row r="43" spans="1:7" x14ac:dyDescent="0.3">
      <c r="A43" s="14"/>
      <c r="B43" s="11"/>
      <c r="C43" s="11"/>
      <c r="D43" s="11"/>
      <c r="E43" s="11"/>
      <c r="F43" s="11"/>
      <c r="G43" s="11"/>
    </row>
    <row r="44" spans="1:7" x14ac:dyDescent="0.3">
      <c r="A44" s="37" t="s">
        <v>2</v>
      </c>
      <c r="B44" s="27"/>
      <c r="C44" s="15"/>
      <c r="D44" s="27"/>
      <c r="E44" s="27"/>
      <c r="F44" s="27"/>
      <c r="G44" s="15"/>
    </row>
    <row r="45" spans="1:7" x14ac:dyDescent="0.3">
      <c r="A45" s="18" t="s">
        <v>30</v>
      </c>
      <c r="B45" s="44">
        <v>15000</v>
      </c>
      <c r="C45" s="44">
        <v>370000</v>
      </c>
      <c r="D45" s="44">
        <v>850000</v>
      </c>
      <c r="E45" s="44">
        <v>15000</v>
      </c>
      <c r="F45" s="44">
        <v>121000</v>
      </c>
      <c r="G45" s="44">
        <v>15000000</v>
      </c>
    </row>
    <row r="46" spans="1:7" x14ac:dyDescent="0.3">
      <c r="A46" s="18" t="s">
        <v>31</v>
      </c>
      <c r="B46" s="44">
        <v>15000</v>
      </c>
      <c r="C46" s="44">
        <v>370000</v>
      </c>
      <c r="D46" s="44">
        <v>850000</v>
      </c>
      <c r="E46" s="44">
        <v>15000</v>
      </c>
      <c r="F46" s="44">
        <v>121000</v>
      </c>
      <c r="G46" s="44">
        <v>15000000</v>
      </c>
    </row>
    <row r="47" spans="1:7" x14ac:dyDescent="0.3">
      <c r="A47" s="18" t="s">
        <v>32</v>
      </c>
      <c r="B47" s="44">
        <v>15000</v>
      </c>
      <c r="C47" s="44">
        <v>370000</v>
      </c>
      <c r="D47" s="44">
        <v>850000</v>
      </c>
      <c r="E47" s="44">
        <v>15000</v>
      </c>
      <c r="F47" s="44">
        <v>121000</v>
      </c>
      <c r="G47" s="44">
        <v>15000000</v>
      </c>
    </row>
  </sheetData>
  <mergeCells count="2">
    <mergeCell ref="A3:G3"/>
    <mergeCell ref="E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32"/>
  <sheetViews>
    <sheetView workbookViewId="0">
      <selection activeCell="C7" sqref="C7:C19"/>
    </sheetView>
  </sheetViews>
  <sheetFormatPr baseColWidth="10" defaultRowHeight="15.05" x14ac:dyDescent="0.3"/>
  <cols>
    <col min="1" max="1" width="17.88671875" customWidth="1"/>
    <col min="2" max="2" width="36.88671875" customWidth="1"/>
    <col min="3" max="3" width="27.44140625" customWidth="1"/>
    <col min="4" max="4" width="14" customWidth="1"/>
  </cols>
  <sheetData>
    <row r="2" spans="2:5" ht="19.649999999999999" x14ac:dyDescent="0.3">
      <c r="D2" s="19" t="s">
        <v>11</v>
      </c>
    </row>
    <row r="3" spans="2:5" x14ac:dyDescent="0.3">
      <c r="B3" s="52" t="s">
        <v>12</v>
      </c>
      <c r="C3" s="52"/>
    </row>
    <row r="4" spans="2:5" x14ac:dyDescent="0.3">
      <c r="B4" s="52"/>
      <c r="C4" s="52"/>
      <c r="E4" s="16"/>
    </row>
    <row r="6" spans="2:5" x14ac:dyDescent="0.3">
      <c r="B6" s="21" t="s">
        <v>13</v>
      </c>
      <c r="C6" s="21" t="s">
        <v>14</v>
      </c>
    </row>
    <row r="7" spans="2:5" ht="18.850000000000001" customHeight="1" x14ac:dyDescent="0.3">
      <c r="B7" s="4" t="s">
        <v>39</v>
      </c>
      <c r="C7" s="44">
        <v>15000</v>
      </c>
    </row>
    <row r="8" spans="2:5" ht="15.05" customHeight="1" x14ac:dyDescent="0.3">
      <c r="B8" s="4" t="s">
        <v>22</v>
      </c>
      <c r="C8" s="44">
        <v>15000</v>
      </c>
    </row>
    <row r="9" spans="2:5" ht="15.05" customHeight="1" x14ac:dyDescent="0.35">
      <c r="B9" s="4" t="s">
        <v>23</v>
      </c>
      <c r="C9" s="44">
        <v>15000</v>
      </c>
      <c r="E9" s="20"/>
    </row>
    <row r="10" spans="2:5" ht="19.649999999999999" x14ac:dyDescent="0.35">
      <c r="B10" s="4" t="s">
        <v>24</v>
      </c>
      <c r="C10" s="44">
        <v>15000</v>
      </c>
      <c r="D10" s="20"/>
    </row>
    <row r="11" spans="2:5" x14ac:dyDescent="0.3">
      <c r="B11" s="4" t="s">
        <v>25</v>
      </c>
      <c r="C11" s="44">
        <v>15000</v>
      </c>
    </row>
    <row r="12" spans="2:5" x14ac:dyDescent="0.3">
      <c r="B12" s="4" t="s">
        <v>26</v>
      </c>
      <c r="C12" s="44">
        <v>15000</v>
      </c>
    </row>
    <row r="13" spans="2:5" x14ac:dyDescent="0.3">
      <c r="B13" s="4" t="s">
        <v>27</v>
      </c>
      <c r="C13" s="44">
        <v>15000</v>
      </c>
    </row>
    <row r="14" spans="2:5" x14ac:dyDescent="0.3">
      <c r="B14" s="2" t="s">
        <v>28</v>
      </c>
      <c r="C14" s="44">
        <v>15000</v>
      </c>
    </row>
    <row r="15" spans="2:5" x14ac:dyDescent="0.3">
      <c r="B15" s="2" t="s">
        <v>29</v>
      </c>
      <c r="C15" s="44">
        <v>15000</v>
      </c>
    </row>
    <row r="16" spans="2:5" x14ac:dyDescent="0.3">
      <c r="B16" s="2" t="s">
        <v>6</v>
      </c>
      <c r="C16" s="44">
        <v>15000</v>
      </c>
    </row>
    <row r="17" spans="2:3" x14ac:dyDescent="0.3">
      <c r="B17" s="18" t="s">
        <v>30</v>
      </c>
      <c r="C17" s="44">
        <v>15000</v>
      </c>
    </row>
    <row r="18" spans="2:3" x14ac:dyDescent="0.3">
      <c r="B18" s="18" t="s">
        <v>31</v>
      </c>
      <c r="C18" s="44">
        <v>15000</v>
      </c>
    </row>
    <row r="19" spans="2:3" x14ac:dyDescent="0.3">
      <c r="B19" s="18" t="s">
        <v>32</v>
      </c>
      <c r="C19" s="44">
        <v>15000</v>
      </c>
    </row>
    <row r="20" spans="2:3" x14ac:dyDescent="0.3">
      <c r="B20" s="4"/>
      <c r="C20" s="23"/>
    </row>
    <row r="21" spans="2:3" x14ac:dyDescent="0.3">
      <c r="B21" s="4"/>
      <c r="C21" s="24"/>
    </row>
    <row r="22" spans="2:3" x14ac:dyDescent="0.3">
      <c r="B22" s="4"/>
      <c r="C22" s="24"/>
    </row>
    <row r="23" spans="2:3" x14ac:dyDescent="0.3">
      <c r="B23" s="4"/>
      <c r="C23" s="24"/>
    </row>
    <row r="24" spans="2:3" x14ac:dyDescent="0.3">
      <c r="B24" s="4"/>
      <c r="C24" s="24"/>
    </row>
    <row r="25" spans="2:3" x14ac:dyDescent="0.3">
      <c r="B25" s="4"/>
      <c r="C25" s="24"/>
    </row>
    <row r="26" spans="2:3" x14ac:dyDescent="0.3">
      <c r="B26" s="4"/>
      <c r="C26" s="24"/>
    </row>
    <row r="27" spans="2:3" x14ac:dyDescent="0.3">
      <c r="B27" s="22"/>
      <c r="C27" s="24"/>
    </row>
    <row r="28" spans="2:3" x14ac:dyDescent="0.3">
      <c r="B28" s="22"/>
      <c r="C28" s="24"/>
    </row>
    <row r="29" spans="2:3" x14ac:dyDescent="0.3">
      <c r="B29" s="22"/>
      <c r="C29" s="24"/>
    </row>
    <row r="30" spans="2:3" x14ac:dyDescent="0.3">
      <c r="B30" s="22"/>
      <c r="C30" s="24"/>
    </row>
    <row r="31" spans="2:3" x14ac:dyDescent="0.3">
      <c r="B31" s="22"/>
      <c r="C31" s="24"/>
    </row>
    <row r="32" spans="2:3" x14ac:dyDescent="0.3">
      <c r="B32" s="22"/>
      <c r="C32" s="24"/>
    </row>
  </sheetData>
  <mergeCells count="1">
    <mergeCell ref="B3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83"/>
  <sheetViews>
    <sheetView topLeftCell="A4" workbookViewId="0">
      <selection activeCell="C59" sqref="C59"/>
    </sheetView>
  </sheetViews>
  <sheetFormatPr baseColWidth="10" defaultRowHeight="15.05" x14ac:dyDescent="0.3"/>
  <cols>
    <col min="1" max="1" width="17.33203125" customWidth="1"/>
    <col min="2" max="2" width="57" customWidth="1"/>
    <col min="3" max="3" width="21.88671875" customWidth="1"/>
    <col min="4" max="4" width="15.109375" customWidth="1"/>
  </cols>
  <sheetData>
    <row r="2" spans="2:4" ht="17.05" x14ac:dyDescent="0.3">
      <c r="D2" s="9" t="s">
        <v>3</v>
      </c>
    </row>
    <row r="3" spans="2:4" x14ac:dyDescent="0.3">
      <c r="B3" s="53" t="s">
        <v>18</v>
      </c>
      <c r="C3" s="53"/>
    </row>
    <row r="4" spans="2:4" x14ac:dyDescent="0.3">
      <c r="B4" s="53"/>
      <c r="C4" s="53"/>
    </row>
    <row r="5" spans="2:4" x14ac:dyDescent="0.3">
      <c r="B5" s="53"/>
      <c r="C5" s="53"/>
    </row>
    <row r="7" spans="2:4" x14ac:dyDescent="0.3">
      <c r="B7" s="5" t="s">
        <v>0</v>
      </c>
      <c r="C7" s="25" t="s">
        <v>15</v>
      </c>
    </row>
    <row r="8" spans="2:4" x14ac:dyDescent="0.3">
      <c r="B8" s="5" t="s">
        <v>4</v>
      </c>
      <c r="C8" s="26" t="s">
        <v>20</v>
      </c>
      <c r="D8" s="1"/>
    </row>
    <row r="9" spans="2:4" ht="19.5" customHeight="1" x14ac:dyDescent="0.3">
      <c r="B9" s="4" t="s">
        <v>39</v>
      </c>
      <c r="C9" s="44">
        <v>15000</v>
      </c>
      <c r="D9" s="1"/>
    </row>
    <row r="10" spans="2:4" x14ac:dyDescent="0.3">
      <c r="B10" s="4" t="s">
        <v>22</v>
      </c>
      <c r="C10" s="44">
        <v>15000</v>
      </c>
    </row>
    <row r="11" spans="2:4" ht="18" customHeight="1" x14ac:dyDescent="0.3">
      <c r="B11" s="4" t="s">
        <v>23</v>
      </c>
      <c r="C11" s="44">
        <v>15000</v>
      </c>
      <c r="D11" s="8"/>
    </row>
    <row r="12" spans="2:4" x14ac:dyDescent="0.3">
      <c r="B12" s="4" t="s">
        <v>24</v>
      </c>
      <c r="C12" s="44">
        <v>15000</v>
      </c>
    </row>
    <row r="13" spans="2:4" x14ac:dyDescent="0.3">
      <c r="B13" s="4" t="s">
        <v>25</v>
      </c>
      <c r="C13" s="44">
        <v>15000</v>
      </c>
    </row>
    <row r="14" spans="2:4" x14ac:dyDescent="0.3">
      <c r="B14" s="4" t="s">
        <v>26</v>
      </c>
      <c r="C14" s="44">
        <v>15000</v>
      </c>
    </row>
    <row r="15" spans="2:4" x14ac:dyDescent="0.3">
      <c r="B15" s="4" t="s">
        <v>27</v>
      </c>
      <c r="C15" s="44">
        <v>15000</v>
      </c>
    </row>
    <row r="16" spans="2:4" x14ac:dyDescent="0.3">
      <c r="B16" s="4"/>
      <c r="C16" s="43"/>
      <c r="D16" s="8"/>
    </row>
    <row r="17" spans="2:3" x14ac:dyDescent="0.3">
      <c r="B17" s="4"/>
      <c r="C17" s="43"/>
    </row>
    <row r="18" spans="2:3" x14ac:dyDescent="0.3">
      <c r="B18" s="4"/>
      <c r="C18" s="43"/>
    </row>
    <row r="19" spans="2:3" x14ac:dyDescent="0.3">
      <c r="B19" s="4"/>
      <c r="C19" s="43"/>
    </row>
    <row r="20" spans="2:3" x14ac:dyDescent="0.3">
      <c r="B20" s="4"/>
      <c r="C20" s="34"/>
    </row>
    <row r="21" spans="2:3" x14ac:dyDescent="0.3">
      <c r="B21" s="4"/>
      <c r="C21" s="34"/>
    </row>
    <row r="22" spans="2:3" x14ac:dyDescent="0.3">
      <c r="B22" s="4"/>
      <c r="C22" s="34"/>
    </row>
    <row r="23" spans="2:3" x14ac:dyDescent="0.3">
      <c r="B23" s="4"/>
      <c r="C23" s="34"/>
    </row>
    <row r="24" spans="2:3" x14ac:dyDescent="0.3">
      <c r="B24" s="4"/>
      <c r="C24" s="34"/>
    </row>
    <row r="25" spans="2:3" x14ac:dyDescent="0.3">
      <c r="B25" s="4"/>
      <c r="C25" s="34"/>
    </row>
    <row r="26" spans="2:3" x14ac:dyDescent="0.3">
      <c r="B26" s="17" t="s">
        <v>1</v>
      </c>
      <c r="C26" s="33">
        <f>SUM(C9:C25)</f>
        <v>105000</v>
      </c>
    </row>
    <row r="27" spans="2:3" x14ac:dyDescent="0.3">
      <c r="B27" s="5" t="s">
        <v>5</v>
      </c>
      <c r="C27" s="27"/>
    </row>
    <row r="28" spans="2:3" x14ac:dyDescent="0.3">
      <c r="B28" s="2" t="s">
        <v>28</v>
      </c>
      <c r="C28" s="44">
        <v>15000</v>
      </c>
    </row>
    <row r="29" spans="2:3" x14ac:dyDescent="0.3">
      <c r="B29" s="2" t="s">
        <v>29</v>
      </c>
      <c r="C29" s="44">
        <v>15000</v>
      </c>
    </row>
    <row r="30" spans="2:3" x14ac:dyDescent="0.3">
      <c r="B30" s="4"/>
      <c r="C30" s="44"/>
    </row>
    <row r="31" spans="2:3" x14ac:dyDescent="0.3">
      <c r="B31" s="4"/>
      <c r="C31" s="28"/>
    </row>
    <row r="32" spans="2:3" x14ac:dyDescent="0.3">
      <c r="B32" s="4"/>
      <c r="C32" s="28"/>
    </row>
    <row r="33" spans="2:3" x14ac:dyDescent="0.3">
      <c r="B33" s="4"/>
      <c r="C33" s="28"/>
    </row>
    <row r="34" spans="2:3" x14ac:dyDescent="0.3">
      <c r="B34" s="4"/>
      <c r="C34" s="28"/>
    </row>
    <row r="35" spans="2:3" x14ac:dyDescent="0.3">
      <c r="B35" s="4"/>
      <c r="C35" s="28"/>
    </row>
    <row r="36" spans="2:3" x14ac:dyDescent="0.3">
      <c r="B36" s="4"/>
      <c r="C36" s="28"/>
    </row>
    <row r="37" spans="2:3" x14ac:dyDescent="0.3">
      <c r="B37" s="2"/>
      <c r="C37" s="28"/>
    </row>
    <row r="38" spans="2:3" x14ac:dyDescent="0.3">
      <c r="B38" s="2"/>
      <c r="C38" s="28"/>
    </row>
    <row r="39" spans="2:3" x14ac:dyDescent="0.3">
      <c r="B39" s="2"/>
      <c r="C39" s="28"/>
    </row>
    <row r="40" spans="2:3" x14ac:dyDescent="0.3">
      <c r="B40" s="2"/>
      <c r="C40" s="28"/>
    </row>
    <row r="41" spans="2:3" x14ac:dyDescent="0.3">
      <c r="B41" s="2"/>
      <c r="C41" s="28"/>
    </row>
    <row r="42" spans="2:3" x14ac:dyDescent="0.3">
      <c r="B42" s="2"/>
      <c r="C42" s="28"/>
    </row>
    <row r="43" spans="2:3" x14ac:dyDescent="0.3">
      <c r="B43" s="2"/>
      <c r="C43" s="28"/>
    </row>
    <row r="44" spans="2:3" x14ac:dyDescent="0.3">
      <c r="B44" s="2"/>
      <c r="C44" s="28"/>
    </row>
    <row r="45" spans="2:3" x14ac:dyDescent="0.3">
      <c r="B45" s="12" t="s">
        <v>7</v>
      </c>
      <c r="C45" s="32">
        <f>SUM(C27:C44)</f>
        <v>30000</v>
      </c>
    </row>
    <row r="46" spans="2:3" x14ac:dyDescent="0.3">
      <c r="B46" s="5" t="s">
        <v>6</v>
      </c>
      <c r="C46" s="27"/>
    </row>
    <row r="47" spans="2:3" x14ac:dyDescent="0.3">
      <c r="B47" s="2" t="s">
        <v>6</v>
      </c>
      <c r="C47" s="44">
        <v>15000</v>
      </c>
    </row>
    <row r="48" spans="2:3" x14ac:dyDescent="0.3">
      <c r="B48" s="4"/>
      <c r="C48" s="43"/>
    </row>
    <row r="49" spans="2:3" x14ac:dyDescent="0.3">
      <c r="B49" s="4"/>
      <c r="C49" s="28"/>
    </row>
    <row r="50" spans="2:3" x14ac:dyDescent="0.3">
      <c r="B50" s="4"/>
      <c r="C50" s="28"/>
    </row>
    <row r="51" spans="2:3" x14ac:dyDescent="0.3">
      <c r="B51" s="4"/>
      <c r="C51" s="28"/>
    </row>
    <row r="52" spans="2:3" x14ac:dyDescent="0.3">
      <c r="B52" s="4"/>
      <c r="C52" s="28"/>
    </row>
    <row r="53" spans="2:3" x14ac:dyDescent="0.3">
      <c r="B53" s="4"/>
      <c r="C53" s="28"/>
    </row>
    <row r="54" spans="2:3" x14ac:dyDescent="0.3">
      <c r="B54" s="4"/>
      <c r="C54" s="28"/>
    </row>
    <row r="55" spans="2:3" x14ac:dyDescent="0.3">
      <c r="B55" s="2"/>
      <c r="C55" s="28"/>
    </row>
    <row r="56" spans="2:3" x14ac:dyDescent="0.3">
      <c r="B56" s="2"/>
      <c r="C56" s="28"/>
    </row>
    <row r="57" spans="2:3" x14ac:dyDescent="0.3">
      <c r="B57" s="2"/>
      <c r="C57" s="28"/>
    </row>
    <row r="58" spans="2:3" x14ac:dyDescent="0.3">
      <c r="B58" s="2"/>
      <c r="C58" s="28"/>
    </row>
    <row r="59" spans="2:3" x14ac:dyDescent="0.3">
      <c r="B59" s="2"/>
      <c r="C59" s="28"/>
    </row>
    <row r="60" spans="2:3" x14ac:dyDescent="0.3">
      <c r="B60" s="2"/>
      <c r="C60" s="28"/>
    </row>
    <row r="61" spans="2:3" x14ac:dyDescent="0.3">
      <c r="B61" s="2"/>
      <c r="C61" s="28"/>
    </row>
    <row r="62" spans="2:3" x14ac:dyDescent="0.3">
      <c r="B62" s="2"/>
      <c r="C62" s="28"/>
    </row>
    <row r="63" spans="2:3" x14ac:dyDescent="0.3">
      <c r="B63" s="2"/>
      <c r="C63" s="28"/>
    </row>
    <row r="64" spans="2:3" x14ac:dyDescent="0.3">
      <c r="B64" s="13" t="s">
        <v>8</v>
      </c>
      <c r="C64" s="30">
        <f>SUM(C46:C63)</f>
        <v>15000</v>
      </c>
    </row>
    <row r="65" spans="2:3" x14ac:dyDescent="0.3">
      <c r="B65" s="14"/>
      <c r="C65" s="11"/>
    </row>
    <row r="66" spans="2:3" x14ac:dyDescent="0.3">
      <c r="B66" s="37" t="s">
        <v>2</v>
      </c>
      <c r="C66" s="27"/>
    </row>
    <row r="67" spans="2:3" x14ac:dyDescent="0.3">
      <c r="B67" s="18" t="s">
        <v>30</v>
      </c>
      <c r="C67" s="44">
        <v>15000</v>
      </c>
    </row>
    <row r="68" spans="2:3" x14ac:dyDescent="0.3">
      <c r="B68" s="18" t="s">
        <v>31</v>
      </c>
      <c r="C68" s="44">
        <v>15000</v>
      </c>
    </row>
    <row r="69" spans="2:3" x14ac:dyDescent="0.3">
      <c r="B69" s="18" t="s">
        <v>32</v>
      </c>
      <c r="C69" s="44">
        <v>15000</v>
      </c>
    </row>
    <row r="70" spans="2:3" x14ac:dyDescent="0.3">
      <c r="B70" s="4"/>
      <c r="C70" s="28"/>
    </row>
    <row r="71" spans="2:3" x14ac:dyDescent="0.3">
      <c r="B71" s="4"/>
      <c r="C71" s="28"/>
    </row>
    <row r="72" spans="2:3" x14ac:dyDescent="0.3">
      <c r="B72" s="4"/>
      <c r="C72" s="28"/>
    </row>
    <row r="73" spans="2:3" x14ac:dyDescent="0.3">
      <c r="B73" s="4"/>
      <c r="C73" s="28"/>
    </row>
    <row r="74" spans="2:3" x14ac:dyDescent="0.3">
      <c r="B74" s="4"/>
      <c r="C74" s="28"/>
    </row>
    <row r="75" spans="2:3" x14ac:dyDescent="0.3">
      <c r="B75" s="4"/>
      <c r="C75" s="28"/>
    </row>
    <row r="76" spans="2:3" x14ac:dyDescent="0.3">
      <c r="B76" s="4"/>
      <c r="C76" s="10"/>
    </row>
    <row r="77" spans="2:3" x14ac:dyDescent="0.3">
      <c r="B77" s="4"/>
      <c r="C77" s="22"/>
    </row>
    <row r="78" spans="2:3" x14ac:dyDescent="0.3">
      <c r="B78" s="4"/>
      <c r="C78" s="22"/>
    </row>
    <row r="79" spans="2:3" x14ac:dyDescent="0.3">
      <c r="B79" s="4"/>
      <c r="C79" s="22"/>
    </row>
    <row r="80" spans="2:3" x14ac:dyDescent="0.3">
      <c r="B80" s="4"/>
      <c r="C80" s="22"/>
    </row>
    <row r="81" spans="2:3" x14ac:dyDescent="0.3">
      <c r="B81" s="4"/>
      <c r="C81" s="22"/>
    </row>
    <row r="82" spans="2:3" x14ac:dyDescent="0.3">
      <c r="B82" s="4"/>
      <c r="C82" s="22"/>
    </row>
    <row r="83" spans="2:3" x14ac:dyDescent="0.3">
      <c r="B83" s="4"/>
      <c r="C83" s="22"/>
    </row>
  </sheetData>
  <mergeCells count="1">
    <mergeCell ref="B3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ESTADOS FINANCIEROS ANUAL</vt:lpstr>
      <vt:lpstr>ESTADOS FINANCIEROS SEMESTRALES</vt:lpstr>
      <vt:lpstr>REGISTROS AUXILIARES</vt:lpstr>
      <vt:lpstr>SALDOS INICIALES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Juárez</dc:creator>
  <dc:description/>
  <cp:lastModifiedBy>Luis Ángel</cp:lastModifiedBy>
  <cp:revision>14</cp:revision>
  <dcterms:created xsi:type="dcterms:W3CDTF">2023-04-28T21:38:54Z</dcterms:created>
  <dcterms:modified xsi:type="dcterms:W3CDTF">2025-11-25T01:58:15Z</dcterms:modified>
  <dc:language>es-GT</dc:language>
</cp:coreProperties>
</file>