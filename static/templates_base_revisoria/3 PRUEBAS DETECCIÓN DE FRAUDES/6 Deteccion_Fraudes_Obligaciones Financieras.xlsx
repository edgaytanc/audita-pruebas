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Users\Toño\Desktop\PAPELES COLOMBIA\1 AUDITORIA Y REVISORIA FISCAL\Pruebas de Deteccion de Fraudes\"/>
    </mc:Choice>
  </mc:AlternateContent>
  <bookViews>
    <workbookView xWindow="0" yWindow="0" windowWidth="25200" windowHeight="11580"/>
  </bookViews>
  <sheets>
    <sheet name="ÍNDICE" sheetId="1" r:id="rId1"/>
    <sheet name="PT G.1 - Confirmaciones" sheetId="2" r:id="rId2"/>
    <sheet name="PT G.2 - Cláusulas" sheetId="3" r:id="rId3"/>
    <sheet name="PT G.3 - Covenants" sheetId="4" r:id="rId4"/>
    <sheet name="PT G.4 - Garantías" sheetId="5" r:id="rId5"/>
    <sheet name="PT G.5 - Clasificación" sheetId="6" r:id="rId6"/>
    <sheet name="PT G.6 - Tasas Interés" sheetId="7" r:id="rId7"/>
    <sheet name="PT G.7 - Avales" sheetId="8" r:id="rId8"/>
    <sheet name="PT G.8 - Off-Balance" sheetId="9" r:id="rId9"/>
    <sheet name="PT G.9 - Gastos Financ" sheetId="10" r:id="rId10"/>
    <sheet name="PT G.10 - Amortizaciones" sheetId="11" r:id="rId11"/>
    <sheet name="PT G.11 - Uso Recursos" sheetId="12" r:id="rId12"/>
  </sheets>
  <calcPr calcId="162913"/>
</workbook>
</file>

<file path=xl/calcChain.xml><?xml version="1.0" encoding="utf-8"?>
<calcChain xmlns="http://schemas.openxmlformats.org/spreadsheetml/2006/main">
  <c r="B16" i="12" l="1"/>
  <c r="B15" i="12"/>
  <c r="B14" i="12"/>
  <c r="K10" i="12"/>
  <c r="G10" i="12"/>
  <c r="K9" i="12"/>
  <c r="G9" i="12"/>
  <c r="K8" i="12"/>
  <c r="G8" i="12"/>
  <c r="K7" i="12"/>
  <c r="B17" i="12" s="1"/>
  <c r="G7" i="12"/>
  <c r="B15" i="11"/>
  <c r="I11" i="11"/>
  <c r="K11" i="11" s="1"/>
  <c r="K10" i="11"/>
  <c r="I10" i="11"/>
  <c r="J10" i="11" s="1"/>
  <c r="K9" i="11"/>
  <c r="J9" i="11"/>
  <c r="I9" i="11"/>
  <c r="I8" i="11"/>
  <c r="K8" i="11" s="1"/>
  <c r="I7" i="11"/>
  <c r="K7" i="11" s="1"/>
  <c r="B16" i="11" s="1"/>
  <c r="F14" i="10"/>
  <c r="F10" i="10"/>
  <c r="F9" i="10"/>
  <c r="F8" i="10"/>
  <c r="F7" i="10"/>
  <c r="B16" i="9"/>
  <c r="B15" i="9"/>
  <c r="B14" i="9"/>
  <c r="B13" i="9"/>
  <c r="K9" i="9"/>
  <c r="K8" i="9"/>
  <c r="K7" i="9"/>
  <c r="B15" i="8"/>
  <c r="B14" i="8"/>
  <c r="B13" i="8"/>
  <c r="L9" i="8"/>
  <c r="K9" i="8"/>
  <c r="L8" i="8"/>
  <c r="K8" i="8"/>
  <c r="L7" i="8"/>
  <c r="K7" i="8"/>
  <c r="B16" i="8" s="1"/>
  <c r="B16" i="7"/>
  <c r="K10" i="7"/>
  <c r="J10" i="7"/>
  <c r="I10" i="7"/>
  <c r="K9" i="7"/>
  <c r="J9" i="7"/>
  <c r="I9" i="7"/>
  <c r="K8" i="7"/>
  <c r="J8" i="7"/>
  <c r="B14" i="7" s="1"/>
  <c r="I8" i="7"/>
  <c r="K7" i="7"/>
  <c r="J7" i="7"/>
  <c r="B15" i="7" s="1"/>
  <c r="I7" i="7"/>
  <c r="B16" i="6"/>
  <c r="B15" i="6"/>
  <c r="B14" i="6"/>
  <c r="J10" i="6"/>
  <c r="J9" i="6"/>
  <c r="J8" i="6"/>
  <c r="J7" i="6"/>
  <c r="B18" i="5"/>
  <c r="B19" i="5" s="1"/>
  <c r="B17" i="5"/>
  <c r="B16" i="5"/>
  <c r="B15" i="5"/>
  <c r="J11" i="5"/>
  <c r="I11" i="5"/>
  <c r="I10" i="5"/>
  <c r="J10" i="5" s="1"/>
  <c r="J9" i="5"/>
  <c r="I9" i="5"/>
  <c r="I8" i="5"/>
  <c r="J8" i="5" s="1"/>
  <c r="J7" i="5"/>
  <c r="I7" i="5"/>
  <c r="B17" i="4"/>
  <c r="B15" i="4"/>
  <c r="I10" i="4"/>
  <c r="K10" i="4" s="1"/>
  <c r="H10" i="4"/>
  <c r="G10" i="4"/>
  <c r="I9" i="4"/>
  <c r="K9" i="4" s="1"/>
  <c r="H9" i="4"/>
  <c r="G9" i="4"/>
  <c r="I8" i="4"/>
  <c r="K8" i="4" s="1"/>
  <c r="H8" i="4"/>
  <c r="G8" i="4"/>
  <c r="I7" i="4"/>
  <c r="B14" i="4" s="1"/>
  <c r="H7" i="4"/>
  <c r="G7" i="4"/>
  <c r="B16" i="3"/>
  <c r="B15" i="3"/>
  <c r="K11" i="3"/>
  <c r="K10" i="3"/>
  <c r="K9" i="3"/>
  <c r="K8" i="3"/>
  <c r="B17" i="3" s="1"/>
  <c r="K7" i="3"/>
  <c r="B14" i="2"/>
  <c r="I10" i="2"/>
  <c r="L10" i="2" s="1"/>
  <c r="G10" i="2"/>
  <c r="H10" i="2" s="1"/>
  <c r="I9" i="2"/>
  <c r="L9" i="2" s="1"/>
  <c r="G9" i="2"/>
  <c r="H9" i="2" s="1"/>
  <c r="I8" i="2"/>
  <c r="L8" i="2" s="1"/>
  <c r="G8" i="2"/>
  <c r="H8" i="2" s="1"/>
  <c r="I7" i="2"/>
  <c r="B15" i="2" s="1"/>
  <c r="G7" i="2"/>
  <c r="H7" i="2" s="1"/>
  <c r="I7" i="10" l="1"/>
  <c r="K7" i="10" s="1"/>
  <c r="B16" i="2"/>
  <c r="L7" i="2"/>
  <c r="B17" i="2"/>
  <c r="F13" i="10"/>
  <c r="F15" i="10" s="1"/>
  <c r="J8" i="11"/>
  <c r="B18" i="2"/>
  <c r="K7" i="4"/>
  <c r="B16" i="4" s="1"/>
  <c r="H7" i="10"/>
  <c r="H8" i="10"/>
  <c r="I8" i="10" s="1"/>
  <c r="K8" i="10" s="1"/>
  <c r="H9" i="10"/>
  <c r="I9" i="10" s="1"/>
  <c r="K9" i="10" s="1"/>
  <c r="H10" i="10"/>
  <c r="I10" i="10" s="1"/>
  <c r="K10" i="10" s="1"/>
  <c r="J7" i="11"/>
  <c r="J11" i="11"/>
  <c r="B17" i="11"/>
  <c r="F16" i="10" l="1"/>
</calcChain>
</file>

<file path=xl/sharedStrings.xml><?xml version="1.0" encoding="utf-8"?>
<sst xmlns="http://schemas.openxmlformats.org/spreadsheetml/2006/main" count="656" uniqueCount="388">
  <si>
    <t>PROGRAMA DE AUDITORÍA</t>
  </si>
  <si>
    <t>AUDITORÍA DE OBLIGACIONES FINANCIERAS</t>
  </si>
  <si>
    <t>DETECCIÓN DE FRAUDES Y RIESGOS FINANCIEROS</t>
  </si>
  <si>
    <t>REF.</t>
  </si>
  <si>
    <t>PAPEL DE TRABAJO</t>
  </si>
  <si>
    <t>NIA/MARCO</t>
  </si>
  <si>
    <t>OBJETIVO PRINCIPAL</t>
  </si>
  <si>
    <t>PT G.1</t>
  </si>
  <si>
    <t>Confirmación Directa Entidades Financieras</t>
  </si>
  <si>
    <t>NIA 505</t>
  </si>
  <si>
    <t>Verificar existencia y exactitud de obligaciones</t>
  </si>
  <si>
    <t>PT G.2</t>
  </si>
  <si>
    <t>Contratos de Deuda - Cláusulas Restrictivas</t>
  </si>
  <si>
    <t>NIA 315</t>
  </si>
  <si>
    <t>Identificar cláusulas y riesgos contractuales</t>
  </si>
  <si>
    <t>PT G.3</t>
  </si>
  <si>
    <t>Análisis Cumplimiento de Covenants</t>
  </si>
  <si>
    <t>NIA 570</t>
  </si>
  <si>
    <t>Evaluar cumplimiento obligaciones financieras</t>
  </si>
  <si>
    <t>PT G.4</t>
  </si>
  <si>
    <t>Garantías Otorgadas No Reveladas</t>
  </si>
  <si>
    <t>NIA 501</t>
  </si>
  <si>
    <t>Detectar garantías no registradas/reveladas</t>
  </si>
  <si>
    <t>PT G.5</t>
  </si>
  <si>
    <t>Clasificación Corriente/No Corriente</t>
  </si>
  <si>
    <t>Verificar clasificación adecuada de deuda</t>
  </si>
  <si>
    <t>PT G.6</t>
  </si>
  <si>
    <t>Tasas de Interés vs. Mercado</t>
  </si>
  <si>
    <t>NIA 540</t>
  </si>
  <si>
    <t>Evaluar razonabilidad de tasas pactadas</t>
  </si>
  <si>
    <t>PT G.7</t>
  </si>
  <si>
    <t>Endosos o Avales a Terceros</t>
  </si>
  <si>
    <t>NIA 550</t>
  </si>
  <si>
    <t>Identificar garantías a partes relacionadas</t>
  </si>
  <si>
    <t>PT G.8</t>
  </si>
  <si>
    <t>Operaciones Off-Balance Sheet</t>
  </si>
  <si>
    <t>Detectar obligaciones fuera de balance</t>
  </si>
  <si>
    <t>PT G.9</t>
  </si>
  <si>
    <t>Recálculo Gastos Financieros vs Saldos</t>
  </si>
  <si>
    <t>NIA 330</t>
  </si>
  <si>
    <t>Verificar cálculo correcto de intereses</t>
  </si>
  <si>
    <t>PT G.10</t>
  </si>
  <si>
    <t>Amortizaciones vs Tablas Contractuales</t>
  </si>
  <si>
    <t>Validar pagos contra tablas aprobadas</t>
  </si>
  <si>
    <t>PT G.11</t>
  </si>
  <si>
    <t>Uso para Fin Distinto del Préstamo</t>
  </si>
  <si>
    <t>NIA 240</t>
  </si>
  <si>
    <t>Detectar uso indebido de recursos</t>
  </si>
  <si>
    <t>INDICADORES CLAVE DE RIESGO</t>
  </si>
  <si>
    <t>🔴 CRÍTICO: Requiere acción inmediata - Comunicar a alta dirección</t>
  </si>
  <si>
    <t>🟠 ALTO: Requiere atención prioritaria - Documentar hallazgo</t>
  </si>
  <si>
    <t>🟡 MEDIO: Monitorear y dar seguimiento</t>
  </si>
  <si>
    <t>🟢 BAJO: Mantener vigilancia rutinaria</t>
  </si>
  <si>
    <t>NOTAS IMPORTANTES:</t>
  </si>
  <si>
    <t>• Programa diseñado conforme NIAs y normativa colombiana</t>
  </si>
  <si>
    <t>• Todos los cálculos son automáticos mediante fórmulas Excel</t>
  </si>
  <si>
    <t>• Campos en AMARILLO requieren información manual</t>
  </si>
  <si>
    <t>• Alertas ROJAS indican hallazgos críticos de auditoría</t>
  </si>
  <si>
    <t>• Mantener evidencia documental de cada verificación</t>
  </si>
  <si>
    <t>• Coordinar con área legal para temas contractuales</t>
  </si>
  <si>
    <t>• Evaluar impacto en principio de empresa en marcha (NIA 570)</t>
  </si>
  <si>
    <t>PT G.1 - CONFIRMACIÓN DIRECTA CON ENTIDADES FINANCIERAS</t>
  </si>
  <si>
    <t>CLIENTE:</t>
  </si>
  <si>
    <t>[Nombre del Cliente]</t>
  </si>
  <si>
    <t>PERÍODO:</t>
  </si>
  <si>
    <t>[AAAA]</t>
  </si>
  <si>
    <t>AUDITOR:</t>
  </si>
  <si>
    <t>[Nombre Auditor]</t>
  </si>
  <si>
    <t>FECHA:</t>
  </si>
  <si>
    <t>17/11/2025</t>
  </si>
  <si>
    <t>REF:</t>
  </si>
  <si>
    <t>PT G.1 - Confirmaciones</t>
  </si>
  <si>
    <t>No.</t>
  </si>
  <si>
    <t>ENTIDAD FINANCIERA</t>
  </si>
  <si>
    <t>TIPO OBLIGACIÓN</t>
  </si>
  <si>
    <t>No. CRÉDITO</t>
  </si>
  <si>
    <t>SALDO SEGÚN LIBROS</t>
  </si>
  <si>
    <t>SALDO CONFIRMADO</t>
  </si>
  <si>
    <t>DIFERENCIA</t>
  </si>
  <si>
    <t>% DIFERENCIA</t>
  </si>
  <si>
    <t>ESTADO CONFIRMACIÓN</t>
  </si>
  <si>
    <t>TASA CONFIRMADA</t>
  </si>
  <si>
    <t>GARANTÍAS CONFIRMADAS</t>
  </si>
  <si>
    <t>RIESGO</t>
  </si>
  <si>
    <t>1</t>
  </si>
  <si>
    <t>Banco de Bogotá</t>
  </si>
  <si>
    <t>Crédito Ordinario</t>
  </si>
  <si>
    <t>CRE-2023-0045</t>
  </si>
  <si>
    <t>DTF+4.5%</t>
  </si>
  <si>
    <t>Hipoteca Bodega</t>
  </si>
  <si>
    <t>2</t>
  </si>
  <si>
    <t>Bancolombia</t>
  </si>
  <si>
    <t>Leasing Financiero</t>
  </si>
  <si>
    <t>LF-2024-0012</t>
  </si>
  <si>
    <t>IBR+5.2%</t>
  </si>
  <si>
    <t>Prenda Vehículos</t>
  </si>
  <si>
    <t>3</t>
  </si>
  <si>
    <t>Davivienda</t>
  </si>
  <si>
    <t>Línea Rotativa</t>
  </si>
  <si>
    <t>LR-2024-0033</t>
  </si>
  <si>
    <t>DTF+6.0%</t>
  </si>
  <si>
    <t>Pagaré</t>
  </si>
  <si>
    <t>4</t>
  </si>
  <si>
    <t>Banco Popular</t>
  </si>
  <si>
    <t>Crédito Capital Trabajo</t>
  </si>
  <si>
    <t>CT-2023-0088</t>
  </si>
  <si>
    <t>IBR+4.8%</t>
  </si>
  <si>
    <t>Pignoración CDT</t>
  </si>
  <si>
    <t>RESUMEN DE CONFIRMACIONES</t>
  </si>
  <si>
    <t>Total Confirmaciones Enviadas:</t>
  </si>
  <si>
    <t>Recibidas Conformes:</t>
  </si>
  <si>
    <t>Con Diferencias:</t>
  </si>
  <si>
    <t>No Recibidas:</t>
  </si>
  <si>
    <t>Total Saldo Confirmado:</t>
  </si>
  <si>
    <t>PT G.2 - CONTRATOS DE DEUDA - CLÁUSULAS RESTRICTIVAS</t>
  </si>
  <si>
    <t>PT G.2 - Cláusulas</t>
  </si>
  <si>
    <t>ENTIDAD</t>
  </si>
  <si>
    <t>No. CONTRATO</t>
  </si>
  <si>
    <t>TIPO CLÁUSULA</t>
  </si>
  <si>
    <t>DESCRIPCIÓN CLÁUSULA</t>
  </si>
  <si>
    <t>INDICADOR A MEDIR</t>
  </si>
  <si>
    <t>LÍMITE CONTRACTUAL</t>
  </si>
  <si>
    <t>VALOR ACTUAL</t>
  </si>
  <si>
    <t>CUMPLIMIENTO</t>
  </si>
  <si>
    <t>CONSECUENCIA INCUMPLIMIENTO</t>
  </si>
  <si>
    <t>Covenant Financiero</t>
  </si>
  <si>
    <t>Endeudamiento Total/EBITDA</t>
  </si>
  <si>
    <t>Deuda/EBITDA</t>
  </si>
  <si>
    <t>≤ 3.5</t>
  </si>
  <si>
    <t>CUMPLE</t>
  </si>
  <si>
    <t>Notificación + 30 días para corrección</t>
  </si>
  <si>
    <t>Covenant Operativo</t>
  </si>
  <si>
    <t>Mantener razón corriente mínima</t>
  </si>
  <si>
    <t>Razón Corriente</t>
  </si>
  <si>
    <t>≥ 1.2</t>
  </si>
  <si>
    <t>Cobertura de intereses</t>
  </si>
  <si>
    <t>EBITDA/Gastos Fin</t>
  </si>
  <si>
    <t>≥ 3.0</t>
  </si>
  <si>
    <t>NO CUMPLE</t>
  </si>
  <si>
    <t>Vencimiento anticipado + penalidad 2%</t>
  </si>
  <si>
    <t>Obligación de Hacer</t>
  </si>
  <si>
    <t>Presentar EE.FF. trimestrales</t>
  </si>
  <si>
    <t>Cumplimiento</t>
  </si>
  <si>
    <t>100%</t>
  </si>
  <si>
    <t>5</t>
  </si>
  <si>
    <t>Obligación No Hacer</t>
  </si>
  <si>
    <t>No adquirir deuda adicional &gt; 200MM</t>
  </si>
  <si>
    <t>Nueva Deuda</t>
  </si>
  <si>
    <t>≤ 200,000,000</t>
  </si>
  <si>
    <t>EVALUACIÓN DE CUMPLIMIENTO</t>
  </si>
  <si>
    <t>Total Cláusulas Revisadas:</t>
  </si>
  <si>
    <t>Cláusulas Incumplidas:</t>
  </si>
  <si>
    <t>Riesgo Crítico:</t>
  </si>
  <si>
    <t>PT G.3 - ANÁLISIS DE CUMPLIMIENTO DE COVENANTS FINANCIEROS</t>
  </si>
  <si>
    <t>PT G.3 - Covenants</t>
  </si>
  <si>
    <t>COVENANT</t>
  </si>
  <si>
    <t>FÓRMULA COVENANT</t>
  </si>
  <si>
    <t>VALOR CALCULADO</t>
  </si>
  <si>
    <t>LÍMITE CONTRATO</t>
  </si>
  <si>
    <t>MARGEN DE CUMPLIMIENTO</t>
  </si>
  <si>
    <t>% MARGEN</t>
  </si>
  <si>
    <t>TENDENCIA (vs trim anterior)</t>
  </si>
  <si>
    <t>Endeudamiento/EBITDA</t>
  </si>
  <si>
    <t>Pasivo Total/EBITDA últimos 12 meses</t>
  </si>
  <si>
    <t>Deteriorando</t>
  </si>
  <si>
    <t>Activo Corriente/Pasivo Corriente</t>
  </si>
  <si>
    <t>Mejorando</t>
  </si>
  <si>
    <t>Cobertura Intereses</t>
  </si>
  <si>
    <t>EBITDA/Gastos Financieros</t>
  </si>
  <si>
    <t>Leverage</t>
  </si>
  <si>
    <t>(Pasivo Total-Caja)/Patrimonio</t>
  </si>
  <si>
    <t>MATRIZ DE SEGUIMIENTO COVENANTS</t>
  </si>
  <si>
    <t>Covenants Cumplidos:</t>
  </si>
  <si>
    <t>Covenants Incumplidos:</t>
  </si>
  <si>
    <t>Riesgo Crítico o Alto:</t>
  </si>
  <si>
    <t>Covenants con Tendencia Negativa:</t>
  </si>
  <si>
    <t>PT G.4 - GARANTÍAS OTORGADAS NO REVELADAS</t>
  </si>
  <si>
    <t>PT G.4 - Garantías</t>
  </si>
  <si>
    <t>TIPO GARANTÍA</t>
  </si>
  <si>
    <t>BENEFICIARIO</t>
  </si>
  <si>
    <t>ACTIVO GARANTIZADO</t>
  </si>
  <si>
    <t>VALOR ACTIVO</t>
  </si>
  <si>
    <t>OBLIGACIÓN GARANTIZADA</t>
  </si>
  <si>
    <t>MONTO OBLIGACIÓN</t>
  </si>
  <si>
    <t>REVELADO EN NOTAS</t>
  </si>
  <si>
    <t>REQUIERE REVELACIÓN</t>
  </si>
  <si>
    <t>OBSERVACIONES</t>
  </si>
  <si>
    <t>Hipoteca</t>
  </si>
  <si>
    <t>Bodega Industrial Calle 80</t>
  </si>
  <si>
    <t>SÍ</t>
  </si>
  <si>
    <t>Prenda</t>
  </si>
  <si>
    <t>Flota de 12 Vehículos</t>
  </si>
  <si>
    <t>CDT No. 789456123</t>
  </si>
  <si>
    <t>NO</t>
  </si>
  <si>
    <t>Aval</t>
  </si>
  <si>
    <t>Banco Occidente</t>
  </si>
  <si>
    <t>Pagaré Empresa Relacionada</t>
  </si>
  <si>
    <t>Garantía Tercero</t>
  </si>
  <si>
    <t>Prenda Industrial</t>
  </si>
  <si>
    <t>Maquinaria Producción</t>
  </si>
  <si>
    <t>ANÁLISIS DE COBERTURA DE GARANTÍAS</t>
  </si>
  <si>
    <t>Total Garantías Identificadas:</t>
  </si>
  <si>
    <t>Garantías No Reveladas:</t>
  </si>
  <si>
    <t>Valor Activos Comprometidos:</t>
  </si>
  <si>
    <t>Total Obligaciones Garantizadas:</t>
  </si>
  <si>
    <t>Ratio Cobertura (Activo/Deuda):</t>
  </si>
  <si>
    <t>PT G.5 - CLASIFICACIÓN CORRIENTE/NO CORRIENTE</t>
  </si>
  <si>
    <t>PT G.5 - Clasificación</t>
  </si>
  <si>
    <t>FECHA DESEMBOLSO</t>
  </si>
  <si>
    <t>PLAZO TOTAL (meses)</t>
  </si>
  <si>
    <t>SALDO TOTAL</t>
  </si>
  <si>
    <t>VENCIMIENTO FINAL</t>
  </si>
  <si>
    <t>CUOTAS PRÓXIMOS 12 MESES</t>
  </si>
  <si>
    <t>CLASIFICACIÓN CONTABLE</t>
  </si>
  <si>
    <t>CLASIFICACIÓN CORRECTA</t>
  </si>
  <si>
    <t>AJUSTE REQUERIDO</t>
  </si>
  <si>
    <t>VALOR AJUSTE</t>
  </si>
  <si>
    <t>2023-06-15</t>
  </si>
  <si>
    <t>2028-06-15</t>
  </si>
  <si>
    <t>Corriente: 180M | No Corriente: 670M</t>
  </si>
  <si>
    <t>2024-01-10</t>
  </si>
  <si>
    <t>2027-01-10</t>
  </si>
  <si>
    <t>Corriente: 140M | No Corriente: 280M</t>
  </si>
  <si>
    <t>2024-03-20</t>
  </si>
  <si>
    <t>2025-03-20</t>
  </si>
  <si>
    <t>Corriente: 100M | No Corriente: 50M</t>
  </si>
  <si>
    <t>2023-09-01</t>
  </si>
  <si>
    <t>2027-09-01</t>
  </si>
  <si>
    <t>Corriente: 85M | No Corriente: 235M</t>
  </si>
  <si>
    <t>VERIFICACIÓN DE CLASIFICACIÓN</t>
  </si>
  <si>
    <t>Obligaciones Revisadas:</t>
  </si>
  <si>
    <t>Clasificaciones Incorrectas:</t>
  </si>
  <si>
    <t>Total Ajustes Requeridos:</t>
  </si>
  <si>
    <t>PT G.6 - TASAS DE INTERÉS VS. MERCADO</t>
  </si>
  <si>
    <t>PT G.6 - Tasas Interés</t>
  </si>
  <si>
    <t>TASA CONTRATADA</t>
  </si>
  <si>
    <t>TIPO TASA</t>
  </si>
  <si>
    <t>INDICADOR BASE</t>
  </si>
  <si>
    <t>TASA MERCADO SIMILAR</t>
  </si>
  <si>
    <t>EVALUACIÓN</t>
  </si>
  <si>
    <t>Variable</t>
  </si>
  <si>
    <t>DTF</t>
  </si>
  <si>
    <t>DTF+4.2%</t>
  </si>
  <si>
    <t>IBR</t>
  </si>
  <si>
    <t>IBR+5.0%</t>
  </si>
  <si>
    <t>14.5% E.A.</t>
  </si>
  <si>
    <t>Fija</t>
  </si>
  <si>
    <t>N/A</t>
  </si>
  <si>
    <t>13.2% E.A.</t>
  </si>
  <si>
    <t>IBR+4.5%</t>
  </si>
  <si>
    <t>ANÁLISIS DE TASAS</t>
  </si>
  <si>
    <t>Créditos con Tasa Alta:</t>
  </si>
  <si>
    <t>Créditos a Renegociar:</t>
  </si>
  <si>
    <t>Diferencia Promedio vs Mercado:</t>
  </si>
  <si>
    <t>PT G.7 - ENDOSOS O AVALES A TERCEROS</t>
  </si>
  <si>
    <t>PT G.7 - Avales</t>
  </si>
  <si>
    <t>AVALADO/GARANTIZADO</t>
  </si>
  <si>
    <t>RELACIÓN CON AVALADO</t>
  </si>
  <si>
    <t>MONTO GARANTÍA</t>
  </si>
  <si>
    <t>FECHA OTORGAMIENTO</t>
  </si>
  <si>
    <t>VENCIMIENTO</t>
  </si>
  <si>
    <t>PROBABILIDAD USO</t>
  </si>
  <si>
    <t>REVELADO EN EE.FF.</t>
  </si>
  <si>
    <t>REQUIERE PROVISIÓN</t>
  </si>
  <si>
    <t>Aval Bancario</t>
  </si>
  <si>
    <t>Subsidiaria ABC S.A.S.</t>
  </si>
  <si>
    <t>Empresa del Grupo</t>
  </si>
  <si>
    <t>2024-03-15</t>
  </si>
  <si>
    <t>2025-03-15</t>
  </si>
  <si>
    <t>REMOTA</t>
  </si>
  <si>
    <t>Carta Fianza</t>
  </si>
  <si>
    <t>Entidad Pública</t>
  </si>
  <si>
    <t>Joint Venture XYZ</t>
  </si>
  <si>
    <t>Asociación Temporal</t>
  </si>
  <si>
    <t>2024-06-20</t>
  </si>
  <si>
    <t>2025-12-31</t>
  </si>
  <si>
    <t>POSIBLE</t>
  </si>
  <si>
    <t>Garantía Performance</t>
  </si>
  <si>
    <t>Cliente Extranjero</t>
  </si>
  <si>
    <t>Contrato Exportación</t>
  </si>
  <si>
    <t>No Relacionado</t>
  </si>
  <si>
    <t>2024-09-10</t>
  </si>
  <si>
    <t>2025-06-30</t>
  </si>
  <si>
    <t>EXPOSICIÓN POR GARANTÍAS A TERCEROS</t>
  </si>
  <si>
    <t>Total Garantías Otorgadas:</t>
  </si>
  <si>
    <t>Exposición Total:</t>
  </si>
  <si>
    <t>Provisión Requerida:</t>
  </si>
  <si>
    <t>PT G.8 - OPERACIONES OFF-BALANCE SHEET</t>
  </si>
  <si>
    <t>PT G.8 - Off-Balance</t>
  </si>
  <si>
    <t>TIPO OPERACIÓN</t>
  </si>
  <si>
    <t>CONTRAPARTE</t>
  </si>
  <si>
    <t>DESCRIPCIÓN</t>
  </si>
  <si>
    <t>VALOR NOMINAL</t>
  </si>
  <si>
    <t>VALOR RAZONABLE</t>
  </si>
  <si>
    <t>RIESGO FINANCIERO</t>
  </si>
  <si>
    <t>IMPACTO POTENCIAL EE.FF.</t>
  </si>
  <si>
    <t>REVELADO</t>
  </si>
  <si>
    <t>TRATAMIENTO CONTABLE</t>
  </si>
  <si>
    <t>Derivado Forward</t>
  </si>
  <si>
    <t>Banco Internacional</t>
  </si>
  <si>
    <t>Cobertura tasa cambio USD$1.5MM</t>
  </si>
  <si>
    <t>Tasa de Cambio</t>
  </si>
  <si>
    <t>Valoración a Mercado</t>
  </si>
  <si>
    <t>Leasing Operativo</t>
  </si>
  <si>
    <t>Arrendador SA</t>
  </si>
  <si>
    <t>Arriendo oficinas 5 años</t>
  </si>
  <si>
    <t>Operacional</t>
  </si>
  <si>
    <t>Notas - Compromiso</t>
  </si>
  <si>
    <t>Factoring sin Recurso</t>
  </si>
  <si>
    <t>Factor Financiero</t>
  </si>
  <si>
    <t>Cesión cartera clientes</t>
  </si>
  <si>
    <t>Pendiente Determinar</t>
  </si>
  <si>
    <t>EVALUACIÓN DE RIESGOS OFF-BALANCE</t>
  </si>
  <si>
    <t>Total Operaciones Identificadas:</t>
  </si>
  <si>
    <t>Valor Nominal Total:</t>
  </si>
  <si>
    <t>Impacto Potencial Total:</t>
  </si>
  <si>
    <t>Operaciones No Reveladas:</t>
  </si>
  <si>
    <t>PT G.9 - RECÁLCULO GASTOS FINANCIEROS VS SALDOS</t>
  </si>
  <si>
    <t>PT G.9 - Gastos Financ</t>
  </si>
  <si>
    <t>OBLIGACIÓN</t>
  </si>
  <si>
    <t>SALDO PROMEDIO AÑO</t>
  </si>
  <si>
    <t>TASA EFECTIVA</t>
  </si>
  <si>
    <t>GASTOS SEGÚN CÁLCULO</t>
  </si>
  <si>
    <t>GASTOS SEGÚN CONTABILIDAD</t>
  </si>
  <si>
    <t>CAUSA DIFERENCIA</t>
  </si>
  <si>
    <t>11.5%</t>
  </si>
  <si>
    <t>Conforme</t>
  </si>
  <si>
    <t>12.8%</t>
  </si>
  <si>
    <t>Días año comercial vs real</t>
  </si>
  <si>
    <t>14.5%</t>
  </si>
  <si>
    <t>11.2%</t>
  </si>
  <si>
    <t>TOTALES Y VERIFICACIÓN</t>
  </si>
  <si>
    <t>Total Gastos Calculados:</t>
  </si>
  <si>
    <t>Total Gastos Contabilidad:</t>
  </si>
  <si>
    <t>Diferencia Total:</t>
  </si>
  <si>
    <t>Ajustes Requeridos:</t>
  </si>
  <si>
    <t>PT G.10 - AMORTIZACIONES VS TABLAS CONTRACTUALES</t>
  </si>
  <si>
    <t>PT G.10 - Amortizaciones</t>
  </si>
  <si>
    <t>CUOTA</t>
  </si>
  <si>
    <t>FECHA PAGO</t>
  </si>
  <si>
    <t>CAPITAL SEGÚN TABLA</t>
  </si>
  <si>
    <t>INTERÉS SEGÚN TABLA</t>
  </si>
  <si>
    <t>TOTAL CUOTA TABLA</t>
  </si>
  <si>
    <t>PAGO REGISTRADO</t>
  </si>
  <si>
    <t>CAUSA</t>
  </si>
  <si>
    <t>CRE-2023-0045 Bogotá</t>
  </si>
  <si>
    <t>Cuota 18</t>
  </si>
  <si>
    <t>2024-12-15</t>
  </si>
  <si>
    <t>Cuota 19</t>
  </si>
  <si>
    <t>2025-01-15</t>
  </si>
  <si>
    <t>LF-2024-0012 Bancol</t>
  </si>
  <si>
    <t>Cuota 11</t>
  </si>
  <si>
    <t>2024-11-10</t>
  </si>
  <si>
    <t>Cuota 12</t>
  </si>
  <si>
    <t>2024-12-10</t>
  </si>
  <si>
    <t>CT-2023-0088 Popular</t>
  </si>
  <si>
    <t>Cuota 15</t>
  </si>
  <si>
    <t>2024-12-01</t>
  </si>
  <si>
    <t>VERIFICACIÓN DE PAGOS</t>
  </si>
  <si>
    <t>Total Cuotas Verificadas:</t>
  </si>
  <si>
    <t>Cuotas con Diferencias:</t>
  </si>
  <si>
    <t>Total Diferencias:</t>
  </si>
  <si>
    <t>PT G.11 - USO PARA FIN DISTINTO DEL PRÉSTAMO</t>
  </si>
  <si>
    <t>PT G.11 - Uso Recursos</t>
  </si>
  <si>
    <t>DESTINO APROBADO</t>
  </si>
  <si>
    <t>MONTO DESEMBOLSADO</t>
  </si>
  <si>
    <t>USO VERIFICADO</t>
  </si>
  <si>
    <t>VALOR DESTINADO</t>
  </si>
  <si>
    <t>% DESTINADO</t>
  </si>
  <si>
    <t>CUMPLE DESTINO</t>
  </si>
  <si>
    <t>CONSECUENCIAS INCUMPLIMIENTO</t>
  </si>
  <si>
    <t>EVIDENCIA VERIFICACIÓN</t>
  </si>
  <si>
    <t>Capital de Trabajo</t>
  </si>
  <si>
    <t>Facturas + Contratos</t>
  </si>
  <si>
    <t>Adquisición Vehículos</t>
  </si>
  <si>
    <t>Compra Vehículos</t>
  </si>
  <si>
    <t>Extractos bancarios + Órdenes compra</t>
  </si>
  <si>
    <t>Expansión Planta</t>
  </si>
  <si>
    <t>Obras Civil (80%) + Inventario (20%)</t>
  </si>
  <si>
    <t>PARCIAL</t>
  </si>
  <si>
    <t>Notificación formal + plan correctivo</t>
  </si>
  <si>
    <t>Necesidades Operativas</t>
  </si>
  <si>
    <t>Pago Dividendos (30%) + Operación (70%)</t>
  </si>
  <si>
    <t>Vencimiento anticipado + penalidad</t>
  </si>
  <si>
    <t>Uso Conforme:</t>
  </si>
  <si>
    <t>Uso No Conforme:</t>
  </si>
  <si>
    <t>ACCIÓN INMEDIATA REQUERIDA:</t>
  </si>
  <si>
    <t>Notificar a alta dirección sobre uso indebido de recursos. Verificar impacto en covenants. Evaluar riesgo de vencimiento anticipado.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</si>
</sst>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\$#,##0"/>
    <numFmt numFmtId="165" formatCode="dd/mm/yyyy"/>
    <numFmt numFmtId="166" formatCode="0.0&quot;%&quot;"/>
    <numFmt numFmtId="167" formatCode="0.0%"/>
  </numFmts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1"/>
      <name val="Calibri"/>
      <family val="2"/>
    </font>
    <font>
      <b/>
      <sz val="11"/>
      <color rgb="FFFFFFFF"/>
      <name val="Arial"/>
      <family val="2"/>
    </font>
    <font>
      <b/>
      <sz val="12"/>
      <name val="Calibri"/>
      <family val="2"/>
    </font>
    <font>
      <sz val="11"/>
      <color rgb="FFFF0000"/>
      <name val="Calibri"/>
      <family val="2"/>
    </font>
    <font>
      <b/>
      <sz val="11"/>
      <color rgb="FFFFFFFF"/>
      <name val="Calibri"/>
      <family val="2"/>
    </font>
    <font>
      <b/>
      <sz val="11"/>
      <color rgb="FFFF0000"/>
      <name val="Calibri"/>
      <family val="2"/>
    </font>
    <font>
      <b/>
      <sz val="11"/>
      <name val="Calibri"/>
      <family val="2"/>
    </font>
    <font>
      <sz val="11"/>
      <color rgb="FF008000"/>
      <name val="Calibri"/>
      <family val="2"/>
    </font>
    <font>
      <b/>
      <sz val="16"/>
      <color rgb="FFFFFFFF"/>
      <name val="Arial"/>
      <family val="2"/>
    </font>
    <font>
      <b/>
      <sz val="12"/>
      <name val="Arial"/>
      <family val="2"/>
    </font>
    <font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0066CC"/>
        <bgColor rgb="FF0066CC"/>
      </patternFill>
    </fill>
    <fill>
      <patternFill patternType="solid">
        <fgColor rgb="FFB8CCE4"/>
        <bgColor rgb="FFB8CCE4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4" borderId="0" xfId="0" applyFont="1" applyFill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3" fontId="0" fillId="0" borderId="0" xfId="0" applyNumberFormat="1"/>
    <xf numFmtId="10" fontId="0" fillId="0" borderId="0" xfId="0" applyNumberFormat="1"/>
    <xf numFmtId="0" fontId="5" fillId="0" borderId="0" xfId="0" applyFont="1"/>
    <xf numFmtId="164" fontId="0" fillId="0" borderId="0" xfId="0" applyNumberFormat="1"/>
    <xf numFmtId="0" fontId="7" fillId="0" borderId="0" xfId="0" applyFont="1"/>
    <xf numFmtId="2" fontId="0" fillId="0" borderId="0" xfId="0" applyNumberFormat="1"/>
    <xf numFmtId="0" fontId="9" fillId="0" borderId="0" xfId="0" applyFont="1"/>
    <xf numFmtId="165" fontId="0" fillId="0" borderId="0" xfId="0" applyNumberFormat="1"/>
    <xf numFmtId="164" fontId="5" fillId="0" borderId="0" xfId="0" applyNumberFormat="1" applyFont="1"/>
    <xf numFmtId="166" fontId="0" fillId="0" borderId="0" xfId="0" applyNumberFormat="1"/>
    <xf numFmtId="167" fontId="0" fillId="0" borderId="0" xfId="0" applyNumberFormat="1"/>
    <xf numFmtId="164" fontId="2" fillId="0" borderId="0" xfId="0" applyNumberFormat="1" applyFont="1"/>
    <xf numFmtId="164" fontId="7" fillId="0" borderId="0" xfId="0" applyNumberFormat="1" applyFont="1"/>
    <xf numFmtId="9" fontId="0" fillId="0" borderId="0" xfId="0" applyNumberFormat="1"/>
    <xf numFmtId="0" fontId="10" fillId="2" borderId="0" xfId="0" applyFont="1" applyFill="1" applyAlignment="1">
      <alignment horizontal="center" vertical="center"/>
    </xf>
    <xf numFmtId="0" fontId="0" fillId="0" borderId="0" xfId="0"/>
    <xf numFmtId="0" fontId="0" fillId="0" borderId="0" xfId="0" applyAlignment="1">
      <alignment wrapText="1"/>
    </xf>
    <xf numFmtId="0" fontId="12" fillId="0" borderId="0" xfId="0" applyFont="1" applyAlignment="1">
      <alignment horizontal="center" vertical="center"/>
    </xf>
    <xf numFmtId="0" fontId="8" fillId="0" borderId="0" xfId="0" applyFont="1"/>
    <xf numFmtId="0" fontId="8" fillId="7" borderId="0" xfId="0" applyFont="1" applyFill="1"/>
    <xf numFmtId="0" fontId="11" fillId="0" borderId="0" xfId="0" applyFont="1" applyAlignment="1">
      <alignment horizontal="center" vertical="center"/>
    </xf>
    <xf numFmtId="0" fontId="4" fillId="4" borderId="0" xfId="0" applyFont="1" applyFill="1"/>
    <xf numFmtId="0" fontId="1" fillId="2" borderId="0" xfId="0" applyFont="1" applyFill="1" applyAlignment="1">
      <alignment horizontal="center" vertical="center"/>
    </xf>
    <xf numFmtId="0" fontId="6" fillId="5" borderId="0" xfId="0" applyFont="1" applyFill="1"/>
    <xf numFmtId="0" fontId="8" fillId="4" borderId="0" xfId="0" applyFont="1" applyFill="1"/>
    <xf numFmtId="0" fontId="2" fillId="4" borderId="0" xfId="0" applyFont="1" applyFill="1"/>
    <xf numFmtId="0" fontId="2" fillId="6" borderId="0" xfId="0" applyFont="1" applyFill="1"/>
    <xf numFmtId="0" fontId="8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abSelected="1" workbookViewId="0">
      <selection sqref="A1:D1"/>
    </sheetView>
  </sheetViews>
  <sheetFormatPr baseColWidth="10" defaultColWidth="9.140625" defaultRowHeight="15" x14ac:dyDescent="0.25"/>
  <cols>
    <col min="1" max="1" width="12" customWidth="1"/>
    <col min="2" max="2" width="38" customWidth="1"/>
    <col min="3" max="3" width="15" customWidth="1"/>
    <col min="4" max="4" width="38" customWidth="1"/>
  </cols>
  <sheetData>
    <row r="1" spans="1:4" ht="30" customHeight="1" x14ac:dyDescent="0.25">
      <c r="A1" s="20" t="s">
        <v>0</v>
      </c>
      <c r="B1" s="21"/>
      <c r="C1" s="21"/>
      <c r="D1" s="21"/>
    </row>
    <row r="2" spans="1:4" ht="15.75" x14ac:dyDescent="0.25">
      <c r="A2" s="26" t="s">
        <v>1</v>
      </c>
      <c r="B2" s="21"/>
      <c r="C2" s="21"/>
      <c r="D2" s="21"/>
    </row>
    <row r="3" spans="1:4" x14ac:dyDescent="0.25">
      <c r="A3" s="23" t="s">
        <v>2</v>
      </c>
      <c r="B3" s="21"/>
      <c r="C3" s="21"/>
      <c r="D3" s="21"/>
    </row>
    <row r="5" spans="1:4" x14ac:dyDescent="0.25">
      <c r="A5" s="1" t="s">
        <v>3</v>
      </c>
      <c r="B5" s="1" t="s">
        <v>4</v>
      </c>
      <c r="C5" s="1" t="s">
        <v>5</v>
      </c>
      <c r="D5" s="1" t="s">
        <v>6</v>
      </c>
    </row>
    <row r="6" spans="1:4" ht="30" x14ac:dyDescent="0.25">
      <c r="A6" s="2" t="s">
        <v>7</v>
      </c>
      <c r="B6" s="3" t="s">
        <v>8</v>
      </c>
      <c r="C6" s="3" t="s">
        <v>9</v>
      </c>
      <c r="D6" s="3" t="s">
        <v>10</v>
      </c>
    </row>
    <row r="7" spans="1:4" ht="30" x14ac:dyDescent="0.25">
      <c r="A7" s="2" t="s">
        <v>11</v>
      </c>
      <c r="B7" s="3" t="s">
        <v>12</v>
      </c>
      <c r="C7" s="3" t="s">
        <v>13</v>
      </c>
      <c r="D7" s="3" t="s">
        <v>14</v>
      </c>
    </row>
    <row r="8" spans="1:4" ht="30" x14ac:dyDescent="0.25">
      <c r="A8" s="2" t="s">
        <v>15</v>
      </c>
      <c r="B8" s="3" t="s">
        <v>16</v>
      </c>
      <c r="C8" s="3" t="s">
        <v>17</v>
      </c>
      <c r="D8" s="3" t="s">
        <v>18</v>
      </c>
    </row>
    <row r="9" spans="1:4" ht="30" x14ac:dyDescent="0.25">
      <c r="A9" s="2" t="s">
        <v>19</v>
      </c>
      <c r="B9" s="3" t="s">
        <v>20</v>
      </c>
      <c r="C9" s="3" t="s">
        <v>21</v>
      </c>
      <c r="D9" s="3" t="s">
        <v>22</v>
      </c>
    </row>
    <row r="10" spans="1:4" x14ac:dyDescent="0.25">
      <c r="A10" s="2" t="s">
        <v>23</v>
      </c>
      <c r="B10" s="3" t="s">
        <v>24</v>
      </c>
      <c r="C10" s="3" t="s">
        <v>13</v>
      </c>
      <c r="D10" s="3" t="s">
        <v>25</v>
      </c>
    </row>
    <row r="11" spans="1:4" x14ac:dyDescent="0.25">
      <c r="A11" s="2" t="s">
        <v>26</v>
      </c>
      <c r="B11" s="3" t="s">
        <v>27</v>
      </c>
      <c r="C11" s="3" t="s">
        <v>28</v>
      </c>
      <c r="D11" s="3" t="s">
        <v>29</v>
      </c>
    </row>
    <row r="12" spans="1:4" ht="30" x14ac:dyDescent="0.25">
      <c r="A12" s="2" t="s">
        <v>30</v>
      </c>
      <c r="B12" s="3" t="s">
        <v>31</v>
      </c>
      <c r="C12" s="3" t="s">
        <v>32</v>
      </c>
      <c r="D12" s="3" t="s">
        <v>33</v>
      </c>
    </row>
    <row r="13" spans="1:4" x14ac:dyDescent="0.25">
      <c r="A13" s="2" t="s">
        <v>34</v>
      </c>
      <c r="B13" s="3" t="s">
        <v>35</v>
      </c>
      <c r="C13" s="3" t="s">
        <v>28</v>
      </c>
      <c r="D13" s="3" t="s">
        <v>36</v>
      </c>
    </row>
    <row r="14" spans="1:4" x14ac:dyDescent="0.25">
      <c r="A14" s="2" t="s">
        <v>37</v>
      </c>
      <c r="B14" s="3" t="s">
        <v>38</v>
      </c>
      <c r="C14" s="3" t="s">
        <v>39</v>
      </c>
      <c r="D14" s="3" t="s">
        <v>40</v>
      </c>
    </row>
    <row r="15" spans="1:4" x14ac:dyDescent="0.25">
      <c r="A15" s="2" t="s">
        <v>41</v>
      </c>
      <c r="B15" s="3" t="s">
        <v>42</v>
      </c>
      <c r="C15" s="3" t="s">
        <v>39</v>
      </c>
      <c r="D15" s="3" t="s">
        <v>43</v>
      </c>
    </row>
    <row r="16" spans="1:4" x14ac:dyDescent="0.25">
      <c r="A16" s="2" t="s">
        <v>44</v>
      </c>
      <c r="B16" s="3" t="s">
        <v>45</v>
      </c>
      <c r="C16" s="3" t="s">
        <v>46</v>
      </c>
      <c r="D16" s="3" t="s">
        <v>47</v>
      </c>
    </row>
    <row r="19" spans="1:4" x14ac:dyDescent="0.25">
      <c r="A19" s="25" t="s">
        <v>48</v>
      </c>
      <c r="B19" s="21"/>
      <c r="C19" s="21"/>
      <c r="D19" s="21"/>
    </row>
    <row r="20" spans="1:4" x14ac:dyDescent="0.25">
      <c r="A20" s="21" t="s">
        <v>49</v>
      </c>
      <c r="B20" s="21"/>
      <c r="C20" s="21"/>
      <c r="D20" s="21"/>
    </row>
    <row r="21" spans="1:4" x14ac:dyDescent="0.25">
      <c r="A21" s="21" t="s">
        <v>50</v>
      </c>
      <c r="B21" s="21"/>
      <c r="C21" s="21"/>
      <c r="D21" s="21"/>
    </row>
    <row r="22" spans="1:4" x14ac:dyDescent="0.25">
      <c r="A22" s="21" t="s">
        <v>51</v>
      </c>
      <c r="B22" s="21"/>
      <c r="C22" s="21"/>
      <c r="D22" s="21"/>
    </row>
    <row r="23" spans="1:4" x14ac:dyDescent="0.25">
      <c r="A23" s="21" t="s">
        <v>52</v>
      </c>
      <c r="B23" s="21"/>
      <c r="C23" s="21"/>
      <c r="D23" s="21"/>
    </row>
    <row r="25" spans="1:4" x14ac:dyDescent="0.25">
      <c r="A25" s="24" t="s">
        <v>53</v>
      </c>
      <c r="B25" s="21"/>
      <c r="C25" s="21"/>
      <c r="D25" s="21"/>
    </row>
    <row r="26" spans="1:4" x14ac:dyDescent="0.25">
      <c r="A26" s="22" t="s">
        <v>54</v>
      </c>
      <c r="B26" s="21"/>
      <c r="C26" s="21"/>
      <c r="D26" s="21"/>
    </row>
    <row r="27" spans="1:4" x14ac:dyDescent="0.25">
      <c r="A27" s="22" t="s">
        <v>55</v>
      </c>
      <c r="B27" s="21"/>
      <c r="C27" s="21"/>
      <c r="D27" s="21"/>
    </row>
    <row r="28" spans="1:4" x14ac:dyDescent="0.25">
      <c r="A28" s="22" t="s">
        <v>56</v>
      </c>
      <c r="B28" s="21"/>
      <c r="C28" s="21"/>
      <c r="D28" s="21"/>
    </row>
    <row r="29" spans="1:4" x14ac:dyDescent="0.25">
      <c r="A29" s="22" t="s">
        <v>57</v>
      </c>
      <c r="B29" s="21"/>
      <c r="C29" s="21"/>
      <c r="D29" s="21"/>
    </row>
    <row r="30" spans="1:4" x14ac:dyDescent="0.25">
      <c r="A30" s="22" t="s">
        <v>58</v>
      </c>
      <c r="B30" s="21"/>
      <c r="C30" s="21"/>
      <c r="D30" s="21"/>
    </row>
    <row r="31" spans="1:4" x14ac:dyDescent="0.25">
      <c r="A31" s="22" t="s">
        <v>59</v>
      </c>
      <c r="B31" s="21"/>
      <c r="C31" s="21"/>
      <c r="D31" s="21"/>
    </row>
    <row r="32" spans="1:4" x14ac:dyDescent="0.25">
      <c r="A32" s="22" t="s">
        <v>60</v>
      </c>
      <c r="B32" s="21"/>
      <c r="C32" s="21"/>
      <c r="D32" s="21"/>
    </row>
  </sheetData>
  <mergeCells count="16">
    <mergeCell ref="A32:D32"/>
    <mergeCell ref="A1:D1"/>
    <mergeCell ref="A23:D23"/>
    <mergeCell ref="A27:D27"/>
    <mergeCell ref="A31:D31"/>
    <mergeCell ref="A22:D22"/>
    <mergeCell ref="A20:D20"/>
    <mergeCell ref="A3:D3"/>
    <mergeCell ref="A21:D21"/>
    <mergeCell ref="A26:D26"/>
    <mergeCell ref="A29:D29"/>
    <mergeCell ref="A30:D30"/>
    <mergeCell ref="A25:D25"/>
    <mergeCell ref="A19:D19"/>
    <mergeCell ref="A2:D2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/>
  </sheetViews>
  <sheetFormatPr baseColWidth="10" defaultColWidth="9.140625" defaultRowHeight="15" x14ac:dyDescent="0.25"/>
  <cols>
    <col min="1" max="12" width="16" customWidth="1"/>
  </cols>
  <sheetData>
    <row r="1" spans="1:12" ht="18" x14ac:dyDescent="0.25">
      <c r="A1" s="28" t="s">
        <v>61</v>
      </c>
      <c r="B1" s="21"/>
      <c r="C1" s="21"/>
      <c r="D1" s="21"/>
      <c r="E1" s="21"/>
      <c r="F1" s="21"/>
      <c r="G1" s="21"/>
      <c r="H1" s="21"/>
    </row>
    <row r="2" spans="1:12" x14ac:dyDescent="0.25">
      <c r="A2" s="4" t="s">
        <v>62</v>
      </c>
      <c r="B2" t="s">
        <v>63</v>
      </c>
      <c r="E2" s="4" t="s">
        <v>64</v>
      </c>
      <c r="F2" t="s">
        <v>65</v>
      </c>
    </row>
    <row r="3" spans="1:12" x14ac:dyDescent="0.25">
      <c r="A3" s="4" t="s">
        <v>66</v>
      </c>
      <c r="B3" t="s">
        <v>67</v>
      </c>
      <c r="E3" s="4" t="s">
        <v>68</v>
      </c>
      <c r="F3" t="s">
        <v>69</v>
      </c>
    </row>
    <row r="4" spans="1:12" x14ac:dyDescent="0.25">
      <c r="A4" s="4" t="s">
        <v>70</v>
      </c>
      <c r="B4" t="s">
        <v>71</v>
      </c>
      <c r="E4" s="4"/>
    </row>
    <row r="6" spans="1:12" ht="45" x14ac:dyDescent="0.25">
      <c r="A6" s="5" t="s">
        <v>72</v>
      </c>
      <c r="B6" s="5" t="s">
        <v>73</v>
      </c>
      <c r="C6" s="5" t="s">
        <v>74</v>
      </c>
      <c r="D6" s="5" t="s">
        <v>75</v>
      </c>
      <c r="E6" s="5" t="s">
        <v>76</v>
      </c>
      <c r="F6" s="5" t="s">
        <v>77</v>
      </c>
      <c r="G6" s="5" t="s">
        <v>78</v>
      </c>
      <c r="H6" s="5" t="s">
        <v>79</v>
      </c>
      <c r="I6" s="5" t="s">
        <v>80</v>
      </c>
      <c r="J6" s="5" t="s">
        <v>81</v>
      </c>
      <c r="K6" s="5" t="s">
        <v>82</v>
      </c>
      <c r="L6" s="5" t="s">
        <v>83</v>
      </c>
    </row>
    <row r="7" spans="1:12" x14ac:dyDescent="0.25">
      <c r="A7" t="s">
        <v>84</v>
      </c>
      <c r="B7" t="s">
        <v>85</v>
      </c>
      <c r="C7" t="s">
        <v>86</v>
      </c>
      <c r="D7" t="s">
        <v>87</v>
      </c>
      <c r="E7" s="6">
        <v>850000000</v>
      </c>
      <c r="F7" s="6">
        <v>850000000</v>
      </c>
      <c r="G7" s="6">
        <f>F7-E7</f>
        <v>0</v>
      </c>
      <c r="H7" s="7">
        <f>IF(E7=0,"N/A",ABS(G7/E7))</f>
        <v>0</v>
      </c>
      <c r="I7" t="str">
        <f>IF(F7=0,"NO RECIBIDA",IF(G7=0,"CONFORME","CON DIFERENCIA"))</f>
        <v>CONFORME</v>
      </c>
      <c r="J7" t="s">
        <v>88</v>
      </c>
      <c r="K7" t="s">
        <v>89</v>
      </c>
      <c r="L7" t="str">
        <f>IF(I7="NO RECIBIDA","ALTO",IF(H7&gt;0.05,"ALTO",IF(H7&gt;0.01,"MEDIO","BAJO")))</f>
        <v>BAJO</v>
      </c>
    </row>
    <row r="8" spans="1:12" x14ac:dyDescent="0.25">
      <c r="A8" t="s">
        <v>90</v>
      </c>
      <c r="B8" t="s">
        <v>91</v>
      </c>
      <c r="C8" t="s">
        <v>92</v>
      </c>
      <c r="D8" t="s">
        <v>93</v>
      </c>
      <c r="E8" s="6">
        <v>420000000</v>
      </c>
      <c r="F8" s="6">
        <v>425000000</v>
      </c>
      <c r="G8" s="6">
        <f>F8-E8</f>
        <v>5000000</v>
      </c>
      <c r="H8" s="7">
        <f>IF(E8=0,"N/A",ABS(G8/E8))</f>
        <v>1.1904761904761904E-2</v>
      </c>
      <c r="I8" t="str">
        <f>IF(F8=0,"NO RECIBIDA",IF(G8=0,"CONFORME","CON DIFERENCIA"))</f>
        <v>CON DIFERENCIA</v>
      </c>
      <c r="J8" t="s">
        <v>94</v>
      </c>
      <c r="K8" t="s">
        <v>95</v>
      </c>
      <c r="L8" t="str">
        <f>IF(I8="NO RECIBIDA","ALTO",IF(H8&gt;0.05,"ALTO",IF(H8&gt;0.01,"MEDIO","BAJO")))</f>
        <v>MEDIO</v>
      </c>
    </row>
    <row r="9" spans="1:12" x14ac:dyDescent="0.25">
      <c r="A9" t="s">
        <v>96</v>
      </c>
      <c r="B9" t="s">
        <v>97</v>
      </c>
      <c r="C9" t="s">
        <v>98</v>
      </c>
      <c r="D9" t="s">
        <v>99</v>
      </c>
      <c r="E9" s="6">
        <v>150000000</v>
      </c>
      <c r="F9" s="6">
        <v>0</v>
      </c>
      <c r="G9" s="6">
        <f>F9-E9</f>
        <v>-150000000</v>
      </c>
      <c r="H9" s="7">
        <f>IF(E9=0,"N/A",ABS(G9/E9))</f>
        <v>1</v>
      </c>
      <c r="I9" t="str">
        <f>IF(F9=0,"NO RECIBIDA",IF(G9=0,"CONFORME","CON DIFERENCIA"))</f>
        <v>NO RECIBIDA</v>
      </c>
      <c r="J9" t="s">
        <v>100</v>
      </c>
      <c r="K9" t="s">
        <v>101</v>
      </c>
      <c r="L9" t="str">
        <f>IF(I9="NO RECIBIDA","ALTO",IF(H9&gt;0.05,"ALTO",IF(H9&gt;0.01,"MEDIO","BAJO")))</f>
        <v>ALTO</v>
      </c>
    </row>
    <row r="10" spans="1:12" x14ac:dyDescent="0.25">
      <c r="A10" t="s">
        <v>102</v>
      </c>
      <c r="B10" t="s">
        <v>103</v>
      </c>
      <c r="C10" t="s">
        <v>104</v>
      </c>
      <c r="D10" t="s">
        <v>105</v>
      </c>
      <c r="E10" s="6">
        <v>320000000</v>
      </c>
      <c r="F10" s="6">
        <v>320000000</v>
      </c>
      <c r="G10" s="6">
        <f>F10-E10</f>
        <v>0</v>
      </c>
      <c r="H10" s="7">
        <f>IF(E10=0,"N/A",ABS(G10/E10))</f>
        <v>0</v>
      </c>
      <c r="I10" t="str">
        <f>IF(F10=0,"NO RECIBIDA",IF(G10=0,"CONFORME","CON DIFERENCIA"))</f>
        <v>CONFORME</v>
      </c>
      <c r="J10" t="s">
        <v>106</v>
      </c>
      <c r="K10" t="s">
        <v>107</v>
      </c>
      <c r="L10" t="str">
        <f>IF(I10="NO RECIBIDA","ALTO",IF(H10&gt;0.05,"ALTO",IF(H10&gt;0.01,"MEDIO","BAJO")))</f>
        <v>BAJO</v>
      </c>
    </row>
    <row r="13" spans="1:12" ht="15.75" x14ac:dyDescent="0.25">
      <c r="A13" s="27" t="s">
        <v>108</v>
      </c>
      <c r="B13" s="21"/>
      <c r="C13" s="21"/>
    </row>
    <row r="14" spans="1:12" x14ac:dyDescent="0.25">
      <c r="A14" t="s">
        <v>109</v>
      </c>
      <c r="B14">
        <f>COUNTA(A7:A10)</f>
        <v>4</v>
      </c>
    </row>
    <row r="15" spans="1:12" x14ac:dyDescent="0.25">
      <c r="A15" t="s">
        <v>110</v>
      </c>
      <c r="B15">
        <f>COUNTIF(I7:I10,"CONFORME")</f>
        <v>2</v>
      </c>
    </row>
    <row r="16" spans="1:12" x14ac:dyDescent="0.25">
      <c r="A16" t="s">
        <v>111</v>
      </c>
      <c r="B16">
        <f>COUNTIF(I7:I10,"CON DIFERENCIA")</f>
        <v>1</v>
      </c>
    </row>
    <row r="17" spans="1:2" x14ac:dyDescent="0.25">
      <c r="A17" t="s">
        <v>112</v>
      </c>
      <c r="B17" s="8">
        <f>COUNTIF(I7:I10,"NO RECIBIDA")</f>
        <v>1</v>
      </c>
    </row>
    <row r="18" spans="1:2" x14ac:dyDescent="0.25">
      <c r="A18" t="s">
        <v>113</v>
      </c>
      <c r="B18" s="9">
        <f>SUMIF(I7:I10,"CONFORME",F7:F10)</f>
        <v>1170000000</v>
      </c>
    </row>
  </sheetData>
  <mergeCells count="2">
    <mergeCell ref="A13:C1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/>
  </sheetViews>
  <sheetFormatPr baseColWidth="10" defaultColWidth="9.140625" defaultRowHeight="15" x14ac:dyDescent="0.25"/>
  <cols>
    <col min="1" max="11" width="18" customWidth="1"/>
  </cols>
  <sheetData>
    <row r="1" spans="1:11" ht="18" x14ac:dyDescent="0.25">
      <c r="A1" s="28" t="s">
        <v>114</v>
      </c>
      <c r="B1" s="21"/>
      <c r="C1" s="21"/>
      <c r="D1" s="21"/>
      <c r="E1" s="21"/>
      <c r="F1" s="21"/>
      <c r="G1" s="21"/>
      <c r="H1" s="21"/>
    </row>
    <row r="2" spans="1:11" x14ac:dyDescent="0.25">
      <c r="A2" s="4" t="s">
        <v>62</v>
      </c>
      <c r="B2" t="s">
        <v>63</v>
      </c>
      <c r="E2" s="4" t="s">
        <v>64</v>
      </c>
      <c r="F2" t="s">
        <v>65</v>
      </c>
    </row>
    <row r="3" spans="1:11" x14ac:dyDescent="0.25">
      <c r="A3" s="4" t="s">
        <v>66</v>
      </c>
      <c r="B3" t="s">
        <v>67</v>
      </c>
      <c r="E3" s="4" t="s">
        <v>68</v>
      </c>
      <c r="F3" t="s">
        <v>69</v>
      </c>
    </row>
    <row r="4" spans="1:11" x14ac:dyDescent="0.25">
      <c r="A4" s="4" t="s">
        <v>70</v>
      </c>
      <c r="B4" t="s">
        <v>115</v>
      </c>
      <c r="E4" s="4"/>
    </row>
    <row r="6" spans="1:11" ht="60" x14ac:dyDescent="0.25">
      <c r="A6" s="5" t="s">
        <v>72</v>
      </c>
      <c r="B6" s="5" t="s">
        <v>116</v>
      </c>
      <c r="C6" s="5" t="s">
        <v>117</v>
      </c>
      <c r="D6" s="5" t="s">
        <v>118</v>
      </c>
      <c r="E6" s="5" t="s">
        <v>119</v>
      </c>
      <c r="F6" s="5" t="s">
        <v>120</v>
      </c>
      <c r="G6" s="5" t="s">
        <v>121</v>
      </c>
      <c r="H6" s="5" t="s">
        <v>122</v>
      </c>
      <c r="I6" s="5" t="s">
        <v>123</v>
      </c>
      <c r="J6" s="5" t="s">
        <v>124</v>
      </c>
      <c r="K6" s="5" t="s">
        <v>83</v>
      </c>
    </row>
    <row r="7" spans="1:11" x14ac:dyDescent="0.25">
      <c r="A7" t="s">
        <v>84</v>
      </c>
      <c r="B7" t="s">
        <v>85</v>
      </c>
      <c r="C7" t="s">
        <v>87</v>
      </c>
      <c r="D7" t="s">
        <v>125</v>
      </c>
      <c r="E7" t="s">
        <v>126</v>
      </c>
      <c r="F7" t="s">
        <v>127</v>
      </c>
      <c r="G7" t="s">
        <v>128</v>
      </c>
      <c r="H7">
        <v>2.8</v>
      </c>
      <c r="I7" t="s">
        <v>129</v>
      </c>
      <c r="J7" t="s">
        <v>130</v>
      </c>
      <c r="K7" t="str">
        <f>IF(I7="NO CUMPLE","CRÍTICO",IF(I7="CUMPLE","BAJO","MEDIO"))</f>
        <v>BAJO</v>
      </c>
    </row>
    <row r="8" spans="1:11" x14ac:dyDescent="0.25">
      <c r="A8" t="s">
        <v>90</v>
      </c>
      <c r="B8" t="s">
        <v>91</v>
      </c>
      <c r="C8" t="s">
        <v>93</v>
      </c>
      <c r="D8" t="s">
        <v>131</v>
      </c>
      <c r="E8" t="s">
        <v>132</v>
      </c>
      <c r="F8" t="s">
        <v>133</v>
      </c>
      <c r="G8" t="s">
        <v>134</v>
      </c>
      <c r="H8">
        <v>1.45</v>
      </c>
      <c r="I8" t="s">
        <v>129</v>
      </c>
      <c r="J8" t="s">
        <v>130</v>
      </c>
      <c r="K8" t="str">
        <f>IF(I8="NO CUMPLE","CRÍTICO",IF(I8="CUMPLE","BAJO","MEDIO"))</f>
        <v>BAJO</v>
      </c>
    </row>
    <row r="9" spans="1:11" x14ac:dyDescent="0.25">
      <c r="A9" t="s">
        <v>96</v>
      </c>
      <c r="B9" t="s">
        <v>97</v>
      </c>
      <c r="C9" t="s">
        <v>99</v>
      </c>
      <c r="D9" t="s">
        <v>125</v>
      </c>
      <c r="E9" t="s">
        <v>135</v>
      </c>
      <c r="F9" t="s">
        <v>136</v>
      </c>
      <c r="G9" t="s">
        <v>137</v>
      </c>
      <c r="H9">
        <v>2.5</v>
      </c>
      <c r="I9" t="s">
        <v>138</v>
      </c>
      <c r="J9" t="s">
        <v>139</v>
      </c>
      <c r="K9" t="str">
        <f>IF(I9="NO CUMPLE","CRÍTICO",IF(I9="CUMPLE","BAJO","MEDIO"))</f>
        <v>CRÍTICO</v>
      </c>
    </row>
    <row r="10" spans="1:11" x14ac:dyDescent="0.25">
      <c r="A10" t="s">
        <v>102</v>
      </c>
      <c r="B10" t="s">
        <v>103</v>
      </c>
      <c r="C10" t="s">
        <v>105</v>
      </c>
      <c r="D10" t="s">
        <v>140</v>
      </c>
      <c r="E10" t="s">
        <v>141</v>
      </c>
      <c r="F10" t="s">
        <v>142</v>
      </c>
      <c r="G10" t="s">
        <v>143</v>
      </c>
      <c r="H10" t="s">
        <v>143</v>
      </c>
      <c r="I10" t="s">
        <v>129</v>
      </c>
      <c r="J10" t="s">
        <v>130</v>
      </c>
      <c r="K10" t="str">
        <f>IF(I10="NO CUMPLE","CRÍTICO",IF(I10="CUMPLE","BAJO","MEDIO"))</f>
        <v>BAJO</v>
      </c>
    </row>
    <row r="11" spans="1:11" x14ac:dyDescent="0.25">
      <c r="A11" t="s">
        <v>144</v>
      </c>
      <c r="B11" t="s">
        <v>85</v>
      </c>
      <c r="C11" t="s">
        <v>87</v>
      </c>
      <c r="D11" t="s">
        <v>145</v>
      </c>
      <c r="E11" t="s">
        <v>146</v>
      </c>
      <c r="F11" t="s">
        <v>147</v>
      </c>
      <c r="G11" t="s">
        <v>148</v>
      </c>
      <c r="H11">
        <v>50000000</v>
      </c>
      <c r="I11" t="s">
        <v>129</v>
      </c>
      <c r="J11" t="s">
        <v>130</v>
      </c>
      <c r="K11" t="str">
        <f>IF(I11="NO CUMPLE","CRÍTICO",IF(I11="CUMPLE","BAJO","MEDIO"))</f>
        <v>BAJO</v>
      </c>
    </row>
    <row r="14" spans="1:11" x14ac:dyDescent="0.25">
      <c r="A14" s="29" t="s">
        <v>149</v>
      </c>
      <c r="B14" s="21"/>
      <c r="C14" s="21"/>
      <c r="D14" s="21"/>
    </row>
    <row r="15" spans="1:11" x14ac:dyDescent="0.25">
      <c r="A15" t="s">
        <v>150</v>
      </c>
      <c r="B15">
        <f>COUNTA(A7:A11)</f>
        <v>5</v>
      </c>
    </row>
    <row r="16" spans="1:11" x14ac:dyDescent="0.25">
      <c r="A16" t="s">
        <v>151</v>
      </c>
      <c r="B16" s="10">
        <f>COUNTIF(I7:I11,"NO CUMPLE")</f>
        <v>1</v>
      </c>
    </row>
    <row r="17" spans="1:2" x14ac:dyDescent="0.25">
      <c r="A17" t="s">
        <v>152</v>
      </c>
      <c r="B17" s="10">
        <f>COUNTIF(K7:K11,"CRÍTICO")</f>
        <v>1</v>
      </c>
    </row>
  </sheetData>
  <mergeCells count="2">
    <mergeCell ref="A14:D14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/>
  </sheetViews>
  <sheetFormatPr baseColWidth="10" defaultColWidth="9.140625" defaultRowHeight="15" x14ac:dyDescent="0.25"/>
  <cols>
    <col min="1" max="11" width="18" customWidth="1"/>
  </cols>
  <sheetData>
    <row r="1" spans="1:11" ht="18" x14ac:dyDescent="0.25">
      <c r="A1" s="28" t="s">
        <v>153</v>
      </c>
      <c r="B1" s="21"/>
      <c r="C1" s="21"/>
      <c r="D1" s="21"/>
      <c r="E1" s="21"/>
      <c r="F1" s="21"/>
      <c r="G1" s="21"/>
      <c r="H1" s="21"/>
    </row>
    <row r="2" spans="1:11" x14ac:dyDescent="0.25">
      <c r="A2" s="4" t="s">
        <v>62</v>
      </c>
      <c r="B2" t="s">
        <v>63</v>
      </c>
      <c r="E2" s="4" t="s">
        <v>64</v>
      </c>
      <c r="F2" t="s">
        <v>65</v>
      </c>
    </row>
    <row r="3" spans="1:11" x14ac:dyDescent="0.25">
      <c r="A3" s="4" t="s">
        <v>66</v>
      </c>
      <c r="B3" t="s">
        <v>67</v>
      </c>
      <c r="E3" s="4" t="s">
        <v>68</v>
      </c>
      <c r="F3" t="s">
        <v>69</v>
      </c>
    </row>
    <row r="4" spans="1:11" x14ac:dyDescent="0.25">
      <c r="A4" s="4" t="s">
        <v>70</v>
      </c>
      <c r="B4" t="s">
        <v>154</v>
      </c>
      <c r="E4" s="4"/>
    </row>
    <row r="6" spans="1:11" ht="30" x14ac:dyDescent="0.25">
      <c r="A6" s="5" t="s">
        <v>72</v>
      </c>
      <c r="B6" s="5" t="s">
        <v>155</v>
      </c>
      <c r="C6" s="5" t="s">
        <v>116</v>
      </c>
      <c r="D6" s="5" t="s">
        <v>156</v>
      </c>
      <c r="E6" s="5" t="s">
        <v>157</v>
      </c>
      <c r="F6" s="5" t="s">
        <v>158</v>
      </c>
      <c r="G6" s="5" t="s">
        <v>159</v>
      </c>
      <c r="H6" s="5" t="s">
        <v>160</v>
      </c>
      <c r="I6" s="5" t="s">
        <v>123</v>
      </c>
      <c r="J6" s="5" t="s">
        <v>161</v>
      </c>
      <c r="K6" s="5" t="s">
        <v>83</v>
      </c>
    </row>
    <row r="7" spans="1:11" x14ac:dyDescent="0.25">
      <c r="A7" t="s">
        <v>84</v>
      </c>
      <c r="B7" t="s">
        <v>162</v>
      </c>
      <c r="C7" t="s">
        <v>85</v>
      </c>
      <c r="D7" t="s">
        <v>163</v>
      </c>
      <c r="E7">
        <v>2.8</v>
      </c>
      <c r="F7">
        <v>3.5</v>
      </c>
      <c r="G7" s="11">
        <f>IF(B7="Razón Corriente",E7-F7,F7-E7)</f>
        <v>0.70000000000000018</v>
      </c>
      <c r="H7" s="7">
        <f>ABS(G7/F7)</f>
        <v>0.20000000000000004</v>
      </c>
      <c r="I7" t="str">
        <f>IF(OR(B7="Razón Corriente",B7="Cobertura Intereses"),IF(E7&gt;=F7,"CUMPLE","NO CUMPLE"),IF(E7&lt;=F7,"CUMPLE","NO CUMPLE"))</f>
        <v>CUMPLE</v>
      </c>
      <c r="J7" t="s">
        <v>164</v>
      </c>
      <c r="K7" t="str">
        <f>IF(I7="NO CUMPLE","CRÍTICO",IF(H7&lt;0.15,"ALTO - Margen estrecho",IF(H7&lt;0.3,"MEDIO","BAJO")))</f>
        <v>MEDIO</v>
      </c>
    </row>
    <row r="8" spans="1:11" x14ac:dyDescent="0.25">
      <c r="A8" t="s">
        <v>90</v>
      </c>
      <c r="B8" t="s">
        <v>133</v>
      </c>
      <c r="C8" t="s">
        <v>91</v>
      </c>
      <c r="D8" t="s">
        <v>165</v>
      </c>
      <c r="E8">
        <v>1.45</v>
      </c>
      <c r="F8">
        <v>1.2</v>
      </c>
      <c r="G8" s="11">
        <f>IF(B8="Razón Corriente",E8-F8,F8-E8)</f>
        <v>0.25</v>
      </c>
      <c r="H8" s="7">
        <f>ABS(G8/F8)</f>
        <v>0.20833333333333334</v>
      </c>
      <c r="I8" t="str">
        <f>IF(OR(B8="Razón Corriente",B8="Cobertura Intereses"),IF(E8&gt;=F8,"CUMPLE","NO CUMPLE"),IF(E8&lt;=F8,"CUMPLE","NO CUMPLE"))</f>
        <v>CUMPLE</v>
      </c>
      <c r="J8" t="s">
        <v>166</v>
      </c>
      <c r="K8" t="str">
        <f>IF(I8="NO CUMPLE","CRÍTICO",IF(H8&lt;0.15,"ALTO - Margen estrecho",IF(H8&lt;0.3,"MEDIO","BAJO")))</f>
        <v>MEDIO</v>
      </c>
    </row>
    <row r="9" spans="1:11" x14ac:dyDescent="0.25">
      <c r="A9" t="s">
        <v>96</v>
      </c>
      <c r="B9" t="s">
        <v>167</v>
      </c>
      <c r="C9" t="s">
        <v>97</v>
      </c>
      <c r="D9" t="s">
        <v>168</v>
      </c>
      <c r="E9">
        <v>2.5</v>
      </c>
      <c r="F9">
        <v>3</v>
      </c>
      <c r="G9" s="11">
        <f>IF(B9="Razón Corriente",E9-F9,F9-E9)</f>
        <v>0.5</v>
      </c>
      <c r="H9" s="7">
        <f>ABS(G9/F9)</f>
        <v>0.16666666666666666</v>
      </c>
      <c r="I9" t="str">
        <f>IF(OR(B9="Razón Corriente",B9="Cobertura Intereses"),IF(E9&gt;=F9,"CUMPLE","NO CUMPLE"),IF(E9&lt;=F9,"CUMPLE","NO CUMPLE"))</f>
        <v>NO CUMPLE</v>
      </c>
      <c r="J9" t="s">
        <v>164</v>
      </c>
      <c r="K9" t="str">
        <f>IF(I9="NO CUMPLE","CRÍTICO",IF(H9&lt;0.15,"ALTO - Margen estrecho",IF(H9&lt;0.3,"MEDIO","BAJO")))</f>
        <v>CRÍTICO</v>
      </c>
    </row>
    <row r="10" spans="1:11" x14ac:dyDescent="0.25">
      <c r="A10" t="s">
        <v>102</v>
      </c>
      <c r="B10" t="s">
        <v>169</v>
      </c>
      <c r="C10" t="s">
        <v>103</v>
      </c>
      <c r="D10" t="s">
        <v>170</v>
      </c>
      <c r="E10">
        <v>1.8</v>
      </c>
      <c r="F10">
        <v>2.5</v>
      </c>
      <c r="G10" s="11">
        <f>IF(B10="Razón Corriente",E10-F10,F10-E10)</f>
        <v>0.7</v>
      </c>
      <c r="H10" s="7">
        <f>ABS(G10/F10)</f>
        <v>0.27999999999999997</v>
      </c>
      <c r="I10" t="str">
        <f>IF(OR(B10="Razón Corriente",B10="Cobertura Intereses"),IF(E10&gt;=F10,"CUMPLE","NO CUMPLE"),IF(E10&lt;=F10,"CUMPLE","NO CUMPLE"))</f>
        <v>CUMPLE</v>
      </c>
      <c r="J10" t="s">
        <v>166</v>
      </c>
      <c r="K10" t="str">
        <f>IF(I10="NO CUMPLE","CRÍTICO",IF(H10&lt;0.15,"ALTO - Margen estrecho",IF(H10&lt;0.3,"MEDIO","BAJO")))</f>
        <v>MEDIO</v>
      </c>
    </row>
    <row r="13" spans="1:11" x14ac:dyDescent="0.25">
      <c r="A13" s="30" t="s">
        <v>171</v>
      </c>
      <c r="B13" s="21"/>
      <c r="C13" s="21"/>
      <c r="D13" s="21"/>
    </row>
    <row r="14" spans="1:11" x14ac:dyDescent="0.25">
      <c r="A14" t="s">
        <v>172</v>
      </c>
      <c r="B14" s="12">
        <f>COUNTIF(I7:I10,"CUMPLE")</f>
        <v>3</v>
      </c>
    </row>
    <row r="15" spans="1:11" x14ac:dyDescent="0.25">
      <c r="A15" t="s">
        <v>173</v>
      </c>
      <c r="B15" s="10">
        <f>COUNTIF(I7:I10,"NO CUMPLE")</f>
        <v>1</v>
      </c>
    </row>
    <row r="16" spans="1:11" x14ac:dyDescent="0.25">
      <c r="A16" t="s">
        <v>174</v>
      </c>
      <c r="B16" s="8">
        <f>COUNTIFS(K7:K10,"CRÍTICO")+COUNTIF(K7:K10,"ALTO*")</f>
        <v>1</v>
      </c>
    </row>
    <row r="17" spans="1:2" x14ac:dyDescent="0.25">
      <c r="A17" t="s">
        <v>175</v>
      </c>
      <c r="B17">
        <f>COUNTIF(J7:J10,"Deteriorando")</f>
        <v>2</v>
      </c>
    </row>
  </sheetData>
  <mergeCells count="2">
    <mergeCell ref="A13:D13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/>
  </sheetViews>
  <sheetFormatPr baseColWidth="10" defaultColWidth="9.140625" defaultRowHeight="15" x14ac:dyDescent="0.25"/>
  <cols>
    <col min="1" max="11" width="18" customWidth="1"/>
  </cols>
  <sheetData>
    <row r="1" spans="1:11" ht="18" x14ac:dyDescent="0.25">
      <c r="A1" s="28" t="s">
        <v>176</v>
      </c>
      <c r="B1" s="21"/>
      <c r="C1" s="21"/>
      <c r="D1" s="21"/>
      <c r="E1" s="21"/>
      <c r="F1" s="21"/>
      <c r="G1" s="21"/>
      <c r="H1" s="21"/>
    </row>
    <row r="2" spans="1:11" x14ac:dyDescent="0.25">
      <c r="A2" s="4" t="s">
        <v>62</v>
      </c>
      <c r="B2" t="s">
        <v>63</v>
      </c>
      <c r="E2" s="4" t="s">
        <v>64</v>
      </c>
      <c r="F2" t="s">
        <v>65</v>
      </c>
    </row>
    <row r="3" spans="1:11" x14ac:dyDescent="0.25">
      <c r="A3" s="4" t="s">
        <v>66</v>
      </c>
      <c r="B3" t="s">
        <v>67</v>
      </c>
      <c r="E3" s="4" t="s">
        <v>68</v>
      </c>
      <c r="F3" t="s">
        <v>69</v>
      </c>
    </row>
    <row r="4" spans="1:11" x14ac:dyDescent="0.25">
      <c r="A4" s="4" t="s">
        <v>70</v>
      </c>
      <c r="B4" t="s">
        <v>177</v>
      </c>
      <c r="E4" s="4"/>
    </row>
    <row r="6" spans="1:11" ht="30" x14ac:dyDescent="0.25">
      <c r="A6" s="5" t="s">
        <v>72</v>
      </c>
      <c r="B6" s="5" t="s">
        <v>178</v>
      </c>
      <c r="C6" s="5" t="s">
        <v>179</v>
      </c>
      <c r="D6" s="5" t="s">
        <v>180</v>
      </c>
      <c r="E6" s="5" t="s">
        <v>181</v>
      </c>
      <c r="F6" s="5" t="s">
        <v>182</v>
      </c>
      <c r="G6" s="5" t="s">
        <v>183</v>
      </c>
      <c r="H6" s="5" t="s">
        <v>184</v>
      </c>
      <c r="I6" s="5" t="s">
        <v>185</v>
      </c>
      <c r="J6" s="5" t="s">
        <v>83</v>
      </c>
      <c r="K6" s="5" t="s">
        <v>186</v>
      </c>
    </row>
    <row r="7" spans="1:11" x14ac:dyDescent="0.25">
      <c r="A7" t="s">
        <v>84</v>
      </c>
      <c r="B7" t="s">
        <v>187</v>
      </c>
      <c r="C7" t="s">
        <v>85</v>
      </c>
      <c r="D7" t="s">
        <v>188</v>
      </c>
      <c r="E7" s="6">
        <v>1500000000</v>
      </c>
      <c r="F7" t="s">
        <v>87</v>
      </c>
      <c r="G7" s="6">
        <v>850000000</v>
      </c>
      <c r="H7" t="s">
        <v>189</v>
      </c>
      <c r="I7" t="str">
        <f>IF(H7="NO","SÍ - FALTA REVELACIÓN","REVELADO OK")</f>
        <v>REVELADO OK</v>
      </c>
      <c r="J7" t="str">
        <f>IF(I7="SÍ - FALTA REVELACIÓN",IF(OR(B7="Aval",G7&gt;100000000),"CRÍTICO","ALTO"),"BAJO")</f>
        <v>BAJO</v>
      </c>
    </row>
    <row r="8" spans="1:11" x14ac:dyDescent="0.25">
      <c r="A8" t="s">
        <v>90</v>
      </c>
      <c r="B8" t="s">
        <v>190</v>
      </c>
      <c r="C8" t="s">
        <v>91</v>
      </c>
      <c r="D8" t="s">
        <v>191</v>
      </c>
      <c r="E8" s="6">
        <v>650000000</v>
      </c>
      <c r="F8" t="s">
        <v>93</v>
      </c>
      <c r="G8" s="6">
        <v>420000000</v>
      </c>
      <c r="H8" t="s">
        <v>189</v>
      </c>
      <c r="I8" t="str">
        <f>IF(H8="NO","SÍ - FALTA REVELACIÓN","REVELADO OK")</f>
        <v>REVELADO OK</v>
      </c>
      <c r="J8" t="str">
        <f>IF(I8="SÍ - FALTA REVELACIÓN",IF(OR(B8="Aval",G8&gt;100000000),"CRÍTICO","ALTO"),"BAJO")</f>
        <v>BAJO</v>
      </c>
    </row>
    <row r="9" spans="1:11" x14ac:dyDescent="0.25">
      <c r="A9" t="s">
        <v>96</v>
      </c>
      <c r="B9" t="s">
        <v>107</v>
      </c>
      <c r="C9" t="s">
        <v>103</v>
      </c>
      <c r="D9" t="s">
        <v>192</v>
      </c>
      <c r="E9" s="6">
        <v>400000000</v>
      </c>
      <c r="F9" t="s">
        <v>105</v>
      </c>
      <c r="G9" s="6">
        <v>320000000</v>
      </c>
      <c r="H9" t="s">
        <v>193</v>
      </c>
      <c r="I9" t="str">
        <f>IF(H9="NO","SÍ - FALTA REVELACIÓN","REVELADO OK")</f>
        <v>SÍ - FALTA REVELACIÓN</v>
      </c>
      <c r="J9" t="str">
        <f>IF(I9="SÍ - FALTA REVELACIÓN",IF(OR(B9="Aval",G9&gt;100000000),"CRÍTICO","ALTO"),"BAJO")</f>
        <v>CRÍTICO</v>
      </c>
    </row>
    <row r="10" spans="1:11" x14ac:dyDescent="0.25">
      <c r="A10" t="s">
        <v>102</v>
      </c>
      <c r="B10" t="s">
        <v>194</v>
      </c>
      <c r="C10" t="s">
        <v>195</v>
      </c>
      <c r="D10" t="s">
        <v>196</v>
      </c>
      <c r="E10" s="6">
        <v>0</v>
      </c>
      <c r="F10" t="s">
        <v>197</v>
      </c>
      <c r="G10" s="6">
        <v>280000000</v>
      </c>
      <c r="H10" t="s">
        <v>193</v>
      </c>
      <c r="I10" t="str">
        <f>IF(H10="NO","SÍ - FALTA REVELACIÓN","REVELADO OK")</f>
        <v>SÍ - FALTA REVELACIÓN</v>
      </c>
      <c r="J10" t="str">
        <f>IF(I10="SÍ - FALTA REVELACIÓN",IF(OR(B10="Aval",G10&gt;100000000),"CRÍTICO","ALTO"),"BAJO")</f>
        <v>CRÍTICO</v>
      </c>
    </row>
    <row r="11" spans="1:11" x14ac:dyDescent="0.25">
      <c r="A11" t="s">
        <v>144</v>
      </c>
      <c r="B11" t="s">
        <v>198</v>
      </c>
      <c r="C11" t="s">
        <v>97</v>
      </c>
      <c r="D11" t="s">
        <v>199</v>
      </c>
      <c r="E11" s="6">
        <v>950000000</v>
      </c>
      <c r="F11" t="s">
        <v>99</v>
      </c>
      <c r="G11" s="6">
        <v>150000000</v>
      </c>
      <c r="H11" t="s">
        <v>189</v>
      </c>
      <c r="I11" t="str">
        <f>IF(H11="NO","SÍ - FALTA REVELACIÓN","REVELADO OK")</f>
        <v>REVELADO OK</v>
      </c>
      <c r="J11" t="str">
        <f>IF(I11="SÍ - FALTA REVELACIÓN",IF(OR(B11="Aval",G11&gt;100000000),"CRÍTICO","ALTO"),"BAJO")</f>
        <v>BAJO</v>
      </c>
    </row>
    <row r="14" spans="1:11" x14ac:dyDescent="0.25">
      <c r="A14" s="31" t="s">
        <v>200</v>
      </c>
      <c r="B14" s="21"/>
      <c r="C14" s="21"/>
      <c r="D14" s="21"/>
    </row>
    <row r="15" spans="1:11" x14ac:dyDescent="0.25">
      <c r="A15" t="s">
        <v>201</v>
      </c>
      <c r="B15">
        <f>COUNTA(A7:A11)</f>
        <v>5</v>
      </c>
    </row>
    <row r="16" spans="1:11" x14ac:dyDescent="0.25">
      <c r="A16" t="s">
        <v>202</v>
      </c>
      <c r="B16" s="10">
        <f>COUNTIF(H7:H11,"NO")</f>
        <v>2</v>
      </c>
    </row>
    <row r="17" spans="1:2" x14ac:dyDescent="0.25">
      <c r="A17" t="s">
        <v>203</v>
      </c>
      <c r="B17" s="9">
        <f>SUM(E7:E11)</f>
        <v>3500000000</v>
      </c>
    </row>
    <row r="18" spans="1:2" x14ac:dyDescent="0.25">
      <c r="A18" t="s">
        <v>204</v>
      </c>
      <c r="B18" s="9">
        <f>SUM(G7:G11)</f>
        <v>2020000000</v>
      </c>
    </row>
    <row r="19" spans="1:2" x14ac:dyDescent="0.25">
      <c r="A19" t="s">
        <v>205</v>
      </c>
      <c r="B19" s="11">
        <f>B17/B18</f>
        <v>1.7326732673267327</v>
      </c>
    </row>
  </sheetData>
  <mergeCells count="2">
    <mergeCell ref="A14:D14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/>
  </sheetViews>
  <sheetFormatPr baseColWidth="10" defaultColWidth="9.140625" defaultRowHeight="15" x14ac:dyDescent="0.25"/>
  <cols>
    <col min="1" max="12" width="18" customWidth="1"/>
  </cols>
  <sheetData>
    <row r="1" spans="1:12" ht="18" x14ac:dyDescent="0.25">
      <c r="A1" s="28" t="s">
        <v>206</v>
      </c>
      <c r="B1" s="21"/>
      <c r="C1" s="21"/>
      <c r="D1" s="21"/>
      <c r="E1" s="21"/>
      <c r="F1" s="21"/>
      <c r="G1" s="21"/>
      <c r="H1" s="21"/>
    </row>
    <row r="2" spans="1:12" x14ac:dyDescent="0.25">
      <c r="A2" s="4" t="s">
        <v>62</v>
      </c>
      <c r="B2" t="s">
        <v>63</v>
      </c>
      <c r="E2" s="4" t="s">
        <v>64</v>
      </c>
      <c r="F2" t="s">
        <v>65</v>
      </c>
    </row>
    <row r="3" spans="1:12" x14ac:dyDescent="0.25">
      <c r="A3" s="4" t="s">
        <v>66</v>
      </c>
      <c r="B3" t="s">
        <v>67</v>
      </c>
      <c r="E3" s="4" t="s">
        <v>68</v>
      </c>
      <c r="F3" t="s">
        <v>69</v>
      </c>
    </row>
    <row r="4" spans="1:12" x14ac:dyDescent="0.25">
      <c r="A4" s="4" t="s">
        <v>70</v>
      </c>
      <c r="B4" t="s">
        <v>207</v>
      </c>
      <c r="E4" s="4"/>
    </row>
    <row r="6" spans="1:12" ht="45" x14ac:dyDescent="0.25">
      <c r="A6" s="5" t="s">
        <v>72</v>
      </c>
      <c r="B6" s="5" t="s">
        <v>116</v>
      </c>
      <c r="C6" s="5" t="s">
        <v>75</v>
      </c>
      <c r="D6" s="5" t="s">
        <v>208</v>
      </c>
      <c r="E6" s="5" t="s">
        <v>209</v>
      </c>
      <c r="F6" s="5" t="s">
        <v>210</v>
      </c>
      <c r="G6" s="5" t="s">
        <v>211</v>
      </c>
      <c r="H6" s="5" t="s">
        <v>212</v>
      </c>
      <c r="I6" s="5" t="s">
        <v>213</v>
      </c>
      <c r="J6" s="5" t="s">
        <v>214</v>
      </c>
      <c r="K6" s="5" t="s">
        <v>215</v>
      </c>
      <c r="L6" s="5" t="s">
        <v>216</v>
      </c>
    </row>
    <row r="7" spans="1:12" x14ac:dyDescent="0.25">
      <c r="A7" t="s">
        <v>84</v>
      </c>
      <c r="B7" t="s">
        <v>85</v>
      </c>
      <c r="C7" t="s">
        <v>87</v>
      </c>
      <c r="D7" s="13" t="s">
        <v>217</v>
      </c>
      <c r="E7">
        <v>60</v>
      </c>
      <c r="F7" s="6">
        <v>850000000</v>
      </c>
      <c r="G7" s="13" t="s">
        <v>218</v>
      </c>
      <c r="H7" s="6">
        <v>180000000</v>
      </c>
      <c r="I7" t="s">
        <v>219</v>
      </c>
      <c r="J7" t="str">
        <f>CONCATENATE("Corriente: ",TEXT(H7,"#,##0")," | No Corriente: ",TEXT(F7-H7,"#,##0"))</f>
        <v>Corriente: 180,000,000 | No Corriente: 670,000,000</v>
      </c>
      <c r="K7" t="s">
        <v>193</v>
      </c>
      <c r="L7" s="6">
        <v>0</v>
      </c>
    </row>
    <row r="8" spans="1:12" x14ac:dyDescent="0.25">
      <c r="A8" t="s">
        <v>90</v>
      </c>
      <c r="B8" t="s">
        <v>91</v>
      </c>
      <c r="C8" t="s">
        <v>93</v>
      </c>
      <c r="D8" s="13" t="s">
        <v>220</v>
      </c>
      <c r="E8">
        <v>36</v>
      </c>
      <c r="F8" s="6">
        <v>420000000</v>
      </c>
      <c r="G8" s="13" t="s">
        <v>221</v>
      </c>
      <c r="H8" s="6">
        <v>140000000</v>
      </c>
      <c r="I8" t="s">
        <v>222</v>
      </c>
      <c r="J8" t="str">
        <f>CONCATENATE("Corriente: ",TEXT(H8,"#,##0")," | No Corriente: ",TEXT(F8-H8,"#,##0"))</f>
        <v>Corriente: 140,000,000 | No Corriente: 280,000,000</v>
      </c>
      <c r="K8" t="s">
        <v>193</v>
      </c>
      <c r="L8" s="6">
        <v>0</v>
      </c>
    </row>
    <row r="9" spans="1:12" x14ac:dyDescent="0.25">
      <c r="A9" t="s">
        <v>96</v>
      </c>
      <c r="B9" t="s">
        <v>97</v>
      </c>
      <c r="C9" t="s">
        <v>99</v>
      </c>
      <c r="D9" s="13" t="s">
        <v>223</v>
      </c>
      <c r="E9">
        <v>12</v>
      </c>
      <c r="F9" s="6">
        <v>150000000</v>
      </c>
      <c r="G9" s="13" t="s">
        <v>224</v>
      </c>
      <c r="H9" s="6">
        <v>150000000</v>
      </c>
      <c r="I9" t="s">
        <v>225</v>
      </c>
      <c r="J9" t="str">
        <f>CONCATENATE("Corriente: ",TEXT(H9,"#,##0")," | No Corriente: ",TEXT(F9-H9,"#,##0"))</f>
        <v>Corriente: 150,000,000 | No Corriente: 0</v>
      </c>
      <c r="K9" t="s">
        <v>189</v>
      </c>
      <c r="L9" s="6">
        <v>50000000</v>
      </c>
    </row>
    <row r="10" spans="1:12" x14ac:dyDescent="0.25">
      <c r="A10" t="s">
        <v>102</v>
      </c>
      <c r="B10" t="s">
        <v>103</v>
      </c>
      <c r="C10" t="s">
        <v>105</v>
      </c>
      <c r="D10" s="13" t="s">
        <v>226</v>
      </c>
      <c r="E10">
        <v>48</v>
      </c>
      <c r="F10" s="6">
        <v>320000000</v>
      </c>
      <c r="G10" s="13" t="s">
        <v>227</v>
      </c>
      <c r="H10" s="6">
        <v>85000000</v>
      </c>
      <c r="I10" t="s">
        <v>228</v>
      </c>
      <c r="J10" t="str">
        <f>CONCATENATE("Corriente: ",TEXT(H10,"#,##0")," | No Corriente: ",TEXT(F10-H10,"#,##0"))</f>
        <v>Corriente: 85,000,000 | No Corriente: 235,000,000</v>
      </c>
      <c r="K10" t="s">
        <v>193</v>
      </c>
      <c r="L10" s="6">
        <v>0</v>
      </c>
    </row>
    <row r="13" spans="1:12" x14ac:dyDescent="0.25">
      <c r="A13" s="31" t="s">
        <v>229</v>
      </c>
      <c r="B13" s="21"/>
      <c r="C13" s="21"/>
      <c r="D13" s="21"/>
    </row>
    <row r="14" spans="1:12" x14ac:dyDescent="0.25">
      <c r="A14" t="s">
        <v>230</v>
      </c>
      <c r="B14">
        <f>COUNTA(A7:A10)</f>
        <v>4</v>
      </c>
    </row>
    <row r="15" spans="1:12" x14ac:dyDescent="0.25">
      <c r="A15" t="s">
        <v>231</v>
      </c>
      <c r="B15" s="8">
        <f>COUNTIF(K7:K10,"SÍ")</f>
        <v>1</v>
      </c>
    </row>
    <row r="16" spans="1:12" x14ac:dyDescent="0.25">
      <c r="A16" t="s">
        <v>232</v>
      </c>
      <c r="B16" s="14">
        <f>SUM(L7:L10)</f>
        <v>50000000</v>
      </c>
    </row>
  </sheetData>
  <mergeCells count="2">
    <mergeCell ref="A13:D13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/>
  </sheetViews>
  <sheetFormatPr baseColWidth="10" defaultColWidth="9.140625" defaultRowHeight="15" x14ac:dyDescent="0.25"/>
  <cols>
    <col min="1" max="11" width="18" customWidth="1"/>
  </cols>
  <sheetData>
    <row r="1" spans="1:11" ht="18" x14ac:dyDescent="0.25">
      <c r="A1" s="28" t="s">
        <v>233</v>
      </c>
      <c r="B1" s="21"/>
      <c r="C1" s="21"/>
      <c r="D1" s="21"/>
      <c r="E1" s="21"/>
      <c r="F1" s="21"/>
      <c r="G1" s="21"/>
      <c r="H1" s="21"/>
    </row>
    <row r="2" spans="1:11" x14ac:dyDescent="0.25">
      <c r="A2" s="4" t="s">
        <v>62</v>
      </c>
      <c r="B2" t="s">
        <v>63</v>
      </c>
      <c r="E2" s="4" t="s">
        <v>64</v>
      </c>
      <c r="F2" t="s">
        <v>65</v>
      </c>
    </row>
    <row r="3" spans="1:11" x14ac:dyDescent="0.25">
      <c r="A3" s="4" t="s">
        <v>66</v>
      </c>
      <c r="B3" t="s">
        <v>67</v>
      </c>
      <c r="E3" s="4" t="s">
        <v>68</v>
      </c>
      <c r="F3" t="s">
        <v>69</v>
      </c>
    </row>
    <row r="4" spans="1:11" x14ac:dyDescent="0.25">
      <c r="A4" s="4" t="s">
        <v>70</v>
      </c>
      <c r="B4" t="s">
        <v>234</v>
      </c>
      <c r="E4" s="4"/>
    </row>
    <row r="6" spans="1:11" ht="45" x14ac:dyDescent="0.25">
      <c r="A6" s="5" t="s">
        <v>72</v>
      </c>
      <c r="B6" s="5" t="s">
        <v>116</v>
      </c>
      <c r="C6" s="5" t="s">
        <v>75</v>
      </c>
      <c r="D6" s="5" t="s">
        <v>235</v>
      </c>
      <c r="E6" s="5" t="s">
        <v>236</v>
      </c>
      <c r="F6" s="5" t="s">
        <v>237</v>
      </c>
      <c r="G6" s="5" t="s">
        <v>238</v>
      </c>
      <c r="H6" s="5" t="s">
        <v>78</v>
      </c>
      <c r="I6" s="5" t="s">
        <v>79</v>
      </c>
      <c r="J6" s="5" t="s">
        <v>239</v>
      </c>
      <c r="K6" s="5" t="s">
        <v>83</v>
      </c>
    </row>
    <row r="7" spans="1:11" x14ac:dyDescent="0.25">
      <c r="A7" t="s">
        <v>84</v>
      </c>
      <c r="B7" t="s">
        <v>85</v>
      </c>
      <c r="C7" t="s">
        <v>87</v>
      </c>
      <c r="D7" t="s">
        <v>88</v>
      </c>
      <c r="E7" t="s">
        <v>240</v>
      </c>
      <c r="F7" t="s">
        <v>241</v>
      </c>
      <c r="G7" t="s">
        <v>242</v>
      </c>
      <c r="H7" s="15">
        <v>0.3</v>
      </c>
      <c r="I7" s="16">
        <f>ABS(H7)/13</f>
        <v>2.3076923076923075E-2</v>
      </c>
      <c r="J7" t="str">
        <f>IF(H7&gt;1,"TASA ALTA - RENEGOCIAR",IF(H7&gt;0.5,"TASA LIGERAMENTE ALTA","TASA COMPETITIVA"))</f>
        <v>TASA COMPETITIVA</v>
      </c>
      <c r="K7" t="str">
        <f>IF(H7&gt;1,"MEDIO",IF(H7&gt;0.5,"BAJO","MÍNIMO"))</f>
        <v>MÍNIMO</v>
      </c>
    </row>
    <row r="8" spans="1:11" x14ac:dyDescent="0.25">
      <c r="A8" t="s">
        <v>90</v>
      </c>
      <c r="B8" t="s">
        <v>91</v>
      </c>
      <c r="C8" t="s">
        <v>93</v>
      </c>
      <c r="D8" t="s">
        <v>94</v>
      </c>
      <c r="E8" t="s">
        <v>240</v>
      </c>
      <c r="F8" t="s">
        <v>243</v>
      </c>
      <c r="G8" t="s">
        <v>244</v>
      </c>
      <c r="H8" s="15">
        <v>0.3</v>
      </c>
      <c r="I8" s="16">
        <f>ABS(H8)/13</f>
        <v>2.3076923076923075E-2</v>
      </c>
      <c r="J8" t="str">
        <f>IF(H8&gt;1,"TASA ALTA - RENEGOCIAR",IF(H8&gt;0.5,"TASA LIGERAMENTE ALTA","TASA COMPETITIVA"))</f>
        <v>TASA COMPETITIVA</v>
      </c>
      <c r="K8" t="str">
        <f>IF(H8&gt;1,"MEDIO",IF(H8&gt;0.5,"BAJO","MÍNIMO"))</f>
        <v>MÍNIMO</v>
      </c>
    </row>
    <row r="9" spans="1:11" x14ac:dyDescent="0.25">
      <c r="A9" t="s">
        <v>96</v>
      </c>
      <c r="B9" t="s">
        <v>97</v>
      </c>
      <c r="C9" t="s">
        <v>99</v>
      </c>
      <c r="D9" t="s">
        <v>245</v>
      </c>
      <c r="E9" t="s">
        <v>246</v>
      </c>
      <c r="F9" t="s">
        <v>247</v>
      </c>
      <c r="G9" t="s">
        <v>248</v>
      </c>
      <c r="H9" s="15">
        <v>1.3000000000000009</v>
      </c>
      <c r="I9" s="16">
        <f>ABS(H9)/13</f>
        <v>0.10000000000000007</v>
      </c>
      <c r="J9" t="str">
        <f>IF(H9&gt;1,"TASA ALTA - RENEGOCIAR",IF(H9&gt;0.5,"TASA LIGERAMENTE ALTA","TASA COMPETITIVA"))</f>
        <v>TASA ALTA - RENEGOCIAR</v>
      </c>
      <c r="K9" t="str">
        <f>IF(H9&gt;1,"MEDIO",IF(H9&gt;0.5,"BAJO","MÍNIMO"))</f>
        <v>MEDIO</v>
      </c>
    </row>
    <row r="10" spans="1:11" x14ac:dyDescent="0.25">
      <c r="A10" t="s">
        <v>102</v>
      </c>
      <c r="B10" t="s">
        <v>103</v>
      </c>
      <c r="C10" t="s">
        <v>105</v>
      </c>
      <c r="D10" t="s">
        <v>106</v>
      </c>
      <c r="E10" t="s">
        <v>240</v>
      </c>
      <c r="F10" t="s">
        <v>243</v>
      </c>
      <c r="G10" t="s">
        <v>249</v>
      </c>
      <c r="H10" s="15">
        <v>0.3</v>
      </c>
      <c r="I10" s="16">
        <f>ABS(H10)/13</f>
        <v>2.3076923076923075E-2</v>
      </c>
      <c r="J10" t="str">
        <f>IF(H10&gt;1,"TASA ALTA - RENEGOCIAR",IF(H10&gt;0.5,"TASA LIGERAMENTE ALTA","TASA COMPETITIVA"))</f>
        <v>TASA COMPETITIVA</v>
      </c>
      <c r="K10" t="str">
        <f>IF(H10&gt;1,"MEDIO",IF(H10&gt;0.5,"BAJO","MÍNIMO"))</f>
        <v>MÍNIMO</v>
      </c>
    </row>
    <row r="13" spans="1:11" x14ac:dyDescent="0.25">
      <c r="A13" s="31" t="s">
        <v>250</v>
      </c>
      <c r="B13" s="21"/>
      <c r="C13" s="21"/>
      <c r="D13" s="21"/>
    </row>
    <row r="14" spans="1:11" x14ac:dyDescent="0.25">
      <c r="A14" t="s">
        <v>251</v>
      </c>
      <c r="B14">
        <f>COUNTIF(J7:J10,"TASA ALTA*")</f>
        <v>1</v>
      </c>
    </row>
    <row r="15" spans="1:11" x14ac:dyDescent="0.25">
      <c r="A15" t="s">
        <v>252</v>
      </c>
      <c r="B15">
        <f>COUNTIF(J7:J10,"*RENEGOCIAR*")</f>
        <v>1</v>
      </c>
    </row>
    <row r="16" spans="1:11" x14ac:dyDescent="0.25">
      <c r="A16" t="s">
        <v>253</v>
      </c>
      <c r="B16" s="15">
        <f>AVERAGE(H7:H10)</f>
        <v>0.55000000000000016</v>
      </c>
    </row>
  </sheetData>
  <mergeCells count="2">
    <mergeCell ref="A13:D13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/>
  </sheetViews>
  <sheetFormatPr baseColWidth="10" defaultColWidth="9.140625" defaultRowHeight="15" x14ac:dyDescent="0.25"/>
  <cols>
    <col min="1" max="12" width="18" customWidth="1"/>
  </cols>
  <sheetData>
    <row r="1" spans="1:12" ht="18" x14ac:dyDescent="0.25">
      <c r="A1" s="28" t="s">
        <v>254</v>
      </c>
      <c r="B1" s="21"/>
      <c r="C1" s="21"/>
      <c r="D1" s="21"/>
      <c r="E1" s="21"/>
      <c r="F1" s="21"/>
      <c r="G1" s="21"/>
      <c r="H1" s="21"/>
    </row>
    <row r="2" spans="1:12" x14ac:dyDescent="0.25">
      <c r="A2" s="4" t="s">
        <v>62</v>
      </c>
      <c r="B2" t="s">
        <v>63</v>
      </c>
      <c r="E2" s="4" t="s">
        <v>64</v>
      </c>
      <c r="F2" t="s">
        <v>65</v>
      </c>
    </row>
    <row r="3" spans="1:12" x14ac:dyDescent="0.25">
      <c r="A3" s="4" t="s">
        <v>66</v>
      </c>
      <c r="B3" t="s">
        <v>67</v>
      </c>
      <c r="E3" s="4" t="s">
        <v>68</v>
      </c>
      <c r="F3" t="s">
        <v>69</v>
      </c>
    </row>
    <row r="4" spans="1:12" x14ac:dyDescent="0.25">
      <c r="A4" s="4" t="s">
        <v>70</v>
      </c>
      <c r="B4" t="s">
        <v>255</v>
      </c>
      <c r="E4" s="4"/>
    </row>
    <row r="6" spans="1:12" ht="45" x14ac:dyDescent="0.25">
      <c r="A6" s="5" t="s">
        <v>72</v>
      </c>
      <c r="B6" s="5" t="s">
        <v>178</v>
      </c>
      <c r="C6" s="5" t="s">
        <v>179</v>
      </c>
      <c r="D6" s="5" t="s">
        <v>256</v>
      </c>
      <c r="E6" s="5" t="s">
        <v>257</v>
      </c>
      <c r="F6" s="5" t="s">
        <v>258</v>
      </c>
      <c r="G6" s="5" t="s">
        <v>259</v>
      </c>
      <c r="H6" s="5" t="s">
        <v>260</v>
      </c>
      <c r="I6" s="5" t="s">
        <v>261</v>
      </c>
      <c r="J6" s="5" t="s">
        <v>262</v>
      </c>
      <c r="K6" s="5" t="s">
        <v>263</v>
      </c>
      <c r="L6" s="5" t="s">
        <v>83</v>
      </c>
    </row>
    <row r="7" spans="1:12" x14ac:dyDescent="0.25">
      <c r="A7" t="s">
        <v>84</v>
      </c>
      <c r="B7" t="s">
        <v>264</v>
      </c>
      <c r="C7" t="s">
        <v>195</v>
      </c>
      <c r="D7" t="s">
        <v>265</v>
      </c>
      <c r="E7" t="s">
        <v>266</v>
      </c>
      <c r="F7" s="6">
        <v>280000000</v>
      </c>
      <c r="G7" s="13" t="s">
        <v>267</v>
      </c>
      <c r="H7" s="13" t="s">
        <v>268</v>
      </c>
      <c r="I7" t="s">
        <v>269</v>
      </c>
      <c r="J7" t="s">
        <v>189</v>
      </c>
      <c r="K7" t="str">
        <f>IF(I7="PROBABLE","SÍ - PROVISIONAR",IF(I7="POSIBLE","REVELAR EN NOTAS","NO"))</f>
        <v>NO</v>
      </c>
      <c r="L7" t="str">
        <f>IF(J7="NO","ALTO - NO REVELADO",IF(I7="PROBABLE","ALTO",IF(I7="POSIBLE","MEDIO","BAJO")))</f>
        <v>BAJO</v>
      </c>
    </row>
    <row r="8" spans="1:12" x14ac:dyDescent="0.25">
      <c r="A8" t="s">
        <v>90</v>
      </c>
      <c r="B8" t="s">
        <v>270</v>
      </c>
      <c r="C8" t="s">
        <v>271</v>
      </c>
      <c r="D8" t="s">
        <v>272</v>
      </c>
      <c r="E8" t="s">
        <v>273</v>
      </c>
      <c r="F8" s="6">
        <v>150000000</v>
      </c>
      <c r="G8" s="13" t="s">
        <v>274</v>
      </c>
      <c r="H8" s="13" t="s">
        <v>275</v>
      </c>
      <c r="I8" t="s">
        <v>276</v>
      </c>
      <c r="J8" t="s">
        <v>193</v>
      </c>
      <c r="K8" t="str">
        <f>IF(I8="PROBABLE","SÍ - PROVISIONAR",IF(I8="POSIBLE","REVELAR EN NOTAS","NO"))</f>
        <v>REVELAR EN NOTAS</v>
      </c>
      <c r="L8" t="str">
        <f>IF(J8="NO","ALTO - NO REVELADO",IF(I8="PROBABLE","ALTO",IF(I8="POSIBLE","MEDIO","BAJO")))</f>
        <v>ALTO - NO REVELADO</v>
      </c>
    </row>
    <row r="9" spans="1:12" x14ac:dyDescent="0.25">
      <c r="A9" t="s">
        <v>96</v>
      </c>
      <c r="B9" t="s">
        <v>277</v>
      </c>
      <c r="C9" t="s">
        <v>278</v>
      </c>
      <c r="D9" t="s">
        <v>279</v>
      </c>
      <c r="E9" t="s">
        <v>280</v>
      </c>
      <c r="F9" s="6">
        <v>95000000</v>
      </c>
      <c r="G9" s="13" t="s">
        <v>281</v>
      </c>
      <c r="H9" s="13" t="s">
        <v>282</v>
      </c>
      <c r="I9" t="s">
        <v>269</v>
      </c>
      <c r="J9" t="s">
        <v>189</v>
      </c>
      <c r="K9" t="str">
        <f>IF(I9="PROBABLE","SÍ - PROVISIONAR",IF(I9="POSIBLE","REVELAR EN NOTAS","NO"))</f>
        <v>NO</v>
      </c>
      <c r="L9" t="str">
        <f>IF(J9="NO","ALTO - NO REVELADO",IF(I9="PROBABLE","ALTO",IF(I9="POSIBLE","MEDIO","BAJO")))</f>
        <v>BAJO</v>
      </c>
    </row>
    <row r="12" spans="1:12" x14ac:dyDescent="0.25">
      <c r="A12" s="32" t="s">
        <v>283</v>
      </c>
      <c r="B12" s="21"/>
      <c r="C12" s="21"/>
      <c r="D12" s="21"/>
    </row>
    <row r="13" spans="1:12" x14ac:dyDescent="0.25">
      <c r="A13" t="s">
        <v>284</v>
      </c>
      <c r="B13">
        <f>COUNTA(A7:A9)</f>
        <v>3</v>
      </c>
    </row>
    <row r="14" spans="1:12" x14ac:dyDescent="0.25">
      <c r="A14" t="s">
        <v>285</v>
      </c>
      <c r="B14" s="17">
        <f>SUM(F7:F9)</f>
        <v>525000000</v>
      </c>
    </row>
    <row r="15" spans="1:12" x14ac:dyDescent="0.25">
      <c r="A15" t="s">
        <v>202</v>
      </c>
      <c r="B15" s="8">
        <f>COUNTIF(J7:J9,"NO")</f>
        <v>1</v>
      </c>
    </row>
    <row r="16" spans="1:12" x14ac:dyDescent="0.25">
      <c r="A16" t="s">
        <v>286</v>
      </c>
      <c r="B16" s="9">
        <f>SUMIF(K7:K9,"SÍ - PROVISIONAR",F7:F9)</f>
        <v>0</v>
      </c>
    </row>
  </sheetData>
  <mergeCells count="2">
    <mergeCell ref="A12:D1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/>
  </sheetViews>
  <sheetFormatPr baseColWidth="10" defaultColWidth="9.140625" defaultRowHeight="15" x14ac:dyDescent="0.25"/>
  <cols>
    <col min="1" max="11" width="20" customWidth="1"/>
  </cols>
  <sheetData>
    <row r="1" spans="1:11" ht="18" x14ac:dyDescent="0.25">
      <c r="A1" s="28" t="s">
        <v>287</v>
      </c>
      <c r="B1" s="21"/>
      <c r="C1" s="21"/>
      <c r="D1" s="21"/>
      <c r="E1" s="21"/>
      <c r="F1" s="21"/>
      <c r="G1" s="21"/>
      <c r="H1" s="21"/>
    </row>
    <row r="2" spans="1:11" x14ac:dyDescent="0.25">
      <c r="A2" s="4" t="s">
        <v>62</v>
      </c>
      <c r="B2" t="s">
        <v>63</v>
      </c>
      <c r="E2" s="4" t="s">
        <v>64</v>
      </c>
      <c r="F2" t="s">
        <v>65</v>
      </c>
    </row>
    <row r="3" spans="1:11" x14ac:dyDescent="0.25">
      <c r="A3" s="4" t="s">
        <v>66</v>
      </c>
      <c r="B3" t="s">
        <v>67</v>
      </c>
      <c r="E3" s="4" t="s">
        <v>68</v>
      </c>
      <c r="F3" t="s">
        <v>69</v>
      </c>
    </row>
    <row r="4" spans="1:11" x14ac:dyDescent="0.25">
      <c r="A4" s="4" t="s">
        <v>70</v>
      </c>
      <c r="B4" t="s">
        <v>288</v>
      </c>
      <c r="E4" s="4"/>
    </row>
    <row r="6" spans="1:11" ht="45" x14ac:dyDescent="0.25">
      <c r="A6" s="5" t="s">
        <v>72</v>
      </c>
      <c r="B6" s="5" t="s">
        <v>289</v>
      </c>
      <c r="C6" s="5" t="s">
        <v>290</v>
      </c>
      <c r="D6" s="5" t="s">
        <v>291</v>
      </c>
      <c r="E6" s="5" t="s">
        <v>292</v>
      </c>
      <c r="F6" s="5" t="s">
        <v>293</v>
      </c>
      <c r="G6" s="5" t="s">
        <v>294</v>
      </c>
      <c r="H6" s="5" t="s">
        <v>295</v>
      </c>
      <c r="I6" s="5" t="s">
        <v>296</v>
      </c>
      <c r="J6" s="5" t="s">
        <v>297</v>
      </c>
      <c r="K6" s="5" t="s">
        <v>239</v>
      </c>
    </row>
    <row r="7" spans="1:11" x14ac:dyDescent="0.25">
      <c r="A7" t="s">
        <v>84</v>
      </c>
      <c r="B7" t="s">
        <v>298</v>
      </c>
      <c r="C7" t="s">
        <v>299</v>
      </c>
      <c r="D7" t="s">
        <v>300</v>
      </c>
      <c r="E7" s="6">
        <v>6000000000</v>
      </c>
      <c r="F7" s="6">
        <v>5850000000</v>
      </c>
      <c r="G7" t="s">
        <v>301</v>
      </c>
      <c r="H7" s="6">
        <v>150000000</v>
      </c>
      <c r="I7" t="s">
        <v>189</v>
      </c>
      <c r="J7" t="s">
        <v>302</v>
      </c>
      <c r="K7" t="str">
        <f>IF(I7="NO","CRÍTICO - REQUIERE REVELACIÓN INMEDIATA",IF(ABS(H7)&gt;100000000,"REVISAR IMPACTO MATERIAL","SATISFACTORIO"))</f>
        <v>REVISAR IMPACTO MATERIAL</v>
      </c>
    </row>
    <row r="8" spans="1:11" x14ac:dyDescent="0.25">
      <c r="A8" t="s">
        <v>90</v>
      </c>
      <c r="B8" t="s">
        <v>303</v>
      </c>
      <c r="C8" t="s">
        <v>304</v>
      </c>
      <c r="D8" t="s">
        <v>305</v>
      </c>
      <c r="E8" s="6">
        <v>450000000</v>
      </c>
      <c r="F8" s="6">
        <v>420000000</v>
      </c>
      <c r="G8" t="s">
        <v>306</v>
      </c>
      <c r="H8" s="6">
        <v>30000000</v>
      </c>
      <c r="I8" t="s">
        <v>189</v>
      </c>
      <c r="J8" t="s">
        <v>307</v>
      </c>
      <c r="K8" t="str">
        <f>IF(I8="NO","CRÍTICO - REQUIERE REVELACIÓN INMEDIATA",IF(ABS(H8)&gt;100000000,"REVISAR IMPACTO MATERIAL","SATISFACTORIO"))</f>
        <v>SATISFACTORIO</v>
      </c>
    </row>
    <row r="9" spans="1:11" x14ac:dyDescent="0.25">
      <c r="A9" t="s">
        <v>96</v>
      </c>
      <c r="B9" t="s">
        <v>308</v>
      </c>
      <c r="C9" t="s">
        <v>309</v>
      </c>
      <c r="D9" t="s">
        <v>310</v>
      </c>
      <c r="E9" s="6">
        <v>380000000</v>
      </c>
      <c r="F9" s="6">
        <v>380000000</v>
      </c>
      <c r="G9" t="s">
        <v>306</v>
      </c>
      <c r="H9" s="6">
        <v>0</v>
      </c>
      <c r="I9" t="s">
        <v>193</v>
      </c>
      <c r="J9" t="s">
        <v>311</v>
      </c>
      <c r="K9" t="str">
        <f>IF(I9="NO","CRÍTICO - REQUIERE REVELACIÓN INMEDIATA",IF(ABS(H9)&gt;100000000,"REVISAR IMPACTO MATERIAL","SATISFACTORIO"))</f>
        <v>CRÍTICO - REQUIERE REVELACIÓN INMEDIATA</v>
      </c>
    </row>
    <row r="12" spans="1:11" x14ac:dyDescent="0.25">
      <c r="A12" s="29" t="s">
        <v>312</v>
      </c>
      <c r="B12" s="21"/>
      <c r="C12" s="21"/>
      <c r="D12" s="21"/>
    </row>
    <row r="13" spans="1:11" x14ac:dyDescent="0.25">
      <c r="A13" t="s">
        <v>313</v>
      </c>
      <c r="B13">
        <f>COUNTA(A7:A9)</f>
        <v>3</v>
      </c>
    </row>
    <row r="14" spans="1:11" x14ac:dyDescent="0.25">
      <c r="A14" t="s">
        <v>314</v>
      </c>
      <c r="B14" s="9">
        <f>SUM(E7:E9)</f>
        <v>6830000000</v>
      </c>
    </row>
    <row r="15" spans="1:11" x14ac:dyDescent="0.25">
      <c r="A15" t="s">
        <v>315</v>
      </c>
      <c r="B15" s="9">
        <f>SUM(H7:H9)</f>
        <v>180000000</v>
      </c>
    </row>
    <row r="16" spans="1:11" x14ac:dyDescent="0.25">
      <c r="A16" t="s">
        <v>316</v>
      </c>
      <c r="B16" s="10">
        <f>COUNTIF(I7:I9,"NO")</f>
        <v>1</v>
      </c>
    </row>
  </sheetData>
  <mergeCells count="2">
    <mergeCell ref="A12:D1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/>
  </sheetViews>
  <sheetFormatPr baseColWidth="10" defaultColWidth="9.140625" defaultRowHeight="15" x14ac:dyDescent="0.25"/>
  <cols>
    <col min="1" max="11" width="20" customWidth="1"/>
  </cols>
  <sheetData>
    <row r="1" spans="1:11" ht="18" x14ac:dyDescent="0.25">
      <c r="A1" s="28" t="s">
        <v>317</v>
      </c>
      <c r="B1" s="21"/>
      <c r="C1" s="21"/>
      <c r="D1" s="21"/>
      <c r="E1" s="21"/>
      <c r="F1" s="21"/>
      <c r="G1" s="21"/>
      <c r="H1" s="21"/>
    </row>
    <row r="2" spans="1:11" x14ac:dyDescent="0.25">
      <c r="A2" s="4" t="s">
        <v>62</v>
      </c>
      <c r="B2" t="s">
        <v>63</v>
      </c>
      <c r="E2" s="4" t="s">
        <v>64</v>
      </c>
      <c r="F2" t="s">
        <v>65</v>
      </c>
    </row>
    <row r="3" spans="1:11" x14ac:dyDescent="0.25">
      <c r="A3" s="4" t="s">
        <v>66</v>
      </c>
      <c r="B3" t="s">
        <v>67</v>
      </c>
      <c r="E3" s="4" t="s">
        <v>68</v>
      </c>
      <c r="F3" t="s">
        <v>69</v>
      </c>
    </row>
    <row r="4" spans="1:11" x14ac:dyDescent="0.25">
      <c r="A4" s="4" t="s">
        <v>70</v>
      </c>
      <c r="B4" t="s">
        <v>318</v>
      </c>
      <c r="E4" s="4"/>
    </row>
    <row r="6" spans="1:11" ht="30" x14ac:dyDescent="0.25">
      <c r="A6" s="5" t="s">
        <v>72</v>
      </c>
      <c r="B6" s="5" t="s">
        <v>116</v>
      </c>
      <c r="C6" s="5" t="s">
        <v>319</v>
      </c>
      <c r="D6" s="5" t="s">
        <v>320</v>
      </c>
      <c r="E6" s="5" t="s">
        <v>321</v>
      </c>
      <c r="F6" s="5" t="s">
        <v>322</v>
      </c>
      <c r="G6" s="5" t="s">
        <v>323</v>
      </c>
      <c r="H6" s="5" t="s">
        <v>78</v>
      </c>
      <c r="I6" s="5" t="s">
        <v>79</v>
      </c>
      <c r="J6" s="5" t="s">
        <v>324</v>
      </c>
      <c r="K6" s="5" t="s">
        <v>215</v>
      </c>
    </row>
    <row r="7" spans="1:11" x14ac:dyDescent="0.25">
      <c r="A7" t="s">
        <v>84</v>
      </c>
      <c r="B7" t="s">
        <v>85</v>
      </c>
      <c r="C7" t="s">
        <v>87</v>
      </c>
      <c r="D7" s="6">
        <v>875000000</v>
      </c>
      <c r="E7" s="16" t="s">
        <v>325</v>
      </c>
      <c r="F7" s="6">
        <f>D7*E7</f>
        <v>100625000</v>
      </c>
      <c r="G7" s="6">
        <v>100625000</v>
      </c>
      <c r="H7" s="6">
        <f>G7-F7</f>
        <v>0</v>
      </c>
      <c r="I7" s="7">
        <f>IF(F7=0,0,ABS(H7/F7))</f>
        <v>0</v>
      </c>
      <c r="J7" t="s">
        <v>326</v>
      </c>
      <c r="K7" t="str">
        <f>IF(I7&gt;0.05,"SÍ","NO")</f>
        <v>NO</v>
      </c>
    </row>
    <row r="8" spans="1:11" x14ac:dyDescent="0.25">
      <c r="A8" t="s">
        <v>90</v>
      </c>
      <c r="B8" t="s">
        <v>91</v>
      </c>
      <c r="C8" t="s">
        <v>93</v>
      </c>
      <c r="D8" s="6">
        <v>435000000</v>
      </c>
      <c r="E8" s="16" t="s">
        <v>327</v>
      </c>
      <c r="F8" s="6">
        <f>D8*E8</f>
        <v>55680000</v>
      </c>
      <c r="G8" s="6">
        <v>55680000</v>
      </c>
      <c r="H8" s="6">
        <f>G8-F8</f>
        <v>0</v>
      </c>
      <c r="I8" s="7">
        <f>IF(F8=0,0,ABS(H8/F8))</f>
        <v>0</v>
      </c>
      <c r="J8" t="s">
        <v>328</v>
      </c>
      <c r="K8" t="str">
        <f>IF(I8&gt;0.05,"SÍ","NO")</f>
        <v>NO</v>
      </c>
    </row>
    <row r="9" spans="1:11" x14ac:dyDescent="0.25">
      <c r="A9" t="s">
        <v>96</v>
      </c>
      <c r="B9" t="s">
        <v>97</v>
      </c>
      <c r="C9" t="s">
        <v>99</v>
      </c>
      <c r="D9" s="6">
        <v>165000000</v>
      </c>
      <c r="E9" s="16" t="s">
        <v>329</v>
      </c>
      <c r="F9" s="6">
        <f>D9*E9</f>
        <v>23925000</v>
      </c>
      <c r="G9" s="6">
        <v>23925000</v>
      </c>
      <c r="H9" s="6">
        <f>G9-F9</f>
        <v>0</v>
      </c>
      <c r="I9" s="7">
        <f>IF(F9=0,0,ABS(H9/F9))</f>
        <v>0</v>
      </c>
      <c r="J9" t="s">
        <v>326</v>
      </c>
      <c r="K9" t="str">
        <f>IF(I9&gt;0.05,"SÍ","NO")</f>
        <v>NO</v>
      </c>
    </row>
    <row r="10" spans="1:11" x14ac:dyDescent="0.25">
      <c r="A10" t="s">
        <v>102</v>
      </c>
      <c r="B10" t="s">
        <v>103</v>
      </c>
      <c r="C10" t="s">
        <v>105</v>
      </c>
      <c r="D10" s="6">
        <v>330000000</v>
      </c>
      <c r="E10" s="16" t="s">
        <v>330</v>
      </c>
      <c r="F10" s="6">
        <f>D10*E10</f>
        <v>36960000</v>
      </c>
      <c r="G10" s="6">
        <v>36960000</v>
      </c>
      <c r="H10" s="6">
        <f>G10-F10</f>
        <v>0</v>
      </c>
      <c r="I10" s="7">
        <f>IF(F10=0,0,ABS(H10/F10))</f>
        <v>0</v>
      </c>
      <c r="J10" t="s">
        <v>328</v>
      </c>
      <c r="K10" t="str">
        <f>IF(I10&gt;0.05,"SÍ","NO")</f>
        <v>NO</v>
      </c>
    </row>
    <row r="13" spans="1:11" x14ac:dyDescent="0.25">
      <c r="A13" s="31" t="s">
        <v>331</v>
      </c>
      <c r="B13" s="21"/>
      <c r="C13" s="21"/>
      <c r="D13" s="21"/>
      <c r="E13" t="s">
        <v>332</v>
      </c>
      <c r="F13" s="17">
        <f>SUM(F7:F10)</f>
        <v>217190000</v>
      </c>
    </row>
    <row r="14" spans="1:11" x14ac:dyDescent="0.25">
      <c r="E14" t="s">
        <v>333</v>
      </c>
      <c r="F14" s="17">
        <f>SUM(G7:G10)</f>
        <v>217190000</v>
      </c>
    </row>
    <row r="15" spans="1:11" x14ac:dyDescent="0.25">
      <c r="E15" t="s">
        <v>334</v>
      </c>
      <c r="F15" s="18">
        <f>F14-F13</f>
        <v>0</v>
      </c>
    </row>
    <row r="16" spans="1:11" x14ac:dyDescent="0.25">
      <c r="E16" t="s">
        <v>335</v>
      </c>
      <c r="F16">
        <f>COUNTIF(K7:K10,"SÍ")</f>
        <v>0</v>
      </c>
    </row>
  </sheetData>
  <mergeCells count="2">
    <mergeCell ref="A13:D13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/>
  </sheetViews>
  <sheetFormatPr baseColWidth="10" defaultColWidth="9.140625" defaultRowHeight="15" x14ac:dyDescent="0.25"/>
  <cols>
    <col min="1" max="11" width="18" customWidth="1"/>
  </cols>
  <sheetData>
    <row r="1" spans="1:11" ht="18" x14ac:dyDescent="0.25">
      <c r="A1" s="28" t="s">
        <v>336</v>
      </c>
      <c r="B1" s="21"/>
      <c r="C1" s="21"/>
      <c r="D1" s="21"/>
      <c r="E1" s="21"/>
      <c r="F1" s="21"/>
      <c r="G1" s="21"/>
      <c r="H1" s="21"/>
    </row>
    <row r="2" spans="1:11" x14ac:dyDescent="0.25">
      <c r="A2" s="4" t="s">
        <v>62</v>
      </c>
      <c r="B2" t="s">
        <v>63</v>
      </c>
      <c r="E2" s="4" t="s">
        <v>64</v>
      </c>
      <c r="F2" t="s">
        <v>65</v>
      </c>
    </row>
    <row r="3" spans="1:11" x14ac:dyDescent="0.25">
      <c r="A3" s="4" t="s">
        <v>66</v>
      </c>
      <c r="B3" t="s">
        <v>67</v>
      </c>
      <c r="E3" s="4" t="s">
        <v>68</v>
      </c>
      <c r="F3" t="s">
        <v>69</v>
      </c>
    </row>
    <row r="4" spans="1:11" x14ac:dyDescent="0.25">
      <c r="A4" s="4" t="s">
        <v>70</v>
      </c>
      <c r="B4" t="s">
        <v>337</v>
      </c>
      <c r="E4" s="4"/>
    </row>
    <row r="6" spans="1:11" ht="30" x14ac:dyDescent="0.25">
      <c r="A6" s="5" t="s">
        <v>72</v>
      </c>
      <c r="B6" s="5" t="s">
        <v>319</v>
      </c>
      <c r="C6" s="5" t="s">
        <v>338</v>
      </c>
      <c r="D6" s="5" t="s">
        <v>339</v>
      </c>
      <c r="E6" s="5" t="s">
        <v>340</v>
      </c>
      <c r="F6" s="5" t="s">
        <v>341</v>
      </c>
      <c r="G6" s="5" t="s">
        <v>342</v>
      </c>
      <c r="H6" s="5" t="s">
        <v>343</v>
      </c>
      <c r="I6" s="5" t="s">
        <v>78</v>
      </c>
      <c r="J6" s="5" t="s">
        <v>344</v>
      </c>
      <c r="K6" s="5" t="s">
        <v>215</v>
      </c>
    </row>
    <row r="7" spans="1:11" x14ac:dyDescent="0.25">
      <c r="A7" t="s">
        <v>84</v>
      </c>
      <c r="B7" t="s">
        <v>345</v>
      </c>
      <c r="C7" t="s">
        <v>346</v>
      </c>
      <c r="D7" s="13" t="s">
        <v>347</v>
      </c>
      <c r="E7" s="6">
        <v>14500000</v>
      </c>
      <c r="F7" s="6">
        <v>8200000</v>
      </c>
      <c r="G7" s="6">
        <v>22700000</v>
      </c>
      <c r="H7" s="6">
        <v>22700000</v>
      </c>
      <c r="I7" s="6">
        <f>H7-G7</f>
        <v>0</v>
      </c>
      <c r="J7" t="str">
        <f>IF(I7=0,"Conforme",IF(I7&lt;0,"Pago incompleto","Pago excesivo"))</f>
        <v>Conforme</v>
      </c>
      <c r="K7" t="str">
        <f>IF(I7&lt;&gt;0,"SÍ","NO")</f>
        <v>NO</v>
      </c>
    </row>
    <row r="8" spans="1:11" x14ac:dyDescent="0.25">
      <c r="A8" t="s">
        <v>90</v>
      </c>
      <c r="B8" t="s">
        <v>345</v>
      </c>
      <c r="C8" t="s">
        <v>348</v>
      </c>
      <c r="D8" s="13" t="s">
        <v>349</v>
      </c>
      <c r="E8" s="6">
        <v>14650000</v>
      </c>
      <c r="F8" s="6">
        <v>8050000</v>
      </c>
      <c r="G8" s="6">
        <v>22700000</v>
      </c>
      <c r="H8" s="6">
        <v>22700000</v>
      </c>
      <c r="I8" s="6">
        <f>H8-G8</f>
        <v>0</v>
      </c>
      <c r="J8" t="str">
        <f>IF(I8=0,"Conforme",IF(I8&lt;0,"Pago incompleto","Pago excesivo"))</f>
        <v>Conforme</v>
      </c>
      <c r="K8" t="str">
        <f>IF(I8&lt;&gt;0,"SÍ","NO")</f>
        <v>NO</v>
      </c>
    </row>
    <row r="9" spans="1:11" x14ac:dyDescent="0.25">
      <c r="A9" t="s">
        <v>96</v>
      </c>
      <c r="B9" t="s">
        <v>350</v>
      </c>
      <c r="C9" t="s">
        <v>351</v>
      </c>
      <c r="D9" s="13" t="s">
        <v>352</v>
      </c>
      <c r="E9" s="6">
        <v>11800000</v>
      </c>
      <c r="F9" s="6">
        <v>4550000</v>
      </c>
      <c r="G9" s="6">
        <v>16350000</v>
      </c>
      <c r="H9" s="6">
        <v>16350000</v>
      </c>
      <c r="I9" s="6">
        <f>H9-G9</f>
        <v>0</v>
      </c>
      <c r="J9" t="str">
        <f>IF(I9=0,"Conforme",IF(I9&lt;0,"Pago incompleto","Pago excesivo"))</f>
        <v>Conforme</v>
      </c>
      <c r="K9" t="str">
        <f>IF(I9&lt;&gt;0,"SÍ","NO")</f>
        <v>NO</v>
      </c>
    </row>
    <row r="10" spans="1:11" x14ac:dyDescent="0.25">
      <c r="A10" t="s">
        <v>102</v>
      </c>
      <c r="B10" t="s">
        <v>350</v>
      </c>
      <c r="C10" t="s">
        <v>353</v>
      </c>
      <c r="D10" s="13" t="s">
        <v>354</v>
      </c>
      <c r="E10" s="6">
        <v>11950000</v>
      </c>
      <c r="F10" s="6">
        <v>4400000</v>
      </c>
      <c r="G10" s="6">
        <v>16350000</v>
      </c>
      <c r="H10" s="6">
        <v>16300000</v>
      </c>
      <c r="I10" s="6">
        <f>H10-G10</f>
        <v>-50000</v>
      </c>
      <c r="J10" t="str">
        <f>IF(I10=0,"Conforme",IF(I10&lt;0,"Pago incompleto","Pago excesivo"))</f>
        <v>Pago incompleto</v>
      </c>
      <c r="K10" t="str">
        <f>IF(I10&lt;&gt;0,"SÍ","NO")</f>
        <v>SÍ</v>
      </c>
    </row>
    <row r="11" spans="1:11" x14ac:dyDescent="0.25">
      <c r="A11" t="s">
        <v>144</v>
      </c>
      <c r="B11" t="s">
        <v>355</v>
      </c>
      <c r="C11" t="s">
        <v>356</v>
      </c>
      <c r="D11" s="13" t="s">
        <v>357</v>
      </c>
      <c r="E11" s="6">
        <v>6850000</v>
      </c>
      <c r="F11" s="6">
        <v>3010000</v>
      </c>
      <c r="G11" s="6">
        <v>9860000</v>
      </c>
      <c r="H11" s="6">
        <v>9860000</v>
      </c>
      <c r="I11" s="6">
        <f>H11-G11</f>
        <v>0</v>
      </c>
      <c r="J11" t="str">
        <f>IF(I11=0,"Conforme",IF(I11&lt;0,"Pago incompleto","Pago excesivo"))</f>
        <v>Conforme</v>
      </c>
      <c r="K11" t="str">
        <f>IF(I11&lt;&gt;0,"SÍ","NO")</f>
        <v>NO</v>
      </c>
    </row>
    <row r="14" spans="1:11" x14ac:dyDescent="0.25">
      <c r="A14" s="31" t="s">
        <v>358</v>
      </c>
      <c r="B14" s="21"/>
      <c r="C14" s="21"/>
      <c r="D14" s="21"/>
    </row>
    <row r="15" spans="1:11" x14ac:dyDescent="0.25">
      <c r="A15" t="s">
        <v>359</v>
      </c>
      <c r="B15">
        <f>COUNTA(A7:A11)</f>
        <v>5</v>
      </c>
    </row>
    <row r="16" spans="1:11" x14ac:dyDescent="0.25">
      <c r="A16" t="s">
        <v>360</v>
      </c>
      <c r="B16" s="8">
        <f>COUNTIF(K7:K11,"SÍ")</f>
        <v>1</v>
      </c>
    </row>
    <row r="17" spans="1:2" x14ac:dyDescent="0.25">
      <c r="A17" t="s">
        <v>361</v>
      </c>
      <c r="B17" s="9">
        <f>SUM(I7:I11)</f>
        <v>-50000</v>
      </c>
    </row>
  </sheetData>
  <mergeCells count="2">
    <mergeCell ref="A14:D14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/>
  </sheetViews>
  <sheetFormatPr baseColWidth="10" defaultColWidth="9.140625" defaultRowHeight="15" x14ac:dyDescent="0.25"/>
  <cols>
    <col min="1" max="11" width="18" customWidth="1"/>
  </cols>
  <sheetData>
    <row r="1" spans="1:11" ht="18" x14ac:dyDescent="0.25">
      <c r="A1" s="28" t="s">
        <v>362</v>
      </c>
      <c r="B1" s="21"/>
      <c r="C1" s="21"/>
      <c r="D1" s="21"/>
      <c r="E1" s="21"/>
      <c r="F1" s="21"/>
      <c r="G1" s="21"/>
      <c r="H1" s="21"/>
    </row>
    <row r="2" spans="1:11" x14ac:dyDescent="0.25">
      <c r="A2" s="4" t="s">
        <v>62</v>
      </c>
      <c r="B2" t="s">
        <v>63</v>
      </c>
      <c r="E2" s="4" t="s">
        <v>64</v>
      </c>
      <c r="F2" t="s">
        <v>65</v>
      </c>
    </row>
    <row r="3" spans="1:11" x14ac:dyDescent="0.25">
      <c r="A3" s="4" t="s">
        <v>66</v>
      </c>
      <c r="B3" t="s">
        <v>67</v>
      </c>
      <c r="E3" s="4" t="s">
        <v>68</v>
      </c>
      <c r="F3" t="s">
        <v>69</v>
      </c>
    </row>
    <row r="4" spans="1:11" x14ac:dyDescent="0.25">
      <c r="A4" s="4" t="s">
        <v>70</v>
      </c>
      <c r="B4" t="s">
        <v>363</v>
      </c>
      <c r="E4" s="4"/>
    </row>
    <row r="6" spans="1:11" ht="60" x14ac:dyDescent="0.25">
      <c r="A6" s="5" t="s">
        <v>72</v>
      </c>
      <c r="B6" s="5" t="s">
        <v>319</v>
      </c>
      <c r="C6" s="5" t="s">
        <v>364</v>
      </c>
      <c r="D6" s="5" t="s">
        <v>365</v>
      </c>
      <c r="E6" s="5" t="s">
        <v>366</v>
      </c>
      <c r="F6" s="5" t="s">
        <v>367</v>
      </c>
      <c r="G6" s="5" t="s">
        <v>368</v>
      </c>
      <c r="H6" s="5" t="s">
        <v>369</v>
      </c>
      <c r="I6" s="5" t="s">
        <v>370</v>
      </c>
      <c r="J6" s="5" t="s">
        <v>371</v>
      </c>
      <c r="K6" s="5" t="s">
        <v>83</v>
      </c>
    </row>
    <row r="7" spans="1:11" x14ac:dyDescent="0.25">
      <c r="A7" t="s">
        <v>84</v>
      </c>
      <c r="B7" t="s">
        <v>87</v>
      </c>
      <c r="C7" t="s">
        <v>372</v>
      </c>
      <c r="D7" s="6">
        <v>850000000</v>
      </c>
      <c r="E7" t="s">
        <v>372</v>
      </c>
      <c r="F7" s="6">
        <v>850000000</v>
      </c>
      <c r="G7" s="19">
        <f>F7/D7</f>
        <v>1</v>
      </c>
      <c r="H7" t="s">
        <v>189</v>
      </c>
      <c r="I7" t="s">
        <v>247</v>
      </c>
      <c r="J7" t="s">
        <v>373</v>
      </c>
      <c r="K7" t="str">
        <f>IF(H7="NO","CRÍTICO",IF(H7="PARCIAL","ALTO","BAJO"))</f>
        <v>BAJO</v>
      </c>
    </row>
    <row r="8" spans="1:11" x14ac:dyDescent="0.25">
      <c r="A8" t="s">
        <v>90</v>
      </c>
      <c r="B8" t="s">
        <v>93</v>
      </c>
      <c r="C8" t="s">
        <v>374</v>
      </c>
      <c r="D8" s="6">
        <v>420000000</v>
      </c>
      <c r="E8" t="s">
        <v>375</v>
      </c>
      <c r="F8" s="6">
        <v>420000000</v>
      </c>
      <c r="G8" s="19">
        <f>F8/D8</f>
        <v>1</v>
      </c>
      <c r="H8" t="s">
        <v>189</v>
      </c>
      <c r="I8" t="s">
        <v>247</v>
      </c>
      <c r="J8" t="s">
        <v>376</v>
      </c>
      <c r="K8" t="str">
        <f>IF(H8="NO","CRÍTICO",IF(H8="PARCIAL","ALTO","BAJO"))</f>
        <v>BAJO</v>
      </c>
    </row>
    <row r="9" spans="1:11" x14ac:dyDescent="0.25">
      <c r="A9" t="s">
        <v>96</v>
      </c>
      <c r="B9" t="s">
        <v>105</v>
      </c>
      <c r="C9" t="s">
        <v>377</v>
      </c>
      <c r="D9" s="6">
        <v>320000000</v>
      </c>
      <c r="E9" t="s">
        <v>378</v>
      </c>
      <c r="F9" s="6">
        <v>320000000</v>
      </c>
      <c r="G9" s="19">
        <f>F9/D9</f>
        <v>1</v>
      </c>
      <c r="H9" t="s">
        <v>379</v>
      </c>
      <c r="I9" t="s">
        <v>380</v>
      </c>
      <c r="J9" t="s">
        <v>373</v>
      </c>
      <c r="K9" t="str">
        <f>IF(H9="NO","CRÍTICO",IF(H9="PARCIAL","ALTO","BAJO"))</f>
        <v>ALTO</v>
      </c>
    </row>
    <row r="10" spans="1:11" x14ac:dyDescent="0.25">
      <c r="A10" t="s">
        <v>102</v>
      </c>
      <c r="B10" t="s">
        <v>99</v>
      </c>
      <c r="C10" t="s">
        <v>381</v>
      </c>
      <c r="D10" s="6">
        <v>150000000</v>
      </c>
      <c r="E10" t="s">
        <v>382</v>
      </c>
      <c r="F10" s="6">
        <v>150000000</v>
      </c>
      <c r="G10" s="19">
        <f>F10/D10</f>
        <v>1</v>
      </c>
      <c r="H10" t="s">
        <v>193</v>
      </c>
      <c r="I10" t="s">
        <v>383</v>
      </c>
      <c r="J10" t="s">
        <v>376</v>
      </c>
      <c r="K10" t="str">
        <f>IF(H10="NO","CRÍTICO",IF(H10="PARCIAL","ALTO","BAJO"))</f>
        <v>CRÍTICO</v>
      </c>
    </row>
    <row r="13" spans="1:11" x14ac:dyDescent="0.25">
      <c r="A13" s="29" t="s">
        <v>149</v>
      </c>
      <c r="B13" s="21"/>
      <c r="C13" s="21"/>
      <c r="D13" s="21"/>
    </row>
    <row r="14" spans="1:11" x14ac:dyDescent="0.25">
      <c r="A14" t="s">
        <v>230</v>
      </c>
      <c r="B14">
        <f>COUNTA(A7:A10)</f>
        <v>4</v>
      </c>
    </row>
    <row r="15" spans="1:11" x14ac:dyDescent="0.25">
      <c r="A15" t="s">
        <v>384</v>
      </c>
      <c r="B15" s="12">
        <f>COUNTIF(H7:H10,"SÍ")</f>
        <v>2</v>
      </c>
    </row>
    <row r="16" spans="1:11" x14ac:dyDescent="0.25">
      <c r="A16" t="s">
        <v>385</v>
      </c>
      <c r="B16" s="10">
        <f>COUNTIF(H7:H10,"NO")</f>
        <v>1</v>
      </c>
    </row>
    <row r="17" spans="1:11" x14ac:dyDescent="0.25">
      <c r="A17" t="s">
        <v>152</v>
      </c>
      <c r="B17" s="10">
        <f>COUNTIF(K7:K10,"CRÍTICO")</f>
        <v>1</v>
      </c>
    </row>
    <row r="19" spans="1:11" x14ac:dyDescent="0.25">
      <c r="A19" s="33" t="s">
        <v>386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</row>
    <row r="20" spans="1:11" x14ac:dyDescent="0.25">
      <c r="A20" s="22" t="s">
        <v>387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</row>
  </sheetData>
  <mergeCells count="4">
    <mergeCell ref="A19:K19"/>
    <mergeCell ref="A20:K20"/>
    <mergeCell ref="A13:D1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ÍNDICE</vt:lpstr>
      <vt:lpstr>PT G.1 - Confirmaciones</vt:lpstr>
      <vt:lpstr>PT G.2 - Cláusulas</vt:lpstr>
      <vt:lpstr>PT G.3 - Covenants</vt:lpstr>
      <vt:lpstr>PT G.4 - Garantías</vt:lpstr>
      <vt:lpstr>PT G.5 - Clasificación</vt:lpstr>
      <vt:lpstr>PT G.6 - Tasas Interés</vt:lpstr>
      <vt:lpstr>PT G.7 - Avales</vt:lpstr>
      <vt:lpstr>PT G.8 - Off-Balance</vt:lpstr>
      <vt:lpstr>PT G.9 - Gastos Financ</vt:lpstr>
      <vt:lpstr>PT G.10 - Amortizaciones</vt:lpstr>
      <vt:lpstr>PT G.11 - Uso Recursos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2025-11-17T17:22:04Z</dcterms:created>
  <dcterms:modified xsi:type="dcterms:W3CDTF">2025-11-17T17:43:06Z</dcterms:modified>
</cp:coreProperties>
</file>