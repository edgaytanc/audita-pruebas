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Toño\Desktop\PAPELES COLOMBIA\1 AUDITORIA Y REVISORIA FISCAL\Pruebas de Deteccion de Fraudes\"/>
    </mc:Choice>
  </mc:AlternateContent>
  <bookViews>
    <workbookView xWindow="0" yWindow="0" windowWidth="25200" windowHeight="11580"/>
  </bookViews>
  <sheets>
    <sheet name="ÍNDICE_GENERAL" sheetId="1" r:id="rId1"/>
    <sheet name="PT_C.1_ObsFisica" sheetId="2" r:id="rId2"/>
    <sheet name="PT_C.2_ConteoAltoValor" sheetId="3" r:id="rId3"/>
    <sheet name="PT_C.3_UbicRemote" sheetId="4" r:id="rId4"/>
    <sheet name="PT_C.4_Obsolescencia" sheetId="5" r:id="rId5"/>
    <sheet name="PT_C.5_Propiedad" sheetId="6" r:id="rId6"/>
    <sheet name="PT_C.6_CutOff" sheetId="7" r:id="rId7"/>
    <sheet name="PT_C.7_MargenBruto" sheetId="8" r:id="rId8"/>
    <sheet name="PT_C.8_EnTransito" sheetId="9" r:id="rId9"/>
    <sheet name="PT_C.9_Ajustes" sheetId="10" r:id="rId10"/>
    <sheet name="PT_C.10_Pignorado" sheetId="11" r:id="rId11"/>
    <sheet name="PT_C.11_Variaciones" sheetId="12" r:id="rId12"/>
    <sheet name="PT_C.12_CostosVsMercado" sheetId="13" r:id="rId13"/>
    <sheet name="PT_C.13_Fantasma" sheetId="14" r:id="rId14"/>
  </sheets>
  <calcPr calcId="162913"/>
</workbook>
</file>

<file path=xl/calcChain.xml><?xml version="1.0" encoding="utf-8"?>
<calcChain xmlns="http://schemas.openxmlformats.org/spreadsheetml/2006/main">
  <c r="B18" i="14" l="1"/>
  <c r="D22" i="14" s="1"/>
  <c r="G22" i="1" s="1"/>
  <c r="B17" i="14"/>
  <c r="B16" i="14"/>
  <c r="I16" i="14" s="1"/>
  <c r="E22" i="1" s="1"/>
  <c r="J13" i="14"/>
  <c r="I13" i="14"/>
  <c r="H13" i="14"/>
  <c r="H12" i="14"/>
  <c r="J12" i="14" s="1"/>
  <c r="H11" i="14"/>
  <c r="J11" i="14" s="1"/>
  <c r="J10" i="14"/>
  <c r="H10" i="14"/>
  <c r="I10" i="14" s="1"/>
  <c r="J9" i="14"/>
  <c r="I9" i="14"/>
  <c r="H9" i="14"/>
  <c r="H8" i="14"/>
  <c r="J8" i="14" s="1"/>
  <c r="B18" i="13"/>
  <c r="F13" i="13"/>
  <c r="G13" i="13" s="1"/>
  <c r="I13" i="13" s="1"/>
  <c r="J13" i="13" s="1"/>
  <c r="K13" i="13" s="1"/>
  <c r="E13" i="13"/>
  <c r="F12" i="13"/>
  <c r="E12" i="13"/>
  <c r="G12" i="13" s="1"/>
  <c r="I12" i="13" s="1"/>
  <c r="J12" i="13" s="1"/>
  <c r="K12" i="13" s="1"/>
  <c r="F11" i="13"/>
  <c r="G11" i="13" s="1"/>
  <c r="I11" i="13" s="1"/>
  <c r="J11" i="13" s="1"/>
  <c r="K11" i="13" s="1"/>
  <c r="E11" i="13"/>
  <c r="F10" i="13"/>
  <c r="E10" i="13"/>
  <c r="G10" i="13" s="1"/>
  <c r="I10" i="13" s="1"/>
  <c r="J10" i="13" s="1"/>
  <c r="K10" i="13" s="1"/>
  <c r="F9" i="13"/>
  <c r="G9" i="13" s="1"/>
  <c r="I9" i="13" s="1"/>
  <c r="J9" i="13" s="1"/>
  <c r="K9" i="13" s="1"/>
  <c r="E9" i="13"/>
  <c r="F8" i="13"/>
  <c r="E8" i="13"/>
  <c r="G8" i="13" s="1"/>
  <c r="B16" i="12"/>
  <c r="D13" i="12"/>
  <c r="G13" i="12" s="1"/>
  <c r="H13" i="12" s="1"/>
  <c r="I13" i="12" s="1"/>
  <c r="D12" i="12"/>
  <c r="G12" i="12" s="1"/>
  <c r="H12" i="12" s="1"/>
  <c r="I12" i="12" s="1"/>
  <c r="G11" i="12"/>
  <c r="H11" i="12" s="1"/>
  <c r="I11" i="12" s="1"/>
  <c r="D11" i="12"/>
  <c r="E11" i="12" s="1"/>
  <c r="G10" i="12"/>
  <c r="H10" i="12" s="1"/>
  <c r="I10" i="12" s="1"/>
  <c r="E10" i="12"/>
  <c r="D10" i="12"/>
  <c r="D9" i="12"/>
  <c r="G9" i="12" s="1"/>
  <c r="H9" i="12" s="1"/>
  <c r="I9" i="12" s="1"/>
  <c r="D8" i="12"/>
  <c r="G8" i="12" s="1"/>
  <c r="H8" i="12" s="1"/>
  <c r="I8" i="12" s="1"/>
  <c r="D21" i="11"/>
  <c r="G19" i="1" s="1"/>
  <c r="B16" i="11"/>
  <c r="B15" i="11"/>
  <c r="B20" i="11" s="1"/>
  <c r="F19" i="1" s="1"/>
  <c r="B14" i="11"/>
  <c r="H11" i="11"/>
  <c r="J11" i="11" s="1"/>
  <c r="H10" i="11"/>
  <c r="J10" i="11" s="1"/>
  <c r="J9" i="11"/>
  <c r="I9" i="11"/>
  <c r="H9" i="11"/>
  <c r="J8" i="11"/>
  <c r="I8" i="11"/>
  <c r="H8" i="11"/>
  <c r="B22" i="10"/>
  <c r="B17" i="10"/>
  <c r="D23" i="10" s="1"/>
  <c r="I16" i="10"/>
  <c r="B16" i="10"/>
  <c r="B15" i="10"/>
  <c r="J12" i="10"/>
  <c r="I12" i="10"/>
  <c r="F12" i="10"/>
  <c r="I11" i="10"/>
  <c r="J11" i="10" s="1"/>
  <c r="F11" i="10"/>
  <c r="I10" i="10"/>
  <c r="J10" i="10" s="1"/>
  <c r="F10" i="10"/>
  <c r="J9" i="10"/>
  <c r="I9" i="10"/>
  <c r="F9" i="10"/>
  <c r="J8" i="10"/>
  <c r="I8" i="10"/>
  <c r="F8" i="10"/>
  <c r="D22" i="9"/>
  <c r="B21" i="9"/>
  <c r="B16" i="9"/>
  <c r="I16" i="9" s="1"/>
  <c r="E17" i="1" s="1"/>
  <c r="B15" i="9"/>
  <c r="J12" i="9"/>
  <c r="I12" i="9"/>
  <c r="G12" i="9"/>
  <c r="I11" i="9"/>
  <c r="J11" i="9" s="1"/>
  <c r="G11" i="9"/>
  <c r="I10" i="9"/>
  <c r="J10" i="9" s="1"/>
  <c r="G10" i="9"/>
  <c r="I9" i="9"/>
  <c r="J9" i="9" s="1"/>
  <c r="G9" i="9"/>
  <c r="J8" i="9"/>
  <c r="I8" i="9"/>
  <c r="G8" i="9"/>
  <c r="D13" i="8"/>
  <c r="E13" i="8" s="1"/>
  <c r="G13" i="8" s="1"/>
  <c r="H13" i="8" s="1"/>
  <c r="I13" i="8" s="1"/>
  <c r="D12" i="8"/>
  <c r="E12" i="8" s="1"/>
  <c r="G12" i="8" s="1"/>
  <c r="H12" i="8" s="1"/>
  <c r="I12" i="8" s="1"/>
  <c r="E11" i="8"/>
  <c r="G11" i="8" s="1"/>
  <c r="H11" i="8" s="1"/>
  <c r="I11" i="8" s="1"/>
  <c r="D11" i="8"/>
  <c r="D10" i="8"/>
  <c r="E10" i="8" s="1"/>
  <c r="G10" i="8" s="1"/>
  <c r="H10" i="8" s="1"/>
  <c r="I10" i="8" s="1"/>
  <c r="D9" i="8"/>
  <c r="E9" i="8" s="1"/>
  <c r="G9" i="8" s="1"/>
  <c r="H9" i="8" s="1"/>
  <c r="I9" i="8" s="1"/>
  <c r="D8" i="8"/>
  <c r="E8" i="8" s="1"/>
  <c r="B20" i="7"/>
  <c r="J17" i="7"/>
  <c r="K17" i="7" s="1"/>
  <c r="J16" i="7"/>
  <c r="K16" i="7" s="1"/>
  <c r="J15" i="7"/>
  <c r="K15" i="7" s="1"/>
  <c r="J14" i="7"/>
  <c r="K14" i="7" s="1"/>
  <c r="J13" i="7"/>
  <c r="K13" i="7" s="1"/>
  <c r="J12" i="7"/>
  <c r="K12" i="7" s="1"/>
  <c r="J11" i="7"/>
  <c r="K11" i="7" s="1"/>
  <c r="J10" i="7"/>
  <c r="K10" i="7" s="1"/>
  <c r="J9" i="7"/>
  <c r="K9" i="7" s="1"/>
  <c r="J8" i="7"/>
  <c r="B22" i="7" s="1"/>
  <c r="D24" i="7" s="1"/>
  <c r="G15" i="1" s="1"/>
  <c r="I16" i="6"/>
  <c r="B16" i="6"/>
  <c r="D22" i="6" s="1"/>
  <c r="B15" i="6"/>
  <c r="B21" i="6" s="1"/>
  <c r="F14" i="1" s="1"/>
  <c r="H12" i="6"/>
  <c r="J12" i="6" s="1"/>
  <c r="H11" i="6"/>
  <c r="J11" i="6" s="1"/>
  <c r="J10" i="6"/>
  <c r="H10" i="6"/>
  <c r="I10" i="6" s="1"/>
  <c r="J9" i="6"/>
  <c r="I9" i="6"/>
  <c r="H9" i="6"/>
  <c r="H8" i="6"/>
  <c r="J8" i="6" s="1"/>
  <c r="B19" i="5"/>
  <c r="B16" i="5"/>
  <c r="G13" i="5"/>
  <c r="I13" i="5" s="1"/>
  <c r="J13" i="5" s="1"/>
  <c r="K13" i="5" s="1"/>
  <c r="E13" i="5"/>
  <c r="I12" i="5"/>
  <c r="J12" i="5" s="1"/>
  <c r="K12" i="5" s="1"/>
  <c r="G12" i="5"/>
  <c r="E12" i="5"/>
  <c r="J11" i="5"/>
  <c r="K11" i="5" s="1"/>
  <c r="I11" i="5"/>
  <c r="G11" i="5"/>
  <c r="E11" i="5"/>
  <c r="E10" i="5"/>
  <c r="G10" i="5" s="1"/>
  <c r="I10" i="5" s="1"/>
  <c r="J10" i="5" s="1"/>
  <c r="K10" i="5" s="1"/>
  <c r="G9" i="5"/>
  <c r="I9" i="5" s="1"/>
  <c r="J9" i="5" s="1"/>
  <c r="K9" i="5" s="1"/>
  <c r="E9" i="5"/>
  <c r="I8" i="5"/>
  <c r="G8" i="5"/>
  <c r="E8" i="5"/>
  <c r="D23" i="4"/>
  <c r="B22" i="4"/>
  <c r="F12" i="1" s="1"/>
  <c r="B17" i="4"/>
  <c r="B16" i="4"/>
  <c r="I16" i="4" s="1"/>
  <c r="B15" i="4"/>
  <c r="J12" i="4"/>
  <c r="I12" i="4"/>
  <c r="I11" i="4"/>
  <c r="J11" i="4" s="1"/>
  <c r="J10" i="4"/>
  <c r="I10" i="4"/>
  <c r="I9" i="4"/>
  <c r="J9" i="4" s="1"/>
  <c r="J8" i="4"/>
  <c r="I8" i="4"/>
  <c r="B20" i="3"/>
  <c r="B17" i="3"/>
  <c r="H14" i="3"/>
  <c r="I14" i="3" s="1"/>
  <c r="J14" i="3" s="1"/>
  <c r="K14" i="3" s="1"/>
  <c r="H13" i="3"/>
  <c r="I13" i="3" s="1"/>
  <c r="J13" i="3" s="1"/>
  <c r="K13" i="3" s="1"/>
  <c r="H12" i="3"/>
  <c r="I12" i="3" s="1"/>
  <c r="J12" i="3" s="1"/>
  <c r="K12" i="3" s="1"/>
  <c r="H11" i="3"/>
  <c r="I11" i="3" s="1"/>
  <c r="J11" i="3" s="1"/>
  <c r="K11" i="3" s="1"/>
  <c r="H10" i="3"/>
  <c r="I10" i="3" s="1"/>
  <c r="J10" i="3" s="1"/>
  <c r="K10" i="3" s="1"/>
  <c r="H9" i="3"/>
  <c r="I9" i="3" s="1"/>
  <c r="J9" i="3" s="1"/>
  <c r="K9" i="3" s="1"/>
  <c r="H8" i="3"/>
  <c r="I8" i="3" s="1"/>
  <c r="B20" i="2"/>
  <c r="G17" i="2"/>
  <c r="J17" i="2" s="1"/>
  <c r="K17" i="2" s="1"/>
  <c r="F17" i="2"/>
  <c r="I17" i="2" s="1"/>
  <c r="I16" i="2"/>
  <c r="F16" i="2"/>
  <c r="G16" i="2" s="1"/>
  <c r="J16" i="2" s="1"/>
  <c r="K16" i="2" s="1"/>
  <c r="J15" i="2"/>
  <c r="K15" i="2" s="1"/>
  <c r="I15" i="2"/>
  <c r="G15" i="2"/>
  <c r="F15" i="2"/>
  <c r="F14" i="2"/>
  <c r="G13" i="2"/>
  <c r="J13" i="2" s="1"/>
  <c r="K13" i="2" s="1"/>
  <c r="F13" i="2"/>
  <c r="I13" i="2" s="1"/>
  <c r="I12" i="2"/>
  <c r="F12" i="2"/>
  <c r="G12" i="2" s="1"/>
  <c r="J12" i="2" s="1"/>
  <c r="K12" i="2" s="1"/>
  <c r="J11" i="2"/>
  <c r="K11" i="2" s="1"/>
  <c r="I11" i="2"/>
  <c r="G11" i="2"/>
  <c r="F11" i="2"/>
  <c r="K10" i="2"/>
  <c r="I10" i="2"/>
  <c r="F10" i="2"/>
  <c r="G10" i="2" s="1"/>
  <c r="J10" i="2" s="1"/>
  <c r="G9" i="2"/>
  <c r="J9" i="2" s="1"/>
  <c r="K9" i="2" s="1"/>
  <c r="F9" i="2"/>
  <c r="I9" i="2" s="1"/>
  <c r="F8" i="2"/>
  <c r="I22" i="1"/>
  <c r="D22" i="1"/>
  <c r="I21" i="1"/>
  <c r="D21" i="1"/>
  <c r="I20" i="1"/>
  <c r="D20" i="1"/>
  <c r="I19" i="1"/>
  <c r="D19" i="1"/>
  <c r="I18" i="1"/>
  <c r="G18" i="1"/>
  <c r="F18" i="1"/>
  <c r="E18" i="1"/>
  <c r="D18" i="1"/>
  <c r="I17" i="1"/>
  <c r="G17" i="1"/>
  <c r="F17" i="1"/>
  <c r="D17" i="1"/>
  <c r="I16" i="1"/>
  <c r="D16" i="1"/>
  <c r="I15" i="1"/>
  <c r="E15" i="1"/>
  <c r="D15" i="1"/>
  <c r="I14" i="1"/>
  <c r="G14" i="1"/>
  <c r="E14" i="1"/>
  <c r="D14" i="1"/>
  <c r="I13" i="1"/>
  <c r="D13" i="1"/>
  <c r="I12" i="1"/>
  <c r="G12" i="1"/>
  <c r="E12" i="1"/>
  <c r="D12" i="1"/>
  <c r="I11" i="1"/>
  <c r="D11" i="1"/>
  <c r="I10" i="1"/>
  <c r="E10" i="1"/>
  <c r="D10" i="1"/>
  <c r="B18" i="5" l="1"/>
  <c r="B20" i="5" s="1"/>
  <c r="K13" i="8"/>
  <c r="J13" i="8"/>
  <c r="B17" i="5"/>
  <c r="J11" i="12"/>
  <c r="K11" i="12"/>
  <c r="B17" i="13"/>
  <c r="B16" i="13"/>
  <c r="I8" i="13"/>
  <c r="B18" i="8"/>
  <c r="D25" i="8" s="1"/>
  <c r="G16" i="1" s="1"/>
  <c r="G8" i="8"/>
  <c r="H8" i="8" s="1"/>
  <c r="I8" i="8" s="1"/>
  <c r="K11" i="8"/>
  <c r="J11" i="8"/>
  <c r="K12" i="12"/>
  <c r="J12" i="12"/>
  <c r="B22" i="2"/>
  <c r="B25" i="2" s="1"/>
  <c r="F10" i="1" s="1"/>
  <c r="G8" i="2"/>
  <c r="J8" i="2" s="1"/>
  <c r="B21" i="2"/>
  <c r="K10" i="8"/>
  <c r="J10" i="8"/>
  <c r="K9" i="12"/>
  <c r="J9" i="12"/>
  <c r="I8" i="2"/>
  <c r="B24" i="2" s="1"/>
  <c r="D26" i="2" s="1"/>
  <c r="G10" i="1" s="1"/>
  <c r="G14" i="2"/>
  <c r="J14" i="2" s="1"/>
  <c r="K14" i="2" s="1"/>
  <c r="I14" i="2"/>
  <c r="B21" i="3"/>
  <c r="D25" i="3" s="1"/>
  <c r="G11" i="1" s="1"/>
  <c r="B19" i="3"/>
  <c r="B18" i="3"/>
  <c r="J8" i="3"/>
  <c r="K8" i="3" s="1"/>
  <c r="K9" i="8"/>
  <c r="J9" i="8"/>
  <c r="J12" i="8"/>
  <c r="K12" i="8"/>
  <c r="K8" i="12"/>
  <c r="J8" i="12"/>
  <c r="B17" i="12"/>
  <c r="K10" i="12"/>
  <c r="J10" i="12"/>
  <c r="K13" i="12"/>
  <c r="J13" i="12"/>
  <c r="B16" i="8"/>
  <c r="J8" i="5"/>
  <c r="K8" i="5" s="1"/>
  <c r="I8" i="6"/>
  <c r="I12" i="6"/>
  <c r="K8" i="7"/>
  <c r="I11" i="11"/>
  <c r="E9" i="12"/>
  <c r="E13" i="12"/>
  <c r="I8" i="14"/>
  <c r="I12" i="14"/>
  <c r="I11" i="6"/>
  <c r="B21" i="7"/>
  <c r="I10" i="11"/>
  <c r="I16" i="11"/>
  <c r="E19" i="1" s="1"/>
  <c r="E8" i="12"/>
  <c r="E12" i="12"/>
  <c r="I11" i="14"/>
  <c r="B21" i="14"/>
  <c r="F22" i="1" s="1"/>
  <c r="J20" i="7" l="1"/>
  <c r="B23" i="7"/>
  <c r="F15" i="1" s="1"/>
  <c r="B24" i="12"/>
  <c r="F20" i="1" s="1"/>
  <c r="B18" i="12"/>
  <c r="J17" i="12" s="1"/>
  <c r="E20" i="1" s="1"/>
  <c r="D25" i="12"/>
  <c r="G20" i="1" s="1"/>
  <c r="J17" i="3"/>
  <c r="E11" i="1" s="1"/>
  <c r="B24" i="3"/>
  <c r="F11" i="1" s="1"/>
  <c r="J8" i="8"/>
  <c r="B17" i="8"/>
  <c r="B24" i="8" s="1"/>
  <c r="F16" i="1" s="1"/>
  <c r="K8" i="8"/>
  <c r="K8" i="2"/>
  <c r="B23" i="2"/>
  <c r="J20" i="2" s="1"/>
  <c r="B19" i="13"/>
  <c r="J8" i="13"/>
  <c r="K8" i="13" s="1"/>
  <c r="D25" i="5"/>
  <c r="G13" i="1" s="1"/>
  <c r="B24" i="5"/>
  <c r="F13" i="1" s="1"/>
  <c r="J17" i="5"/>
  <c r="E13" i="1" s="1"/>
  <c r="D25" i="13" l="1"/>
  <c r="G21" i="1" s="1"/>
  <c r="J17" i="13"/>
  <c r="E21" i="1" s="1"/>
  <c r="B24" i="13"/>
  <c r="F21" i="1" s="1"/>
  <c r="J17" i="8"/>
  <c r="E16" i="1" s="1"/>
</calcChain>
</file>

<file path=xl/sharedStrings.xml><?xml version="1.0" encoding="utf-8"?>
<sst xmlns="http://schemas.openxmlformats.org/spreadsheetml/2006/main" count="647" uniqueCount="416">
  <si>
    <t>PROGRAMA DE AUDITORÍA - INVENTARIOS</t>
  </si>
  <si>
    <t>Basado en NIAs 501, 240, 330 - Observación de Inventarios y Detección de Fraude</t>
  </si>
  <si>
    <t>Cliente:</t>
  </si>
  <si>
    <t>[NOMBRE DEL CLIENTE]</t>
  </si>
  <si>
    <t>Período auditado:</t>
  </si>
  <si>
    <t>01/01/2024 - 31/12/2024</t>
  </si>
  <si>
    <t>Fecha de conteo físico:</t>
  </si>
  <si>
    <t>31/12/2024</t>
  </si>
  <si>
    <t>Auditor responsable:</t>
  </si>
  <si>
    <t>[NOMBRE DEL AUDITOR]</t>
  </si>
  <si>
    <t>REF</t>
  </si>
  <si>
    <t>PROCEDIMIENTO</t>
  </si>
  <si>
    <t>OBJETIVO NIA</t>
  </si>
  <si>
    <t>RIESGO</t>
  </si>
  <si>
    <t>ESTADO</t>
  </si>
  <si>
    <t>HALLAZGOS</t>
  </si>
  <si>
    <t>MATERIALIDAD</t>
  </si>
  <si>
    <t>RESPONSABLE</t>
  </si>
  <si>
    <t>FECHA</t>
  </si>
  <si>
    <t>PT C.1</t>
  </si>
  <si>
    <t>Observación Física Sorpresiva</t>
  </si>
  <si>
    <t>NIA 501 - Evidencia específica</t>
  </si>
  <si>
    <t>[Auditor]</t>
  </si>
  <si>
    <t>PT C.2</t>
  </si>
  <si>
    <t>Conteo Cíclico Alto Valor</t>
  </si>
  <si>
    <t>Verificación partidas materiales</t>
  </si>
  <si>
    <t>PT C.3</t>
  </si>
  <si>
    <t>Movimientos Ubicaciones Remotas</t>
  </si>
  <si>
    <t>Detección de traslados ficticios</t>
  </si>
  <si>
    <t>PT C.4</t>
  </si>
  <si>
    <t>Análisis de Obsolescencia</t>
  </si>
  <si>
    <t>Valuación correcta</t>
  </si>
  <si>
    <t>PT C.5</t>
  </si>
  <si>
    <t>Verificación de Propiedad</t>
  </si>
  <si>
    <t>Derechos sobre activos</t>
  </si>
  <si>
    <t>PT C.6</t>
  </si>
  <si>
    <t>Cut-Off Compras/Ventas</t>
  </si>
  <si>
    <t>NIA 330 - Corte operaciones</t>
  </si>
  <si>
    <t>PT C.7</t>
  </si>
  <si>
    <t>Margen Bruto por Línea</t>
  </si>
  <si>
    <t>Detección de desviaciones</t>
  </si>
  <si>
    <t>PT C.8</t>
  </si>
  <si>
    <t>Inventario en Tránsito</t>
  </si>
  <si>
    <t>Existencia y valuación</t>
  </si>
  <si>
    <t>PT C.9</t>
  </si>
  <si>
    <t>Ajustes Durante el Período</t>
  </si>
  <si>
    <t>Manipulación de registros</t>
  </si>
  <si>
    <t>PT C.10</t>
  </si>
  <si>
    <t>Inventario Pignorado</t>
  </si>
  <si>
    <t>Restricciones no reveladas</t>
  </si>
  <si>
    <t>PT C.11</t>
  </si>
  <si>
    <t>Variaciones Entre Conteos</t>
  </si>
  <si>
    <t>Confiabilidad del conteo</t>
  </si>
  <si>
    <t>PT C.12</t>
  </si>
  <si>
    <t>Costos vs Mercado</t>
  </si>
  <si>
    <t>Prueba NRV</t>
  </si>
  <si>
    <t>PT C.13</t>
  </si>
  <si>
    <t>Productos Fantasma</t>
  </si>
  <si>
    <t>Integridad de registros</t>
  </si>
  <si>
    <t>PT C.1 - OBSERVACIÓN FÍSICA SORPRESIVA</t>
  </si>
  <si>
    <t>NIA 501 - Evidencia Específica | Objetivo: Verificar existencia y condición física del inventario</t>
  </si>
  <si>
    <t>Fecha de conteo sorpresivo:</t>
  </si>
  <si>
    <t>Código
Producto</t>
  </si>
  <si>
    <t>Descripción</t>
  </si>
  <si>
    <t>Ubicación</t>
  </si>
  <si>
    <t>Cant.
Sistema</t>
  </si>
  <si>
    <t>Cant.
Física</t>
  </si>
  <si>
    <t>Diferencia</t>
  </si>
  <si>
    <t>% Dif</t>
  </si>
  <si>
    <t>Valor Unit</t>
  </si>
  <si>
    <t>Valor Dif</t>
  </si>
  <si>
    <t>Riesgo</t>
  </si>
  <si>
    <t>Estado</t>
  </si>
  <si>
    <t>INV-001</t>
  </si>
  <si>
    <t>Materia Prima A</t>
  </si>
  <si>
    <t>Bodega 1</t>
  </si>
  <si>
    <t>INV-002</t>
  </si>
  <si>
    <t>Producto Terminado B</t>
  </si>
  <si>
    <t>Bodega 2</t>
  </si>
  <si>
    <t>INV-003</t>
  </si>
  <si>
    <t>Componente C</t>
  </si>
  <si>
    <t>INV-004</t>
  </si>
  <si>
    <t>Material Importado D</t>
  </si>
  <si>
    <t>Bodega 3</t>
  </si>
  <si>
    <t>INV-005</t>
  </si>
  <si>
    <t>Producto Alto Valor E</t>
  </si>
  <si>
    <t>INV-006</t>
  </si>
  <si>
    <t>Insumo F</t>
  </si>
  <si>
    <t>INV-007</t>
  </si>
  <si>
    <t>Producto G</t>
  </si>
  <si>
    <t>Bodega 4</t>
  </si>
  <si>
    <t>INV-008</t>
  </si>
  <si>
    <t>Materia Prima H</t>
  </si>
  <si>
    <t>INV-009</t>
  </si>
  <si>
    <t>Componente Importado I</t>
  </si>
  <si>
    <t>INV-010</t>
  </si>
  <si>
    <t>Producto J</t>
  </si>
  <si>
    <t>RESUMEN DE OBSERVACIÓN FÍSICA</t>
  </si>
  <si>
    <t>Partidas contadas:</t>
  </si>
  <si>
    <t>RIESGO GLOBAL:</t>
  </si>
  <si>
    <t>Partidas sin diferencia:</t>
  </si>
  <si>
    <t>Partidas con diferencia:</t>
  </si>
  <si>
    <t>Diferencias críticas (&gt;15%):</t>
  </si>
  <si>
    <t>Valor total diferencias:</t>
  </si>
  <si>
    <t>Hallazgos:</t>
  </si>
  <si>
    <t>partidas con diferencias físicas vs sistema</t>
  </si>
  <si>
    <t>PT C.2 - CONTEO CÍCLICO ADICIONAL - PARTIDAS ALTO VALOR</t>
  </si>
  <si>
    <t>Verificación Intensiva | Objetivo: Asegurar exactitud en partidas materiales</t>
  </si>
  <si>
    <t>Fecha de conteo adicional:</t>
  </si>
  <si>
    <t>SKU</t>
  </si>
  <si>
    <t>Producto</t>
  </si>
  <si>
    <t>Valor
Unitario</t>
  </si>
  <si>
    <t>Conteo 1</t>
  </si>
  <si>
    <t>Conteo 2</t>
  </si>
  <si>
    <t>Conteo 3</t>
  </si>
  <si>
    <t>Promedio</t>
  </si>
  <si>
    <t>SKU-001</t>
  </si>
  <si>
    <t>Equipo Importado A</t>
  </si>
  <si>
    <t>SKU-002</t>
  </si>
  <si>
    <t>Maquinaria B</t>
  </si>
  <si>
    <t>SKU-003</t>
  </si>
  <si>
    <t>Componente Premium C</t>
  </si>
  <si>
    <t>SKU-004</t>
  </si>
  <si>
    <t>Producto Tecnológico D</t>
  </si>
  <si>
    <t>SKU-005</t>
  </si>
  <si>
    <t>Material Especial E</t>
  </si>
  <si>
    <t>SKU-006</t>
  </si>
  <si>
    <t>Equipo F</t>
  </si>
  <si>
    <t>SKU-007</t>
  </si>
  <si>
    <t>Componente Crítico G</t>
  </si>
  <si>
    <t>EVALUACIÓN DE CONTEOS MÚLTIPLES</t>
  </si>
  <si>
    <t>Partidas alto valor revisadas:</t>
  </si>
  <si>
    <t>Partidas exactas (3 conteos iguales):</t>
  </si>
  <si>
    <t>Partidas con diferencias:</t>
  </si>
  <si>
    <t>Valor total inventario alto valor:</t>
  </si>
  <si>
    <t>Valor en riesgo por diferencias:</t>
  </si>
  <si>
    <t>Partidas que requieren reconteo:</t>
  </si>
  <si>
    <t>PT C.3 - MOVIMIENTOS INUSUALES EN UBICACIONES REMOTAS</t>
  </si>
  <si>
    <t>Detección de Fraude | Objetivo: Identificar traslados ficticios para ocultar faltantes</t>
  </si>
  <si>
    <t>Período revisado:</t>
  </si>
  <si>
    <t>Diciembre 2024</t>
  </si>
  <si>
    <t>Fecha</t>
  </si>
  <si>
    <t>N° Traslado</t>
  </si>
  <si>
    <t>Desde</t>
  </si>
  <si>
    <t>Hacia</t>
  </si>
  <si>
    <t>Cantidad</t>
  </si>
  <si>
    <t>Valor</t>
  </si>
  <si>
    <t>Recibido</t>
  </si>
  <si>
    <t>28/12/2024</t>
  </si>
  <si>
    <t>TRAS-001</t>
  </si>
  <si>
    <t>Bodega Principal</t>
  </si>
  <si>
    <t>Bodega Remota A</t>
  </si>
  <si>
    <t>Producto X</t>
  </si>
  <si>
    <t>NO</t>
  </si>
  <si>
    <t>29/12/2024</t>
  </si>
  <si>
    <t>TRAS-002</t>
  </si>
  <si>
    <t>Bodega Remota B</t>
  </si>
  <si>
    <t>Material Y</t>
  </si>
  <si>
    <t>SÍ</t>
  </si>
  <si>
    <t>30/12/2024</t>
  </si>
  <si>
    <t>TRAS-003</t>
  </si>
  <si>
    <t>Componente Z</t>
  </si>
  <si>
    <t>TRAS-004</t>
  </si>
  <si>
    <t>Bodega Remota C</t>
  </si>
  <si>
    <t>Producto W</t>
  </si>
  <si>
    <t>TRAS-005</t>
  </si>
  <si>
    <t>Material V</t>
  </si>
  <si>
    <t>EVALUACIÓN DE TRASLADOS</t>
  </si>
  <si>
    <t>Traslados a ubicaciones remotas:</t>
  </si>
  <si>
    <t>Traslados NO confirmados:</t>
  </si>
  <si>
    <t>Valor en tránsito no confirmado:</t>
  </si>
  <si>
    <t>Traslados sospechosos:</t>
  </si>
  <si>
    <t>movimientos sin confirmación de recepción</t>
  </si>
  <si>
    <t>PT C.4 - ANÁLISIS DE OBSOLESCENCIA VS POLÍTICAS</t>
  </si>
  <si>
    <t>Valuación Correcta | Objetivo: Verificar adecuada provisión por obsolescencia</t>
  </si>
  <si>
    <t>Política de obsolescencia:</t>
  </si>
  <si>
    <t>6 meses sin movimiento = 50%, 12 meses = 100%</t>
  </si>
  <si>
    <t>Código</t>
  </si>
  <si>
    <t>Cant.</t>
  </si>
  <si>
    <t>Costo Unit</t>
  </si>
  <si>
    <t>Valor Total</t>
  </si>
  <si>
    <t>Días Sin
Movimiento</t>
  </si>
  <si>
    <t>Provisión
Política</t>
  </si>
  <si>
    <t>Provisión
Real</t>
  </si>
  <si>
    <t>OBS-001</t>
  </si>
  <si>
    <t>Producto Descontinuado A</t>
  </si>
  <si>
    <t>OBS-002</t>
  </si>
  <si>
    <t>Material Antiguo B</t>
  </si>
  <si>
    <t>OBS-003</t>
  </si>
  <si>
    <t>Componente Obsoleto C</t>
  </si>
  <si>
    <t>OBS-004</t>
  </si>
  <si>
    <t>Producto Regular D</t>
  </si>
  <si>
    <t>OBS-005</t>
  </si>
  <si>
    <t>Material Vencido E</t>
  </si>
  <si>
    <t>OBS-006</t>
  </si>
  <si>
    <t>Componente Lento F</t>
  </si>
  <si>
    <t>EVALUACIÓN DE PROVISIONES</t>
  </si>
  <si>
    <t>Partidas obsoletas identificadas:</t>
  </si>
  <si>
    <t>Partidas subprovisionadas:</t>
  </si>
  <si>
    <t>Provisión sugerida total:</t>
  </si>
  <si>
    <t>Provisión actual:</t>
  </si>
  <si>
    <t>Provisión adicional requerida:</t>
  </si>
  <si>
    <t>Ajuste requerido:</t>
  </si>
  <si>
    <t>provisión insuficiente según política</t>
  </si>
  <si>
    <t>PT C.5 - VERIFICACIÓN DE PROPIEDAD - DOCUMENTOS CONSIGNACIÓN</t>
  </si>
  <si>
    <t>Derechos sobre Activos | Objetivo: Verificar propiedad del inventario registrado</t>
  </si>
  <si>
    <t>Fecha de verificación:</t>
  </si>
  <si>
    <t>Proveedor</t>
  </si>
  <si>
    <t>Tipo
Acuerdo</t>
  </si>
  <si>
    <t>Documento
Propiedad</t>
  </si>
  <si>
    <t>En Libros</t>
  </si>
  <si>
    <t>Acción</t>
  </si>
  <si>
    <t>Material A</t>
  </si>
  <si>
    <t>Proveedor 1</t>
  </si>
  <si>
    <t>Propio</t>
  </si>
  <si>
    <t>Factura</t>
  </si>
  <si>
    <t>Producto B</t>
  </si>
  <si>
    <t>Proveedor 2</t>
  </si>
  <si>
    <t>Consignación</t>
  </si>
  <si>
    <t>No disponible</t>
  </si>
  <si>
    <t>Proveedor 3</t>
  </si>
  <si>
    <t>Material D</t>
  </si>
  <si>
    <t>Proveedor 4</t>
  </si>
  <si>
    <t>Contrato consig</t>
  </si>
  <si>
    <t>Producto E</t>
  </si>
  <si>
    <t>Proveedor 5</t>
  </si>
  <si>
    <t>EVALUACIÓN DE PROPIEDAD</t>
  </si>
  <si>
    <t>Inventario en consignación mal registrado:</t>
  </si>
  <si>
    <t>Valor mal clasificado:</t>
  </si>
  <si>
    <t>Ajustes requeridos:</t>
  </si>
  <si>
    <t>partidas sin propiedad en libros</t>
  </si>
  <si>
    <t>PT C.6 - CUT-OFF DE COMPRAS Y VENTAS (5 TRANSACCIONES PRE/POST)</t>
  </si>
  <si>
    <t>NIA 330 - Corte de Operaciones | Objetivo: Verificar registro correcto por período</t>
  </si>
  <si>
    <t>Fecha de corte:</t>
  </si>
  <si>
    <t>Tipo</t>
  </si>
  <si>
    <t>N° Doc</t>
  </si>
  <si>
    <t>Fecha
Doc</t>
  </si>
  <si>
    <t>Fecha
Recepción</t>
  </si>
  <si>
    <t>Período
Correcto</t>
  </si>
  <si>
    <t>Período
Registro</t>
  </si>
  <si>
    <t>Compra</t>
  </si>
  <si>
    <t>OC-897</t>
  </si>
  <si>
    <t>02/01/2025</t>
  </si>
  <si>
    <t>2025</t>
  </si>
  <si>
    <t>2024</t>
  </si>
  <si>
    <t>OC-898</t>
  </si>
  <si>
    <t>OC-899</t>
  </si>
  <si>
    <t>03/01/2025</t>
  </si>
  <si>
    <t>Venta</t>
  </si>
  <si>
    <t>FV-1205</t>
  </si>
  <si>
    <t>Producto D</t>
  </si>
  <si>
    <t>FV-1206</t>
  </si>
  <si>
    <t>04/01/2025</t>
  </si>
  <si>
    <t>Material E</t>
  </si>
  <si>
    <t>OC-901</t>
  </si>
  <si>
    <t>Producto F</t>
  </si>
  <si>
    <t>OC-902</t>
  </si>
  <si>
    <t>Material G</t>
  </si>
  <si>
    <t>FV-1208</t>
  </si>
  <si>
    <t>Componente H</t>
  </si>
  <si>
    <t>FV-1209</t>
  </si>
  <si>
    <t>Producto I</t>
  </si>
  <si>
    <t>OC-905</t>
  </si>
  <si>
    <t>Material J</t>
  </si>
  <si>
    <t>EVALUACIÓN DE CUT-OFF</t>
  </si>
  <si>
    <t>Transacciones revisadas:</t>
  </si>
  <si>
    <t>Errores de cut-off:</t>
  </si>
  <si>
    <t>Monto registrado en período incorrecto:</t>
  </si>
  <si>
    <t>Ajustes de período requeridos:</t>
  </si>
  <si>
    <t>PT C.7 - ANÁLISIS DE MARGEN BRUTO POR LÍNEA DE PRODUCTO</t>
  </si>
  <si>
    <t>Detección de Desviaciones | Objetivo: Identificar manipulación de costos o precios</t>
  </si>
  <si>
    <t>Período:</t>
  </si>
  <si>
    <t>Línea Producto</t>
  </si>
  <si>
    <t>Ventas</t>
  </si>
  <si>
    <t>Costo Ventas</t>
  </si>
  <si>
    <t>Margen
Bruto $</t>
  </si>
  <si>
    <t>Margen
Bruto %</t>
  </si>
  <si>
    <t>Margen
Esperado %</t>
  </si>
  <si>
    <t>Variación</t>
  </si>
  <si>
    <t>% Variación</t>
  </si>
  <si>
    <t>Electrónicos</t>
  </si>
  <si>
    <t>Línea Blanca</t>
  </si>
  <si>
    <t>Computadores</t>
  </si>
  <si>
    <t>Accesorios</t>
  </si>
  <si>
    <t>Componentes</t>
  </si>
  <si>
    <t>Herramientas</t>
  </si>
  <si>
    <t>ANÁLISIS DE RENTABILIDAD</t>
  </si>
  <si>
    <t>Margen promedio general:</t>
  </si>
  <si>
    <t>Líneas con desviación crítica:</t>
  </si>
  <si>
    <t>Impacto estimado en utilidad:</t>
  </si>
  <si>
    <t>Líneas que requieren investigación:</t>
  </si>
  <si>
    <t>PT C.8 - INVENTARIO EN TRÁNSITO</t>
  </si>
  <si>
    <t>Existencia y Valuación | Objetivo: Verificar inventario en tránsito y su registro</t>
  </si>
  <si>
    <t>Orden
Compra</t>
  </si>
  <si>
    <t>Fecha
Envío</t>
  </si>
  <si>
    <t>Fecha Est.
Llegada</t>
  </si>
  <si>
    <t>Días en
Tránsito</t>
  </si>
  <si>
    <t>Registrado</t>
  </si>
  <si>
    <t>OC-875</t>
  </si>
  <si>
    <t>Importadora A</t>
  </si>
  <si>
    <t>Material X</t>
  </si>
  <si>
    <t>15/12/2024</t>
  </si>
  <si>
    <t>05/01/2025</t>
  </si>
  <si>
    <t>OC-882</t>
  </si>
  <si>
    <t>Proveedor B</t>
  </si>
  <si>
    <t>Componente Y</t>
  </si>
  <si>
    <t>20/12/2024</t>
  </si>
  <si>
    <t>OC-889</t>
  </si>
  <si>
    <t>Importadora C</t>
  </si>
  <si>
    <t>Producto Z</t>
  </si>
  <si>
    <t>10/12/2024</t>
  </si>
  <si>
    <t>OC-894</t>
  </si>
  <si>
    <t>Proveedor D</t>
  </si>
  <si>
    <t>Material W</t>
  </si>
  <si>
    <t>08/01/2025</t>
  </si>
  <si>
    <t>Importadora E</t>
  </si>
  <si>
    <t>Componente V</t>
  </si>
  <si>
    <t>22/12/2024</t>
  </si>
  <si>
    <t>06/01/2025</t>
  </si>
  <si>
    <t>EVALUACIÓN INVENTARIO EN TRÁNSITO</t>
  </si>
  <si>
    <t>Total inventario en tránsito:</t>
  </si>
  <si>
    <t>Inventario NO registrado:</t>
  </si>
  <si>
    <t>Partidas sin registrar:</t>
  </si>
  <si>
    <t>PT C.9 - AJUSTES DE INVENTARIO DURANTE EL PERÍODO</t>
  </si>
  <si>
    <t>Manipulación de Registros | Objetivo: Detectar ajustes inusuales que oculten faltantes</t>
  </si>
  <si>
    <t>N° Ajuste</t>
  </si>
  <si>
    <t>Justificación</t>
  </si>
  <si>
    <t>Autorizado</t>
  </si>
  <si>
    <t>15/03/2024</t>
  </si>
  <si>
    <t>AJ-001</t>
  </si>
  <si>
    <t>Producto A</t>
  </si>
  <si>
    <t>Robo reportado</t>
  </si>
  <si>
    <t>28/06/2024</t>
  </si>
  <si>
    <t>AJ-002</t>
  </si>
  <si>
    <t>Material B</t>
  </si>
  <si>
    <t>Diferencia inventario</t>
  </si>
  <si>
    <t>10/09/2024</t>
  </si>
  <si>
    <t>AJ-003</t>
  </si>
  <si>
    <t>Error conteo anterior</t>
  </si>
  <si>
    <t>18/11/2024</t>
  </si>
  <si>
    <t>AJ-004</t>
  </si>
  <si>
    <t>Ajuste fin año</t>
  </si>
  <si>
    <t>AJ-005</t>
  </si>
  <si>
    <t>Obsolescencia</t>
  </si>
  <si>
    <t>ANÁLISIS DE AJUSTES</t>
  </si>
  <si>
    <t>Total ajustes revisados:</t>
  </si>
  <si>
    <t>Ajustes sin autorización:</t>
  </si>
  <si>
    <t>Valor ajustes no autorizados:</t>
  </si>
  <si>
    <t>Ajustes sospechosos:</t>
  </si>
  <si>
    <t>ajustes sin autorización adecuada</t>
  </si>
  <si>
    <t>PT C.10 - INDAGACIÓN INVENTARIO PIGNORADO</t>
  </si>
  <si>
    <t>Restricciones No Reveladas | Objetivo: Identificar inventario con restricciones de propiedad</t>
  </si>
  <si>
    <t>Entidad
Financiera</t>
  </si>
  <si>
    <t>Tipo
Garantía</t>
  </si>
  <si>
    <t>Revelado
EEFF</t>
  </si>
  <si>
    <t>Vigencia</t>
  </si>
  <si>
    <t>Banco A</t>
  </si>
  <si>
    <t>Prenda</t>
  </si>
  <si>
    <t>30/06/2025</t>
  </si>
  <si>
    <t>Banco B</t>
  </si>
  <si>
    <t>15/12/2025</t>
  </si>
  <si>
    <t>Banco C</t>
  </si>
  <si>
    <t>Garantía</t>
  </si>
  <si>
    <t>20/08/2025</t>
  </si>
  <si>
    <t>Sin garantía</t>
  </si>
  <si>
    <t>N/A</t>
  </si>
  <si>
    <t>EVALUACIÓN DE RESTRICCIONES</t>
  </si>
  <si>
    <t>Inventario pignorado identificado:</t>
  </si>
  <si>
    <t>Inventario pignorado NO revelado:</t>
  </si>
  <si>
    <t>Valor no revelado:</t>
  </si>
  <si>
    <t>Restricciones sin revelar:</t>
  </si>
  <si>
    <t>PT C.11 - VARIACIONES DE CANTIDAD ENTRE CONTEOS FÍSICOS</t>
  </si>
  <si>
    <t>Confiabilidad del Conteo | Objetivo: Evaluar consistencia en procesos de conteo</t>
  </si>
  <si>
    <t>Fechas de conteo:</t>
  </si>
  <si>
    <t>Conteo 1: 15/12/2024 | Conteo 2: 31/12/2024</t>
  </si>
  <si>
    <t>Conteo 1
(15 Dic)</t>
  </si>
  <si>
    <t>Conteo 2
(31 Dic)</t>
  </si>
  <si>
    <t>Movtos
Esperados</t>
  </si>
  <si>
    <t>Movtos
Reales</t>
  </si>
  <si>
    <t>Componente F</t>
  </si>
  <si>
    <t>EVALUACIÓN DE CONFIABILIDAD</t>
  </si>
  <si>
    <t>Partidas contadas dos veces:</t>
  </si>
  <si>
    <t>Partidas con discrepancias altas:</t>
  </si>
  <si>
    <t>% de confiabilidad del conteo:</t>
  </si>
  <si>
    <t>PT C.12 - COSTOS UNITARIOS VS MERCADO (PRUEBA NRV)</t>
  </si>
  <si>
    <t>Prueba de Valor Neto Realizable | Objetivo: Verificar valuación al menor entre costo y mercado</t>
  </si>
  <si>
    <t>Fecha de valoración:</t>
  </si>
  <si>
    <t>Costo
Unitario</t>
  </si>
  <si>
    <t>Precio
Mercado</t>
  </si>
  <si>
    <t>Costo
Total</t>
  </si>
  <si>
    <t>VNR Total</t>
  </si>
  <si>
    <t>Provisión
Requerida</t>
  </si>
  <si>
    <t>Provisión
Actual</t>
  </si>
  <si>
    <t>PRUEBA DE VALOR NETO REALIZABLE</t>
  </si>
  <si>
    <t>Partidas con costo &gt; mercado:</t>
  </si>
  <si>
    <t>Provisión total requerida:</t>
  </si>
  <si>
    <t>Provisión adicional necesaria:</t>
  </si>
  <si>
    <t>Ajuste de valuación requerido:</t>
  </si>
  <si>
    <t>PT C.13 - PRODUCTOS FANTASMA O DUPLICADOS EN SISTEMA</t>
  </si>
  <si>
    <t>Integridad de Registros | Objetivo: Detectar productos ficticios o códigos duplicados</t>
  </si>
  <si>
    <t>Fecha de análisis:</t>
  </si>
  <si>
    <t>Cantidad
Sistema</t>
  </si>
  <si>
    <t>Ubicación
Sistema</t>
  </si>
  <si>
    <t>Existe
Físicamente</t>
  </si>
  <si>
    <t>Duplicado de</t>
  </si>
  <si>
    <t>PRD-001</t>
  </si>
  <si>
    <t>PRD-002</t>
  </si>
  <si>
    <t>PRD-002A</t>
  </si>
  <si>
    <t>PRD-003</t>
  </si>
  <si>
    <t>PRD-004</t>
  </si>
  <si>
    <t>PRD-005</t>
  </si>
  <si>
    <t>INTEGRIDAD DEL SISTEMA</t>
  </si>
  <si>
    <t>Productos fantasma detectados:</t>
  </si>
  <si>
    <t>Productos duplicados:</t>
  </si>
  <si>
    <t>Valor total productos fantasma:</t>
  </si>
  <si>
    <t>Registros a depurar: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</si>
</sst>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$#,##0"/>
    <numFmt numFmtId="165" formatCode="dd/mm/yyyy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u/>
      <sz val="11"/>
      <color rgb="FF0563C1"/>
      <name val="Calibri"/>
      <family val="2"/>
    </font>
    <font>
      <b/>
      <sz val="14"/>
      <color rgb="FFFFFFFF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10" fillId="0" borderId="0" xfId="0" applyFont="1"/>
    <xf numFmtId="0" fontId="8" fillId="0" borderId="0" xfId="0" applyFont="1"/>
    <xf numFmtId="164" fontId="9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164" fontId="8" fillId="0" borderId="0" xfId="0" applyNumberFormat="1" applyFont="1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6" fillId="0" borderId="0" xfId="0" applyFont="1"/>
    <xf numFmtId="0" fontId="5" fillId="3" borderId="0" xfId="0" applyFont="1" applyFill="1" applyAlignment="1">
      <alignment horizontal="center" vertical="center"/>
    </xf>
    <xf numFmtId="0" fontId="7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8" customWidth="1"/>
    <col min="2" max="3" width="30" customWidth="1"/>
    <col min="4" max="4" width="12" customWidth="1"/>
    <col min="5" max="5" width="15" customWidth="1"/>
    <col min="6" max="6" width="12" customWidth="1"/>
    <col min="7" max="8" width="15" customWidth="1"/>
    <col min="9" max="9" width="12" customWidth="1"/>
  </cols>
  <sheetData>
    <row r="1" spans="1:9" ht="2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</row>
    <row r="4" spans="1:9" x14ac:dyDescent="0.25">
      <c r="A4" t="s">
        <v>2</v>
      </c>
      <c r="B4" t="s">
        <v>3</v>
      </c>
    </row>
    <row r="5" spans="1:9" x14ac:dyDescent="0.25">
      <c r="A5" t="s">
        <v>4</v>
      </c>
      <c r="B5" t="s">
        <v>5</v>
      </c>
    </row>
    <row r="6" spans="1:9" x14ac:dyDescent="0.25">
      <c r="A6" t="s">
        <v>6</v>
      </c>
      <c r="B6" t="s">
        <v>7</v>
      </c>
    </row>
    <row r="7" spans="1:9" x14ac:dyDescent="0.25">
      <c r="A7" t="s">
        <v>8</v>
      </c>
      <c r="B7" t="s">
        <v>9</v>
      </c>
    </row>
    <row r="9" spans="1:9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</row>
    <row r="10" spans="1:9" x14ac:dyDescent="0.25">
      <c r="A10" t="s">
        <v>19</v>
      </c>
      <c r="B10" s="2" t="s">
        <v>20</v>
      </c>
      <c r="C10" t="s">
        <v>21</v>
      </c>
      <c r="D10">
        <f>PT_C.1_ObsFisica!I18</f>
        <v>0</v>
      </c>
      <c r="E10">
        <f>PT_C.1_ObsFisica!J18</f>
        <v>0</v>
      </c>
      <c r="F10">
        <f>PT_C.1_ObsFisica!B25</f>
        <v>5</v>
      </c>
      <c r="G10" s="3">
        <f>PT_C.1_ObsFisica!D26</f>
        <v>198600000</v>
      </c>
      <c r="H10" t="s">
        <v>22</v>
      </c>
      <c r="I10" s="4">
        <f t="shared" ref="I10:I22" ca="1" si="0">TODAY()</f>
        <v>45978</v>
      </c>
    </row>
    <row r="11" spans="1:9" x14ac:dyDescent="0.25">
      <c r="A11" t="s">
        <v>23</v>
      </c>
      <c r="B11" s="2" t="s">
        <v>24</v>
      </c>
      <c r="C11" t="s">
        <v>25</v>
      </c>
      <c r="D11" t="str">
        <f>PT_C.2_ConteoAltoValor!I17</f>
        <v>RIESGO GLOBAL:</v>
      </c>
      <c r="E11" t="str">
        <f>PT_C.2_ConteoAltoValor!J17</f>
        <v>MEDIO</v>
      </c>
      <c r="F11">
        <f>PT_C.2_ConteoAltoValor!B24</f>
        <v>1</v>
      </c>
      <c r="G11" s="3">
        <f>PT_C.2_ConteoAltoValor!D25</f>
        <v>15000000</v>
      </c>
      <c r="H11" t="s">
        <v>22</v>
      </c>
      <c r="I11" s="4">
        <f t="shared" ca="1" si="0"/>
        <v>45978</v>
      </c>
    </row>
    <row r="12" spans="1:9" x14ac:dyDescent="0.25">
      <c r="A12" t="s">
        <v>26</v>
      </c>
      <c r="B12" s="2" t="s">
        <v>27</v>
      </c>
      <c r="C12" t="s">
        <v>28</v>
      </c>
      <c r="D12" t="str">
        <f>PT_C.3_UbicRemote!H16</f>
        <v>RIESGO GLOBAL:</v>
      </c>
      <c r="E12" t="str">
        <f>PT_C.3_UbicRemote!I16</f>
        <v>CRÍTICO</v>
      </c>
      <c r="F12">
        <f>PT_C.3_UbicRemote!B22</f>
        <v>3</v>
      </c>
      <c r="G12" s="3">
        <f>PT_C.3_UbicRemote!D23</f>
        <v>58500000</v>
      </c>
      <c r="H12" t="s">
        <v>22</v>
      </c>
      <c r="I12" s="4">
        <f t="shared" ca="1" si="0"/>
        <v>45978</v>
      </c>
    </row>
    <row r="13" spans="1:9" x14ac:dyDescent="0.25">
      <c r="A13" t="s">
        <v>29</v>
      </c>
      <c r="B13" s="2" t="s">
        <v>30</v>
      </c>
      <c r="C13" t="s">
        <v>31</v>
      </c>
      <c r="D13" t="str">
        <f>PT_C.4_Obsolescencia!I17</f>
        <v>RIESGO GLOBAL:</v>
      </c>
      <c r="E13" t="str">
        <f>PT_C.4_Obsolescencia!J17</f>
        <v>ALTO</v>
      </c>
      <c r="F13">
        <f>PT_C.4_Obsolescencia!B24</f>
        <v>87205000</v>
      </c>
      <c r="G13" s="3">
        <f>PT_C.4_Obsolescencia!D25</f>
        <v>87205000</v>
      </c>
      <c r="H13" t="s">
        <v>22</v>
      </c>
      <c r="I13" s="4">
        <f t="shared" ca="1" si="0"/>
        <v>45978</v>
      </c>
    </row>
    <row r="14" spans="1:9" x14ac:dyDescent="0.25">
      <c r="A14" t="s">
        <v>32</v>
      </c>
      <c r="B14" s="2" t="s">
        <v>33</v>
      </c>
      <c r="C14" t="s">
        <v>34</v>
      </c>
      <c r="D14" t="str">
        <f>PT_C.5_Propiedad!H16</f>
        <v>RIESGO GLOBAL:</v>
      </c>
      <c r="E14" t="str">
        <f>PT_C.5_Propiedad!I16</f>
        <v>CRÍTICO</v>
      </c>
      <c r="F14">
        <f>PT_C.5_Propiedad!B21</f>
        <v>1</v>
      </c>
      <c r="G14" s="3">
        <f>PT_C.5_Propiedad!D22</f>
        <v>45000000</v>
      </c>
      <c r="H14" t="s">
        <v>22</v>
      </c>
      <c r="I14" s="4">
        <f t="shared" ca="1" si="0"/>
        <v>45978</v>
      </c>
    </row>
    <row r="15" spans="1:9" x14ac:dyDescent="0.25">
      <c r="A15" t="s">
        <v>35</v>
      </c>
      <c r="B15" s="2" t="s">
        <v>36</v>
      </c>
      <c r="C15" t="s">
        <v>37</v>
      </c>
      <c r="D15" t="str">
        <f>PT_C.6_CutOff!I16</f>
        <v>2025</v>
      </c>
      <c r="E15" t="str">
        <f>PT_C.6_CutOff!J16</f>
        <v>BAJO</v>
      </c>
      <c r="F15">
        <f>PT_C.6_CutOff!B23</f>
        <v>2</v>
      </c>
      <c r="G15" s="3">
        <f>PT_C.6_CutOff!D24</f>
        <v>43500000</v>
      </c>
      <c r="H15" t="s">
        <v>22</v>
      </c>
      <c r="I15" s="4">
        <f t="shared" ca="1" si="0"/>
        <v>45978</v>
      </c>
    </row>
    <row r="16" spans="1:9" x14ac:dyDescent="0.25">
      <c r="A16" t="s">
        <v>38</v>
      </c>
      <c r="B16" s="2" t="s">
        <v>39</v>
      </c>
      <c r="C16" t="s">
        <v>40</v>
      </c>
      <c r="D16" t="str">
        <f>PT_C.7_MargenBruto!I17</f>
        <v>RIESGO GLOBAL:</v>
      </c>
      <c r="E16" t="str">
        <f>PT_C.7_MargenBruto!J17</f>
        <v>BAJO</v>
      </c>
      <c r="F16">
        <f>PT_C.7_MargenBruto!B24</f>
        <v>0</v>
      </c>
      <c r="G16" s="3">
        <f>PT_C.7_MargenBruto!D25</f>
        <v>0</v>
      </c>
      <c r="H16" t="s">
        <v>22</v>
      </c>
      <c r="I16" s="4">
        <f t="shared" ca="1" si="0"/>
        <v>45978</v>
      </c>
    </row>
    <row r="17" spans="1:9" x14ac:dyDescent="0.25">
      <c r="A17" t="s">
        <v>41</v>
      </c>
      <c r="B17" s="2" t="s">
        <v>42</v>
      </c>
      <c r="C17" t="s">
        <v>43</v>
      </c>
      <c r="D17" t="str">
        <f>PT_C.8_EnTransito!H16</f>
        <v>RIESGO GLOBAL:</v>
      </c>
      <c r="E17" t="str">
        <f>PT_C.8_EnTransito!I16</f>
        <v>MEDIO</v>
      </c>
      <c r="F17">
        <f>PT_C.8_EnTransito!B21</f>
        <v>2</v>
      </c>
      <c r="G17" s="3">
        <f>PT_C.8_EnTransito!D22</f>
        <v>63000000</v>
      </c>
      <c r="H17" t="s">
        <v>22</v>
      </c>
      <c r="I17" s="4">
        <f t="shared" ca="1" si="0"/>
        <v>45978</v>
      </c>
    </row>
    <row r="18" spans="1:9" x14ac:dyDescent="0.25">
      <c r="A18" t="s">
        <v>44</v>
      </c>
      <c r="B18" s="2" t="s">
        <v>45</v>
      </c>
      <c r="C18" t="s">
        <v>46</v>
      </c>
      <c r="D18" t="str">
        <f>PT_C.9_Ajustes!H16</f>
        <v>RIESGO GLOBAL:</v>
      </c>
      <c r="E18" t="str">
        <f>PT_C.9_Ajustes!I16</f>
        <v>CRÍTICO</v>
      </c>
      <c r="F18">
        <f>PT_C.9_Ajustes!B22</f>
        <v>2</v>
      </c>
      <c r="G18" s="3">
        <f>PT_C.9_Ajustes!D23</f>
        <v>430750000</v>
      </c>
      <c r="H18" t="s">
        <v>22</v>
      </c>
      <c r="I18" s="4">
        <f t="shared" ca="1" si="0"/>
        <v>45978</v>
      </c>
    </row>
    <row r="19" spans="1:9" x14ac:dyDescent="0.25">
      <c r="A19" t="s">
        <v>47</v>
      </c>
      <c r="B19" s="2" t="s">
        <v>48</v>
      </c>
      <c r="C19" t="s">
        <v>49</v>
      </c>
      <c r="D19" t="str">
        <f>PT_C.10_Pignorado!H16</f>
        <v>RIESGO GLOBAL:</v>
      </c>
      <c r="E19" t="str">
        <f>PT_C.10_Pignorado!I16</f>
        <v>ALTO</v>
      </c>
      <c r="F19">
        <f>PT_C.10_Pignorado!B20</f>
        <v>2</v>
      </c>
      <c r="G19" s="3">
        <f>PT_C.10_Pignorado!D21</f>
        <v>310000000</v>
      </c>
      <c r="H19" t="s">
        <v>22</v>
      </c>
      <c r="I19" s="4">
        <f t="shared" ca="1" si="0"/>
        <v>45978</v>
      </c>
    </row>
    <row r="20" spans="1:9" x14ac:dyDescent="0.25">
      <c r="A20" t="s">
        <v>50</v>
      </c>
      <c r="B20" s="2" t="s">
        <v>51</v>
      </c>
      <c r="C20" t="s">
        <v>52</v>
      </c>
      <c r="D20" t="str">
        <f>PT_C.11_Variaciones!I17</f>
        <v>RIESGO GLOBAL:</v>
      </c>
      <c r="E20" t="str">
        <f>PT_C.11_Variaciones!J17</f>
        <v>BAJO</v>
      </c>
      <c r="F20">
        <f>PT_C.11_Variaciones!B24</f>
        <v>0</v>
      </c>
      <c r="G20" s="3">
        <f>PT_C.11_Variaciones!D25</f>
        <v>0</v>
      </c>
      <c r="H20" t="s">
        <v>22</v>
      </c>
      <c r="I20" s="4">
        <f t="shared" ca="1" si="0"/>
        <v>45978</v>
      </c>
    </row>
    <row r="21" spans="1:9" x14ac:dyDescent="0.25">
      <c r="A21" t="s">
        <v>53</v>
      </c>
      <c r="B21" s="2" t="s">
        <v>54</v>
      </c>
      <c r="C21" t="s">
        <v>55</v>
      </c>
      <c r="D21" t="str">
        <f>PT_C.12_CostosVsMercado!I17</f>
        <v>RIESGO GLOBAL:</v>
      </c>
      <c r="E21" t="str">
        <f>PT_C.12_CostosVsMercado!J17</f>
        <v>ALTO</v>
      </c>
      <c r="F21">
        <f>PT_C.12_CostosVsMercado!B24</f>
        <v>47800000</v>
      </c>
      <c r="G21" s="3">
        <f>PT_C.12_CostosVsMercado!D25</f>
        <v>47800000</v>
      </c>
      <c r="H21" t="s">
        <v>22</v>
      </c>
      <c r="I21" s="4">
        <f t="shared" ca="1" si="0"/>
        <v>45978</v>
      </c>
    </row>
    <row r="22" spans="1:9" x14ac:dyDescent="0.25">
      <c r="A22" t="s">
        <v>56</v>
      </c>
      <c r="B22" s="2" t="s">
        <v>57</v>
      </c>
      <c r="C22" t="s">
        <v>58</v>
      </c>
      <c r="D22" t="str">
        <f>PT_C.13_Fantasma!H16</f>
        <v>RIESGO GLOBAL:</v>
      </c>
      <c r="E22" t="str">
        <f>PT_C.13_Fantasma!I16</f>
        <v>CRÍTICO</v>
      </c>
      <c r="F22">
        <f>PT_C.13_Fantasma!B21</f>
        <v>3</v>
      </c>
      <c r="G22" s="3">
        <f>PT_C.13_Fantasma!D22</f>
        <v>220000000</v>
      </c>
      <c r="H22" t="s">
        <v>22</v>
      </c>
      <c r="I22" s="4">
        <f t="shared" ca="1" si="0"/>
        <v>45978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sqref="A1:K1"/>
    </sheetView>
  </sheetViews>
  <sheetFormatPr baseColWidth="10" defaultColWidth="9.140625" defaultRowHeight="15" x14ac:dyDescent="0.25"/>
  <cols>
    <col min="1" max="1" width="12" customWidth="1"/>
    <col min="2" max="2" width="25" customWidth="1"/>
    <col min="3" max="11" width="12" customWidth="1"/>
  </cols>
  <sheetData>
    <row r="1" spans="1:11" ht="18.75" x14ac:dyDescent="0.25">
      <c r="A1" s="17" t="s">
        <v>59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6" t="s">
        <v>60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x14ac:dyDescent="0.25">
      <c r="A4" t="s">
        <v>61</v>
      </c>
      <c r="B4" s="4" t="s">
        <v>7</v>
      </c>
    </row>
    <row r="7" spans="1:11" ht="25.5" x14ac:dyDescent="0.25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70</v>
      </c>
      <c r="J7" s="1" t="s">
        <v>71</v>
      </c>
      <c r="K7" s="1" t="s">
        <v>72</v>
      </c>
    </row>
    <row r="8" spans="1:11" x14ac:dyDescent="0.25">
      <c r="A8" t="s">
        <v>73</v>
      </c>
      <c r="B8" t="s">
        <v>74</v>
      </c>
      <c r="C8" t="s">
        <v>75</v>
      </c>
      <c r="D8" s="5">
        <v>1500</v>
      </c>
      <c r="E8" s="5">
        <v>1500</v>
      </c>
      <c r="F8" s="5">
        <f t="shared" ref="F8:F17" si="0">D8-E8</f>
        <v>0</v>
      </c>
      <c r="G8" s="6">
        <f t="shared" ref="G8:G17" si="1">IF(D8=0,0,ABS(F8/D8))</f>
        <v>0</v>
      </c>
      <c r="H8" s="5">
        <v>125000</v>
      </c>
      <c r="I8" s="5">
        <f t="shared" ref="I8:I17" si="2">ABS(F8)*H8</f>
        <v>0</v>
      </c>
      <c r="J8" t="str">
        <f t="shared" ref="J8:J17" si="3">IF(G8&gt;0.15,"CRÍTICO",IF(G8&gt;0.1,"ALTO",IF(G8&gt;0.05,"MEDIO","BAJO")))</f>
        <v>BAJO</v>
      </c>
      <c r="K8" t="str">
        <f t="shared" ref="K8:K17" si="4">IF(J8="CRÍTICO","🚨 INVESTIGAR",IF(J8="ALTO","🔴 DIFERENCIA",IF(J8="MEDIO","⚠ REVISAR","✓ OK")))</f>
        <v>✓ OK</v>
      </c>
    </row>
    <row r="9" spans="1:11" x14ac:dyDescent="0.25">
      <c r="A9" t="s">
        <v>76</v>
      </c>
      <c r="B9" t="s">
        <v>77</v>
      </c>
      <c r="C9" t="s">
        <v>78</v>
      </c>
      <c r="D9" s="5">
        <v>850</v>
      </c>
      <c r="E9" s="5">
        <v>780</v>
      </c>
      <c r="F9" s="5">
        <f t="shared" si="0"/>
        <v>70</v>
      </c>
      <c r="G9" s="6">
        <f t="shared" si="1"/>
        <v>8.2352941176470587E-2</v>
      </c>
      <c r="H9" s="5">
        <v>580000</v>
      </c>
      <c r="I9" s="5">
        <f t="shared" si="2"/>
        <v>40600000</v>
      </c>
      <c r="J9" t="str">
        <f t="shared" si="3"/>
        <v>MEDIO</v>
      </c>
      <c r="K9" t="str">
        <f t="shared" si="4"/>
        <v>⚠ REVISAR</v>
      </c>
    </row>
    <row r="10" spans="1:11" x14ac:dyDescent="0.25">
      <c r="A10" t="s">
        <v>79</v>
      </c>
      <c r="B10" t="s">
        <v>80</v>
      </c>
      <c r="C10" t="s">
        <v>75</v>
      </c>
      <c r="D10" s="5">
        <v>3200</v>
      </c>
      <c r="E10" s="5">
        <v>3200</v>
      </c>
      <c r="F10" s="5">
        <f t="shared" si="0"/>
        <v>0</v>
      </c>
      <c r="G10" s="6">
        <f t="shared" si="1"/>
        <v>0</v>
      </c>
      <c r="H10" s="5">
        <v>45000</v>
      </c>
      <c r="I10" s="5">
        <f t="shared" si="2"/>
        <v>0</v>
      </c>
      <c r="J10" t="str">
        <f t="shared" si="3"/>
        <v>BAJO</v>
      </c>
      <c r="K10" t="str">
        <f t="shared" si="4"/>
        <v>✓ OK</v>
      </c>
    </row>
    <row r="11" spans="1:11" x14ac:dyDescent="0.25">
      <c r="A11" t="s">
        <v>81</v>
      </c>
      <c r="B11" t="s">
        <v>82</v>
      </c>
      <c r="C11" t="s">
        <v>83</v>
      </c>
      <c r="D11" s="5">
        <v>450</v>
      </c>
      <c r="E11" s="5">
        <v>420</v>
      </c>
      <c r="F11" s="5">
        <f t="shared" si="0"/>
        <v>30</v>
      </c>
      <c r="G11" s="6">
        <f t="shared" si="1"/>
        <v>6.6666666666666666E-2</v>
      </c>
      <c r="H11" s="5">
        <v>1200000</v>
      </c>
      <c r="I11" s="5">
        <f t="shared" si="2"/>
        <v>36000000</v>
      </c>
      <c r="J11" t="str">
        <f t="shared" si="3"/>
        <v>MEDIO</v>
      </c>
      <c r="K11" t="str">
        <f t="shared" si="4"/>
        <v>⚠ REVISAR</v>
      </c>
    </row>
    <row r="12" spans="1:11" x14ac:dyDescent="0.25">
      <c r="A12" t="s">
        <v>84</v>
      </c>
      <c r="B12" t="s">
        <v>85</v>
      </c>
      <c r="C12" t="s">
        <v>78</v>
      </c>
      <c r="D12" s="5">
        <v>180</v>
      </c>
      <c r="E12" s="5">
        <v>165</v>
      </c>
      <c r="F12" s="5">
        <f t="shared" si="0"/>
        <v>15</v>
      </c>
      <c r="G12" s="6">
        <f t="shared" si="1"/>
        <v>8.3333333333333329E-2</v>
      </c>
      <c r="H12" s="5">
        <v>2800000</v>
      </c>
      <c r="I12" s="5">
        <f t="shared" si="2"/>
        <v>42000000</v>
      </c>
      <c r="J12" t="str">
        <f t="shared" si="3"/>
        <v>MEDIO</v>
      </c>
      <c r="K12" t="str">
        <f t="shared" si="4"/>
        <v>⚠ REVISAR</v>
      </c>
    </row>
    <row r="13" spans="1:11" x14ac:dyDescent="0.25">
      <c r="A13" t="s">
        <v>86</v>
      </c>
      <c r="B13" t="s">
        <v>87</v>
      </c>
      <c r="C13" t="s">
        <v>75</v>
      </c>
      <c r="D13" s="5">
        <v>5600</v>
      </c>
      <c r="E13" s="5">
        <v>5600</v>
      </c>
      <c r="F13" s="5">
        <f t="shared" si="0"/>
        <v>0</v>
      </c>
      <c r="G13" s="6">
        <f t="shared" si="1"/>
        <v>0</v>
      </c>
      <c r="H13" s="5">
        <v>28000</v>
      </c>
      <c r="I13" s="5">
        <f t="shared" si="2"/>
        <v>0</v>
      </c>
      <c r="J13" t="str">
        <f t="shared" si="3"/>
        <v>BAJO</v>
      </c>
      <c r="K13" t="str">
        <f t="shared" si="4"/>
        <v>✓ OK</v>
      </c>
    </row>
    <row r="14" spans="1:11" x14ac:dyDescent="0.25">
      <c r="A14" t="s">
        <v>88</v>
      </c>
      <c r="B14" t="s">
        <v>89</v>
      </c>
      <c r="C14" t="s">
        <v>90</v>
      </c>
      <c r="D14" s="5">
        <v>920</v>
      </c>
      <c r="E14" s="5">
        <v>850</v>
      </c>
      <c r="F14" s="5">
        <f t="shared" si="0"/>
        <v>70</v>
      </c>
      <c r="G14" s="6">
        <f t="shared" si="1"/>
        <v>7.6086956521739135E-2</v>
      </c>
      <c r="H14" s="5">
        <v>350000</v>
      </c>
      <c r="I14" s="5">
        <f t="shared" si="2"/>
        <v>24500000</v>
      </c>
      <c r="J14" t="str">
        <f t="shared" si="3"/>
        <v>MEDIO</v>
      </c>
      <c r="K14" t="str">
        <f t="shared" si="4"/>
        <v>⚠ REVISAR</v>
      </c>
    </row>
    <row r="15" spans="1:11" x14ac:dyDescent="0.25">
      <c r="A15" t="s">
        <v>91</v>
      </c>
      <c r="B15" t="s">
        <v>92</v>
      </c>
      <c r="C15" t="s">
        <v>83</v>
      </c>
      <c r="D15" s="5">
        <v>2100</v>
      </c>
      <c r="E15" s="5">
        <v>2100</v>
      </c>
      <c r="F15" s="5">
        <f t="shared" si="0"/>
        <v>0</v>
      </c>
      <c r="G15" s="6">
        <f t="shared" si="1"/>
        <v>0</v>
      </c>
      <c r="H15" s="5">
        <v>95000</v>
      </c>
      <c r="I15" s="5">
        <f t="shared" si="2"/>
        <v>0</v>
      </c>
      <c r="J15" t="str">
        <f t="shared" si="3"/>
        <v>BAJO</v>
      </c>
      <c r="K15" t="str">
        <f t="shared" si="4"/>
        <v>✓ OK</v>
      </c>
    </row>
    <row r="16" spans="1:11" x14ac:dyDescent="0.25">
      <c r="A16" t="s">
        <v>93</v>
      </c>
      <c r="B16" t="s">
        <v>94</v>
      </c>
      <c r="C16" t="s">
        <v>78</v>
      </c>
      <c r="D16" s="5">
        <v>340</v>
      </c>
      <c r="E16" s="5">
        <v>310</v>
      </c>
      <c r="F16" s="5">
        <f t="shared" si="0"/>
        <v>30</v>
      </c>
      <c r="G16" s="6">
        <f t="shared" si="1"/>
        <v>8.8235294117647065E-2</v>
      </c>
      <c r="H16" s="5">
        <v>1850000</v>
      </c>
      <c r="I16" s="5">
        <f t="shared" si="2"/>
        <v>55500000</v>
      </c>
      <c r="J16" t="str">
        <f t="shared" si="3"/>
        <v>MEDIO</v>
      </c>
      <c r="K16" t="str">
        <f t="shared" si="4"/>
        <v>⚠ REVISAR</v>
      </c>
    </row>
    <row r="17" spans="1:11" x14ac:dyDescent="0.25">
      <c r="A17" t="s">
        <v>95</v>
      </c>
      <c r="B17" t="s">
        <v>96</v>
      </c>
      <c r="C17" t="s">
        <v>75</v>
      </c>
      <c r="D17" s="5">
        <v>1250</v>
      </c>
      <c r="E17" s="5">
        <v>1250</v>
      </c>
      <c r="F17" s="5">
        <f t="shared" si="0"/>
        <v>0</v>
      </c>
      <c r="G17" s="6">
        <f t="shared" si="1"/>
        <v>0</v>
      </c>
      <c r="H17" s="5">
        <v>220000</v>
      </c>
      <c r="I17" s="5">
        <f t="shared" si="2"/>
        <v>0</v>
      </c>
      <c r="J17" t="str">
        <f t="shared" si="3"/>
        <v>BAJO</v>
      </c>
      <c r="K17" t="str">
        <f t="shared" si="4"/>
        <v>✓ OK</v>
      </c>
    </row>
    <row r="19" spans="1:11" x14ac:dyDescent="0.25">
      <c r="A19" s="18" t="s">
        <v>97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15.75" x14ac:dyDescent="0.25">
      <c r="A20" t="s">
        <v>98</v>
      </c>
      <c r="B20">
        <f>COUNTA(A8:A17)</f>
        <v>10</v>
      </c>
      <c r="I20" t="s">
        <v>99</v>
      </c>
      <c r="J20" s="7" t="str">
        <f>IF(B23&gt;2,"CRÍTICO",IF(B22&gt;5,"ALTO",IF(B22&gt;0,"MEDIO","BAJO")))</f>
        <v>MEDIO</v>
      </c>
    </row>
    <row r="21" spans="1:11" x14ac:dyDescent="0.25">
      <c r="A21" t="s">
        <v>100</v>
      </c>
      <c r="B21">
        <f>COUNTIF(F8:F17,0)</f>
        <v>5</v>
      </c>
    </row>
    <row r="22" spans="1:11" x14ac:dyDescent="0.25">
      <c r="A22" t="s">
        <v>101</v>
      </c>
      <c r="B22" s="8">
        <f>COUNTIFS(F8:F17,"&lt;&gt;0")</f>
        <v>5</v>
      </c>
    </row>
    <row r="23" spans="1:11" x14ac:dyDescent="0.25">
      <c r="A23" t="s">
        <v>102</v>
      </c>
      <c r="B23">
        <f>COUNTIF(J8:J17,"CRÍTICO")</f>
        <v>0</v>
      </c>
    </row>
    <row r="24" spans="1:11" x14ac:dyDescent="0.25">
      <c r="A24" t="s">
        <v>103</v>
      </c>
      <c r="B24" s="9">
        <f>SUM(I8:I17)</f>
        <v>198600000</v>
      </c>
    </row>
    <row r="25" spans="1:11" x14ac:dyDescent="0.25">
      <c r="A25" t="s">
        <v>104</v>
      </c>
      <c r="B25">
        <f>B22</f>
        <v>5</v>
      </c>
      <c r="C25" t="s">
        <v>105</v>
      </c>
    </row>
    <row r="26" spans="1:11" x14ac:dyDescent="0.25">
      <c r="D26" s="3">
        <f>B24</f>
        <v>198600000</v>
      </c>
    </row>
  </sheetData>
  <mergeCells count="3">
    <mergeCell ref="A2:K2"/>
    <mergeCell ref="A1:K1"/>
    <mergeCell ref="A19:K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baseColWidth="10" defaultColWidth="9.140625" defaultRowHeight="15" x14ac:dyDescent="0.25"/>
  <cols>
    <col min="1" max="1" width="13" customWidth="1"/>
    <col min="2" max="2" width="25" customWidth="1"/>
    <col min="3" max="11" width="13" customWidth="1"/>
  </cols>
  <sheetData>
    <row r="1" spans="1:11" ht="18.75" x14ac:dyDescent="0.25">
      <c r="A1" s="17" t="s">
        <v>106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 t="s">
        <v>107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x14ac:dyDescent="0.25">
      <c r="A4" t="s">
        <v>108</v>
      </c>
      <c r="B4" t="s">
        <v>7</v>
      </c>
    </row>
    <row r="7" spans="1:11" ht="25.5" x14ac:dyDescent="0.25">
      <c r="A7" s="10" t="s">
        <v>109</v>
      </c>
      <c r="B7" s="10" t="s">
        <v>110</v>
      </c>
      <c r="C7" s="10" t="s">
        <v>111</v>
      </c>
      <c r="D7" s="10" t="s">
        <v>65</v>
      </c>
      <c r="E7" s="10" t="s">
        <v>112</v>
      </c>
      <c r="F7" s="10" t="s">
        <v>113</v>
      </c>
      <c r="G7" s="10" t="s">
        <v>114</v>
      </c>
      <c r="H7" s="10" t="s">
        <v>115</v>
      </c>
      <c r="I7" s="10" t="s">
        <v>67</v>
      </c>
      <c r="J7" s="10" t="s">
        <v>71</v>
      </c>
      <c r="K7" s="10" t="s">
        <v>72</v>
      </c>
    </row>
    <row r="8" spans="1:11" x14ac:dyDescent="0.25">
      <c r="A8" t="s">
        <v>116</v>
      </c>
      <c r="B8" t="s">
        <v>117</v>
      </c>
      <c r="C8" s="5">
        <v>8500000</v>
      </c>
      <c r="D8" s="5">
        <v>45</v>
      </c>
      <c r="E8">
        <v>45</v>
      </c>
      <c r="F8">
        <v>45</v>
      </c>
      <c r="G8">
        <v>45</v>
      </c>
      <c r="H8" s="5">
        <f t="shared" ref="H8:H14" si="0">ROUND(AVERAGE(E8:G8),0)</f>
        <v>45</v>
      </c>
      <c r="I8" s="5">
        <f t="shared" ref="I8:I14" si="1">D8-H8</f>
        <v>0</v>
      </c>
      <c r="J8" t="str">
        <f t="shared" ref="J8:J14" si="2">IF(ABS(I8)&gt;0,"ALTO","BAJO")</f>
        <v>BAJO</v>
      </c>
      <c r="K8" t="str">
        <f t="shared" ref="K8:K14" si="3">IF(J8="ALTO","🔴 DIFERENCIA","✓ EXACTO")</f>
        <v>✓ EXACTO</v>
      </c>
    </row>
    <row r="9" spans="1:11" x14ac:dyDescent="0.25">
      <c r="A9" t="s">
        <v>118</v>
      </c>
      <c r="B9" t="s">
        <v>119</v>
      </c>
      <c r="C9" s="5">
        <v>12000000</v>
      </c>
      <c r="D9" s="5">
        <v>12</v>
      </c>
      <c r="E9">
        <v>12</v>
      </c>
      <c r="F9">
        <v>11</v>
      </c>
      <c r="G9">
        <v>12</v>
      </c>
      <c r="H9" s="5">
        <f t="shared" si="0"/>
        <v>12</v>
      </c>
      <c r="I9" s="5">
        <f t="shared" si="1"/>
        <v>0</v>
      </c>
      <c r="J9" t="str">
        <f t="shared" si="2"/>
        <v>BAJO</v>
      </c>
      <c r="K9" t="str">
        <f t="shared" si="3"/>
        <v>✓ EXACTO</v>
      </c>
    </row>
    <row r="10" spans="1:11" x14ac:dyDescent="0.25">
      <c r="A10" t="s">
        <v>120</v>
      </c>
      <c r="B10" t="s">
        <v>121</v>
      </c>
      <c r="C10" s="5">
        <v>5800000</v>
      </c>
      <c r="D10" s="5">
        <v>78</v>
      </c>
      <c r="E10">
        <v>78</v>
      </c>
      <c r="F10">
        <v>78</v>
      </c>
      <c r="G10">
        <v>78</v>
      </c>
      <c r="H10" s="5">
        <f t="shared" si="0"/>
        <v>78</v>
      </c>
      <c r="I10" s="5">
        <f t="shared" si="1"/>
        <v>0</v>
      </c>
      <c r="J10" t="str">
        <f t="shared" si="2"/>
        <v>BAJO</v>
      </c>
      <c r="K10" t="str">
        <f t="shared" si="3"/>
        <v>✓ EXACTO</v>
      </c>
    </row>
    <row r="11" spans="1:11" x14ac:dyDescent="0.25">
      <c r="A11" t="s">
        <v>122</v>
      </c>
      <c r="B11" t="s">
        <v>123</v>
      </c>
      <c r="C11" s="5">
        <v>15000000</v>
      </c>
      <c r="D11" s="5">
        <v>28</v>
      </c>
      <c r="E11">
        <v>28</v>
      </c>
      <c r="F11">
        <v>27</v>
      </c>
      <c r="G11">
        <v>26</v>
      </c>
      <c r="H11" s="5">
        <f t="shared" si="0"/>
        <v>27</v>
      </c>
      <c r="I11" s="5">
        <f t="shared" si="1"/>
        <v>1</v>
      </c>
      <c r="J11" t="str">
        <f t="shared" si="2"/>
        <v>ALTO</v>
      </c>
      <c r="K11" t="str">
        <f t="shared" si="3"/>
        <v>🔴 DIFERENCIA</v>
      </c>
    </row>
    <row r="12" spans="1:11" x14ac:dyDescent="0.25">
      <c r="A12" t="s">
        <v>124</v>
      </c>
      <c r="B12" t="s">
        <v>125</v>
      </c>
      <c r="C12" s="5">
        <v>9200000</v>
      </c>
      <c r="D12" s="5">
        <v>52</v>
      </c>
      <c r="E12">
        <v>52</v>
      </c>
      <c r="F12">
        <v>52</v>
      </c>
      <c r="G12">
        <v>52</v>
      </c>
      <c r="H12" s="5">
        <f t="shared" si="0"/>
        <v>52</v>
      </c>
      <c r="I12" s="5">
        <f t="shared" si="1"/>
        <v>0</v>
      </c>
      <c r="J12" t="str">
        <f t="shared" si="2"/>
        <v>BAJO</v>
      </c>
      <c r="K12" t="str">
        <f t="shared" si="3"/>
        <v>✓ EXACTO</v>
      </c>
    </row>
    <row r="13" spans="1:11" x14ac:dyDescent="0.25">
      <c r="A13" t="s">
        <v>126</v>
      </c>
      <c r="B13" t="s">
        <v>127</v>
      </c>
      <c r="C13" s="5">
        <v>18500000</v>
      </c>
      <c r="D13" s="5">
        <v>8</v>
      </c>
      <c r="E13">
        <v>8</v>
      </c>
      <c r="F13">
        <v>7</v>
      </c>
      <c r="G13">
        <v>8</v>
      </c>
      <c r="H13" s="5">
        <f t="shared" si="0"/>
        <v>8</v>
      </c>
      <c r="I13" s="5">
        <f t="shared" si="1"/>
        <v>0</v>
      </c>
      <c r="J13" t="str">
        <f t="shared" si="2"/>
        <v>BAJO</v>
      </c>
      <c r="K13" t="str">
        <f t="shared" si="3"/>
        <v>✓ EXACTO</v>
      </c>
    </row>
    <row r="14" spans="1:11" x14ac:dyDescent="0.25">
      <c r="A14" t="s">
        <v>128</v>
      </c>
      <c r="B14" t="s">
        <v>129</v>
      </c>
      <c r="C14" s="5">
        <v>6700000</v>
      </c>
      <c r="D14" s="5">
        <v>95</v>
      </c>
      <c r="E14">
        <v>95</v>
      </c>
      <c r="F14">
        <v>95</v>
      </c>
      <c r="G14">
        <v>95</v>
      </c>
      <c r="H14" s="5">
        <f t="shared" si="0"/>
        <v>95</v>
      </c>
      <c r="I14" s="5">
        <f t="shared" si="1"/>
        <v>0</v>
      </c>
      <c r="J14" t="str">
        <f t="shared" si="2"/>
        <v>BAJO</v>
      </c>
      <c r="K14" t="str">
        <f t="shared" si="3"/>
        <v>✓ EXACTO</v>
      </c>
    </row>
    <row r="16" spans="1:11" x14ac:dyDescent="0.25">
      <c r="A16" s="19" t="s">
        <v>130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0" ht="15.75" x14ac:dyDescent="0.25">
      <c r="A17" t="s">
        <v>131</v>
      </c>
      <c r="B17">
        <f>COUNTA(A8:A14)</f>
        <v>7</v>
      </c>
      <c r="I17" t="s">
        <v>99</v>
      </c>
      <c r="J17" s="7" t="str">
        <f>IF(B19&gt;2,"ALTO",IF(B19&gt;0,"MEDIO","BAJO"))</f>
        <v>MEDIO</v>
      </c>
    </row>
    <row r="18" spans="1:10" x14ac:dyDescent="0.25">
      <c r="A18" t="s">
        <v>132</v>
      </c>
      <c r="B18">
        <f>COUNTIF(I8:I14,0)</f>
        <v>6</v>
      </c>
    </row>
    <row r="19" spans="1:10" x14ac:dyDescent="0.25">
      <c r="A19" t="s">
        <v>133</v>
      </c>
      <c r="B19" s="8">
        <f>COUNTIFS(I8:I14,"&lt;&gt;0")</f>
        <v>1</v>
      </c>
    </row>
    <row r="20" spans="1:10" x14ac:dyDescent="0.25">
      <c r="A20" t="s">
        <v>134</v>
      </c>
      <c r="B20" s="3">
        <f>SUMPRODUCT(C8:C14,D8:D14)</f>
        <v>2661800000</v>
      </c>
    </row>
    <row r="21" spans="1:10" x14ac:dyDescent="0.25">
      <c r="A21" t="s">
        <v>135</v>
      </c>
      <c r="B21" s="11">
        <f>SUMPRODUCT(C8:C14,ABS(I8:I14))</f>
        <v>15000000</v>
      </c>
    </row>
    <row r="24" spans="1:10" x14ac:dyDescent="0.25">
      <c r="A24" t="s">
        <v>136</v>
      </c>
      <c r="B24">
        <f>B19</f>
        <v>1</v>
      </c>
    </row>
    <row r="25" spans="1:10" x14ac:dyDescent="0.25">
      <c r="D25" s="3">
        <f>B21</f>
        <v>15000000</v>
      </c>
    </row>
  </sheetData>
  <mergeCells count="3">
    <mergeCell ref="A2:K2"/>
    <mergeCell ref="A16:K16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baseColWidth="10" defaultColWidth="9.140625" defaultRowHeight="15" x14ac:dyDescent="0.25"/>
  <cols>
    <col min="1" max="2" width="16" customWidth="1"/>
    <col min="3" max="4" width="20" customWidth="1"/>
    <col min="5" max="10" width="16" customWidth="1"/>
  </cols>
  <sheetData>
    <row r="1" spans="1:10" ht="18.75" x14ac:dyDescent="0.25">
      <c r="A1" s="17" t="s">
        <v>137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138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139</v>
      </c>
      <c r="B4" t="s">
        <v>140</v>
      </c>
    </row>
    <row r="7" spans="1:10" x14ac:dyDescent="0.25">
      <c r="A7" s="10" t="s">
        <v>141</v>
      </c>
      <c r="B7" s="10" t="s">
        <v>142</v>
      </c>
      <c r="C7" s="10" t="s">
        <v>143</v>
      </c>
      <c r="D7" s="10" t="s">
        <v>144</v>
      </c>
      <c r="E7" s="10" t="s">
        <v>110</v>
      </c>
      <c r="F7" s="10" t="s">
        <v>145</v>
      </c>
      <c r="G7" s="10" t="s">
        <v>146</v>
      </c>
      <c r="H7" s="10" t="s">
        <v>147</v>
      </c>
      <c r="I7" s="10" t="s">
        <v>71</v>
      </c>
      <c r="J7" s="10" t="s">
        <v>72</v>
      </c>
    </row>
    <row r="8" spans="1:10" x14ac:dyDescent="0.25">
      <c r="A8" s="4" t="s">
        <v>148</v>
      </c>
      <c r="B8" t="s">
        <v>149</v>
      </c>
      <c r="C8" t="s">
        <v>150</v>
      </c>
      <c r="D8" t="s">
        <v>151</v>
      </c>
      <c r="E8" t="s">
        <v>152</v>
      </c>
      <c r="F8" s="5">
        <v>250</v>
      </c>
      <c r="G8" s="5">
        <v>18500000</v>
      </c>
      <c r="H8" t="s">
        <v>153</v>
      </c>
      <c r="I8" t="str">
        <f>IF(H8="NO","CRÍTICO","BAJO")</f>
        <v>CRÍTICO</v>
      </c>
      <c r="J8" t="str">
        <f>IF(I8="CRÍTICO","⛔ NO CONFIRMADO","✓ CONFIRMADO")</f>
        <v>⛔ NO CONFIRMADO</v>
      </c>
    </row>
    <row r="9" spans="1:10" x14ac:dyDescent="0.25">
      <c r="A9" s="4" t="s">
        <v>154</v>
      </c>
      <c r="B9" t="s">
        <v>155</v>
      </c>
      <c r="C9" t="s">
        <v>78</v>
      </c>
      <c r="D9" t="s">
        <v>156</v>
      </c>
      <c r="E9" t="s">
        <v>157</v>
      </c>
      <c r="F9" s="5">
        <v>180</v>
      </c>
      <c r="G9" s="5">
        <v>12000000</v>
      </c>
      <c r="H9" t="s">
        <v>158</v>
      </c>
      <c r="I9" t="str">
        <f>IF(H9="NO","CRÍTICO","BAJO")</f>
        <v>BAJO</v>
      </c>
      <c r="J9" t="str">
        <f>IF(I9="CRÍTICO","⛔ NO CONFIRMADO","✓ CONFIRMADO")</f>
        <v>✓ CONFIRMADO</v>
      </c>
    </row>
    <row r="10" spans="1:10" x14ac:dyDescent="0.25">
      <c r="A10" s="4" t="s">
        <v>159</v>
      </c>
      <c r="B10" t="s">
        <v>160</v>
      </c>
      <c r="C10" t="s">
        <v>150</v>
      </c>
      <c r="D10" t="s">
        <v>151</v>
      </c>
      <c r="E10" t="s">
        <v>161</v>
      </c>
      <c r="F10" s="5">
        <v>420</v>
      </c>
      <c r="G10" s="5">
        <v>25000000</v>
      </c>
      <c r="H10" t="s">
        <v>153</v>
      </c>
      <c r="I10" t="str">
        <f>IF(H10="NO","CRÍTICO","BAJO")</f>
        <v>CRÍTICO</v>
      </c>
      <c r="J10" t="str">
        <f>IF(I10="CRÍTICO","⛔ NO CONFIRMADO","✓ CONFIRMADO")</f>
        <v>⛔ NO CONFIRMADO</v>
      </c>
    </row>
    <row r="11" spans="1:10" x14ac:dyDescent="0.25">
      <c r="A11" s="4" t="s">
        <v>7</v>
      </c>
      <c r="B11" t="s">
        <v>162</v>
      </c>
      <c r="C11" t="s">
        <v>83</v>
      </c>
      <c r="D11" t="s">
        <v>163</v>
      </c>
      <c r="E11" t="s">
        <v>164</v>
      </c>
      <c r="F11" s="5">
        <v>150</v>
      </c>
      <c r="G11" s="5">
        <v>15000000</v>
      </c>
      <c r="H11" t="s">
        <v>153</v>
      </c>
      <c r="I11" t="str">
        <f>IF(H11="NO","CRÍTICO","BAJO")</f>
        <v>CRÍTICO</v>
      </c>
      <c r="J11" t="str">
        <f>IF(I11="CRÍTICO","⛔ NO CONFIRMADO","✓ CONFIRMADO")</f>
        <v>⛔ NO CONFIRMADO</v>
      </c>
    </row>
    <row r="12" spans="1:10" x14ac:dyDescent="0.25">
      <c r="A12" s="4" t="s">
        <v>154</v>
      </c>
      <c r="B12" t="s">
        <v>165</v>
      </c>
      <c r="C12" t="s">
        <v>78</v>
      </c>
      <c r="D12" t="s">
        <v>90</v>
      </c>
      <c r="E12" t="s">
        <v>166</v>
      </c>
      <c r="F12" s="5">
        <v>320</v>
      </c>
      <c r="G12" s="5">
        <v>8500000</v>
      </c>
      <c r="H12" t="s">
        <v>158</v>
      </c>
      <c r="I12" t="str">
        <f>IF(H12="NO","CRÍTICO","BAJO")</f>
        <v>BAJO</v>
      </c>
      <c r="J12" t="str">
        <f>IF(I12="CRÍTICO","⛔ NO CONFIRMADO","✓ CONFIRMADO")</f>
        <v>✓ CONFIRMADO</v>
      </c>
    </row>
    <row r="14" spans="1:10" x14ac:dyDescent="0.25">
      <c r="A14" s="19" t="s">
        <v>167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t="s">
        <v>168</v>
      </c>
      <c r="B15">
        <f>COUNTA(B8:B12)</f>
        <v>5</v>
      </c>
    </row>
    <row r="16" spans="1:10" ht="15.75" x14ac:dyDescent="0.25">
      <c r="A16" t="s">
        <v>169</v>
      </c>
      <c r="B16" s="8">
        <f>COUNTIF(H8:H12,"NO")</f>
        <v>3</v>
      </c>
      <c r="H16" t="s">
        <v>99</v>
      </c>
      <c r="I16" s="7" t="str">
        <f>IF(B16&gt;2,"CRÍTICO",IF(B16&gt;0,"ALTO","BAJO"))</f>
        <v>CRÍTICO</v>
      </c>
    </row>
    <row r="17" spans="1:4" x14ac:dyDescent="0.25">
      <c r="A17" t="s">
        <v>170</v>
      </c>
      <c r="B17" s="9">
        <f>SUMIF(H8:H12,"NO",G8:G12)</f>
        <v>58500000</v>
      </c>
    </row>
    <row r="22" spans="1:4" x14ac:dyDescent="0.25">
      <c r="A22" t="s">
        <v>171</v>
      </c>
      <c r="B22">
        <f>B16</f>
        <v>3</v>
      </c>
      <c r="C22" t="s">
        <v>172</v>
      </c>
    </row>
    <row r="23" spans="1:4" x14ac:dyDescent="0.25">
      <c r="D23" s="3">
        <f>B17</f>
        <v>58500000</v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baseColWidth="10" defaultColWidth="9.140625" defaultRowHeight="15" x14ac:dyDescent="0.25"/>
  <cols>
    <col min="1" max="1" width="13" customWidth="1"/>
    <col min="2" max="2" width="25" customWidth="1"/>
    <col min="3" max="11" width="13" customWidth="1"/>
  </cols>
  <sheetData>
    <row r="1" spans="1:11" ht="18.75" x14ac:dyDescent="0.25">
      <c r="A1" s="17" t="s">
        <v>173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 t="s">
        <v>174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x14ac:dyDescent="0.25">
      <c r="A4" t="s">
        <v>175</v>
      </c>
      <c r="B4" t="s">
        <v>176</v>
      </c>
    </row>
    <row r="7" spans="1:11" ht="25.5" x14ac:dyDescent="0.25">
      <c r="A7" s="10" t="s">
        <v>177</v>
      </c>
      <c r="B7" s="10" t="s">
        <v>110</v>
      </c>
      <c r="C7" s="10" t="s">
        <v>178</v>
      </c>
      <c r="D7" s="10" t="s">
        <v>179</v>
      </c>
      <c r="E7" s="10" t="s">
        <v>180</v>
      </c>
      <c r="F7" s="10" t="s">
        <v>181</v>
      </c>
      <c r="G7" s="10" t="s">
        <v>182</v>
      </c>
      <c r="H7" s="10" t="s">
        <v>183</v>
      </c>
      <c r="I7" s="10" t="s">
        <v>67</v>
      </c>
      <c r="J7" s="10" t="s">
        <v>71</v>
      </c>
      <c r="K7" s="10" t="s">
        <v>72</v>
      </c>
    </row>
    <row r="8" spans="1:11" x14ac:dyDescent="0.25">
      <c r="A8" t="s">
        <v>184</v>
      </c>
      <c r="B8" t="s">
        <v>185</v>
      </c>
      <c r="C8" s="5">
        <v>450</v>
      </c>
      <c r="D8" s="5">
        <v>85000</v>
      </c>
      <c r="E8" s="5">
        <f t="shared" ref="E8:E13" si="0">C8*D8</f>
        <v>38250000</v>
      </c>
      <c r="F8" s="12">
        <v>220</v>
      </c>
      <c r="G8" s="5">
        <f t="shared" ref="G8:G13" si="1">IF(F8&gt;=360,E8,IF(F8&gt;=180,E8*0.5,0))</f>
        <v>19125000</v>
      </c>
      <c r="H8" s="5">
        <v>0</v>
      </c>
      <c r="I8" s="5">
        <f t="shared" ref="I8:I13" si="2">G8-H8</f>
        <v>19125000</v>
      </c>
      <c r="J8" t="str">
        <f t="shared" ref="J8:J13" si="3">IF(I8&gt;E8*0.3,"ALTO",IF(I8&gt;0,"MEDIO","BAJO"))</f>
        <v>ALTO</v>
      </c>
      <c r="K8" t="str">
        <f t="shared" ref="K8:K13" si="4">IF(J8="ALTO","🔴 SUBPROVISIONADO",IF(J8="MEDIO","⚠ REVISAR","✓ OK"))</f>
        <v>🔴 SUBPROVISIONADO</v>
      </c>
    </row>
    <row r="9" spans="1:11" x14ac:dyDescent="0.25">
      <c r="A9" t="s">
        <v>186</v>
      </c>
      <c r="B9" t="s">
        <v>187</v>
      </c>
      <c r="C9" s="5">
        <v>280</v>
      </c>
      <c r="D9" s="5">
        <v>125000</v>
      </c>
      <c r="E9" s="5">
        <f t="shared" si="0"/>
        <v>35000000</v>
      </c>
      <c r="F9" s="12">
        <v>90</v>
      </c>
      <c r="G9" s="5">
        <f t="shared" si="1"/>
        <v>0</v>
      </c>
      <c r="H9" s="5">
        <v>15000000</v>
      </c>
      <c r="I9" s="5">
        <f t="shared" si="2"/>
        <v>-15000000</v>
      </c>
      <c r="J9" t="str">
        <f t="shared" si="3"/>
        <v>BAJO</v>
      </c>
      <c r="K9" t="str">
        <f t="shared" si="4"/>
        <v>✓ OK</v>
      </c>
    </row>
    <row r="10" spans="1:11" x14ac:dyDescent="0.25">
      <c r="A10" t="s">
        <v>188</v>
      </c>
      <c r="B10" t="s">
        <v>189</v>
      </c>
      <c r="C10" s="5">
        <v>820</v>
      </c>
      <c r="D10" s="5">
        <v>45000</v>
      </c>
      <c r="E10" s="5">
        <f t="shared" si="0"/>
        <v>36900000</v>
      </c>
      <c r="F10" s="12">
        <v>420</v>
      </c>
      <c r="G10" s="5">
        <f t="shared" si="1"/>
        <v>36900000</v>
      </c>
      <c r="H10" s="5">
        <v>0</v>
      </c>
      <c r="I10" s="5">
        <f t="shared" si="2"/>
        <v>36900000</v>
      </c>
      <c r="J10" t="str">
        <f t="shared" si="3"/>
        <v>ALTO</v>
      </c>
      <c r="K10" t="str">
        <f t="shared" si="4"/>
        <v>🔴 SUBPROVISIONADO</v>
      </c>
    </row>
    <row r="11" spans="1:11" x14ac:dyDescent="0.25">
      <c r="A11" t="s">
        <v>190</v>
      </c>
      <c r="B11" t="s">
        <v>191</v>
      </c>
      <c r="C11" s="5">
        <v>1200</v>
      </c>
      <c r="D11" s="5">
        <v>95000</v>
      </c>
      <c r="E11" s="5">
        <f t="shared" si="0"/>
        <v>114000000</v>
      </c>
      <c r="F11" s="12">
        <v>45</v>
      </c>
      <c r="G11" s="5">
        <f t="shared" si="1"/>
        <v>0</v>
      </c>
      <c r="H11" s="5">
        <v>0</v>
      </c>
      <c r="I11" s="5">
        <f t="shared" si="2"/>
        <v>0</v>
      </c>
      <c r="J11" t="str">
        <f t="shared" si="3"/>
        <v>BAJO</v>
      </c>
      <c r="K11" t="str">
        <f t="shared" si="4"/>
        <v>✓ OK</v>
      </c>
    </row>
    <row r="12" spans="1:11" x14ac:dyDescent="0.25">
      <c r="A12" t="s">
        <v>192</v>
      </c>
      <c r="B12" t="s">
        <v>193</v>
      </c>
      <c r="C12" s="5">
        <v>150</v>
      </c>
      <c r="D12" s="5">
        <v>380000</v>
      </c>
      <c r="E12" s="5">
        <f t="shared" si="0"/>
        <v>57000000</v>
      </c>
      <c r="F12" s="12">
        <v>540</v>
      </c>
      <c r="G12" s="5">
        <f t="shared" si="1"/>
        <v>57000000</v>
      </c>
      <c r="H12" s="5">
        <v>28500000</v>
      </c>
      <c r="I12" s="5">
        <f t="shared" si="2"/>
        <v>28500000</v>
      </c>
      <c r="J12" t="str">
        <f t="shared" si="3"/>
        <v>ALTO</v>
      </c>
      <c r="K12" t="str">
        <f t="shared" si="4"/>
        <v>🔴 SUBPROVISIONADO</v>
      </c>
    </row>
    <row r="13" spans="1:11" x14ac:dyDescent="0.25">
      <c r="A13" t="s">
        <v>194</v>
      </c>
      <c r="B13" t="s">
        <v>195</v>
      </c>
      <c r="C13" s="5">
        <v>680</v>
      </c>
      <c r="D13" s="5">
        <v>52000</v>
      </c>
      <c r="E13" s="5">
        <f t="shared" si="0"/>
        <v>35360000</v>
      </c>
      <c r="F13" s="12">
        <v>210</v>
      </c>
      <c r="G13" s="5">
        <f t="shared" si="1"/>
        <v>17680000</v>
      </c>
      <c r="H13" s="5">
        <v>0</v>
      </c>
      <c r="I13" s="5">
        <f t="shared" si="2"/>
        <v>17680000</v>
      </c>
      <c r="J13" t="str">
        <f t="shared" si="3"/>
        <v>ALTO</v>
      </c>
      <c r="K13" t="str">
        <f t="shared" si="4"/>
        <v>🔴 SUBPROVISIONADO</v>
      </c>
    </row>
    <row r="15" spans="1:11" x14ac:dyDescent="0.25">
      <c r="A15" s="19" t="s">
        <v>196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t="s">
        <v>197</v>
      </c>
      <c r="B16">
        <f>COUNTIF(F8:F13,"&gt;=180")</f>
        <v>4</v>
      </c>
    </row>
    <row r="17" spans="1:10" ht="15.75" x14ac:dyDescent="0.25">
      <c r="A17" t="s">
        <v>198</v>
      </c>
      <c r="B17" s="8">
        <f>COUNTIF(I8:I13,"&gt;0")</f>
        <v>4</v>
      </c>
      <c r="I17" t="s">
        <v>99</v>
      </c>
      <c r="J17" s="7" t="str">
        <f>IF(B20/B18&gt;0.5,"ALTO",IF(B20&gt;0,"MEDIO","BAJO"))</f>
        <v>ALTO</v>
      </c>
    </row>
    <row r="18" spans="1:10" x14ac:dyDescent="0.25">
      <c r="A18" t="s">
        <v>199</v>
      </c>
      <c r="B18" s="3">
        <f>SUM(G8:G13)</f>
        <v>130705000</v>
      </c>
    </row>
    <row r="19" spans="1:10" x14ac:dyDescent="0.25">
      <c r="A19" t="s">
        <v>200</v>
      </c>
      <c r="B19" s="3">
        <f>SUM(H8:H13)</f>
        <v>43500000</v>
      </c>
    </row>
    <row r="20" spans="1:10" x14ac:dyDescent="0.25">
      <c r="A20" t="s">
        <v>201</v>
      </c>
      <c r="B20" s="9">
        <f>B18-B19</f>
        <v>87205000</v>
      </c>
    </row>
    <row r="24" spans="1:10" x14ac:dyDescent="0.25">
      <c r="A24" t="s">
        <v>202</v>
      </c>
      <c r="B24">
        <f>B20</f>
        <v>87205000</v>
      </c>
      <c r="C24" t="s">
        <v>203</v>
      </c>
    </row>
    <row r="25" spans="1:10" x14ac:dyDescent="0.25">
      <c r="D25" s="3">
        <f>B20</f>
        <v>87205000</v>
      </c>
    </row>
  </sheetData>
  <mergeCells count="3">
    <mergeCell ref="A2:K2"/>
    <mergeCell ref="A15:K15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1"/>
    </sheetView>
  </sheetViews>
  <sheetFormatPr baseColWidth="10" defaultColWidth="9.140625" defaultRowHeight="15" x14ac:dyDescent="0.25"/>
  <cols>
    <col min="1" max="1" width="18" customWidth="1"/>
    <col min="2" max="9" width="15" customWidth="1"/>
    <col min="10" max="10" width="22" customWidth="1"/>
  </cols>
  <sheetData>
    <row r="1" spans="1:10" ht="18.75" x14ac:dyDescent="0.25">
      <c r="A1" s="17" t="s">
        <v>204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205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206</v>
      </c>
      <c r="B4" t="s">
        <v>7</v>
      </c>
    </row>
    <row r="7" spans="1:10" ht="25.5" x14ac:dyDescent="0.25">
      <c r="A7" s="10" t="s">
        <v>110</v>
      </c>
      <c r="B7" s="10" t="s">
        <v>207</v>
      </c>
      <c r="C7" s="10" t="s">
        <v>145</v>
      </c>
      <c r="D7" s="10" t="s">
        <v>146</v>
      </c>
      <c r="E7" s="10" t="s">
        <v>208</v>
      </c>
      <c r="F7" s="10" t="s">
        <v>209</v>
      </c>
      <c r="G7" s="10" t="s">
        <v>210</v>
      </c>
      <c r="H7" s="10" t="s">
        <v>71</v>
      </c>
      <c r="I7" s="10" t="s">
        <v>72</v>
      </c>
      <c r="J7" s="10" t="s">
        <v>211</v>
      </c>
    </row>
    <row r="8" spans="1:10" x14ac:dyDescent="0.25">
      <c r="A8" t="s">
        <v>212</v>
      </c>
      <c r="B8" t="s">
        <v>213</v>
      </c>
      <c r="C8" s="5">
        <v>450</v>
      </c>
      <c r="D8" s="5">
        <v>28500000</v>
      </c>
      <c r="E8" t="s">
        <v>214</v>
      </c>
      <c r="F8" t="s">
        <v>215</v>
      </c>
      <c r="G8" t="s">
        <v>158</v>
      </c>
      <c r="H8" t="str">
        <f>IF(AND(E8="Consignación",G8="SÍ"),"CRÍTICO",IF(AND(E8="Propio",G8="NO"),"ALTO","BAJO"))</f>
        <v>BAJO</v>
      </c>
      <c r="I8" t="str">
        <f>IF(H8="CRÍTICO","⛔ MAL REGISTRADO",IF(H8="ALTO","🔴 ERROR","✓ CORRECTO"))</f>
        <v>✓ CORRECTO</v>
      </c>
      <c r="J8" t="str">
        <f>IF(H8="CRÍTICO","Excluir de inventario",IF(H8="ALTO","Verificar factura","Ninguna"))</f>
        <v>Ninguna</v>
      </c>
    </row>
    <row r="9" spans="1:10" x14ac:dyDescent="0.25">
      <c r="A9" t="s">
        <v>216</v>
      </c>
      <c r="B9" t="s">
        <v>217</v>
      </c>
      <c r="C9" s="5">
        <v>280</v>
      </c>
      <c r="D9" s="5">
        <v>45000000</v>
      </c>
      <c r="E9" t="s">
        <v>218</v>
      </c>
      <c r="F9" t="s">
        <v>219</v>
      </c>
      <c r="G9" t="s">
        <v>158</v>
      </c>
      <c r="H9" t="str">
        <f>IF(AND(E9="Consignación",G9="SÍ"),"CRÍTICO",IF(AND(E9="Propio",G9="NO"),"ALTO","BAJO"))</f>
        <v>CRÍTICO</v>
      </c>
      <c r="I9" t="str">
        <f>IF(H9="CRÍTICO","⛔ MAL REGISTRADO",IF(H9="ALTO","🔴 ERROR","✓ CORRECTO"))</f>
        <v>⛔ MAL REGISTRADO</v>
      </c>
      <c r="J9" t="str">
        <f>IF(H9="CRÍTICO","Excluir de inventario",IF(H9="ALTO","Verificar factura","Ninguna"))</f>
        <v>Excluir de inventario</v>
      </c>
    </row>
    <row r="10" spans="1:10" x14ac:dyDescent="0.25">
      <c r="A10" t="s">
        <v>80</v>
      </c>
      <c r="B10" t="s">
        <v>220</v>
      </c>
      <c r="C10" s="5">
        <v>820</v>
      </c>
      <c r="D10" s="5">
        <v>18000000</v>
      </c>
      <c r="E10" t="s">
        <v>214</v>
      </c>
      <c r="F10" t="s">
        <v>215</v>
      </c>
      <c r="G10" t="s">
        <v>158</v>
      </c>
      <c r="H10" t="str">
        <f>IF(AND(E10="Consignación",G10="SÍ"),"CRÍTICO",IF(AND(E10="Propio",G10="NO"),"ALTO","BAJO"))</f>
        <v>BAJO</v>
      </c>
      <c r="I10" t="str">
        <f>IF(H10="CRÍTICO","⛔ MAL REGISTRADO",IF(H10="ALTO","🔴 ERROR","✓ CORRECTO"))</f>
        <v>✓ CORRECTO</v>
      </c>
      <c r="J10" t="str">
        <f>IF(H10="CRÍTICO","Excluir de inventario",IF(H10="ALTO","Verificar factura","Ninguna"))</f>
        <v>Ninguna</v>
      </c>
    </row>
    <row r="11" spans="1:10" x14ac:dyDescent="0.25">
      <c r="A11" t="s">
        <v>221</v>
      </c>
      <c r="B11" t="s">
        <v>222</v>
      </c>
      <c r="C11" s="5">
        <v>350</v>
      </c>
      <c r="D11" s="5">
        <v>62000000</v>
      </c>
      <c r="E11" t="s">
        <v>218</v>
      </c>
      <c r="F11" t="s">
        <v>223</v>
      </c>
      <c r="G11" t="s">
        <v>153</v>
      </c>
      <c r="H11" t="str">
        <f>IF(AND(E11="Consignación",G11="SÍ"),"CRÍTICO",IF(AND(E11="Propio",G11="NO"),"ALTO","BAJO"))</f>
        <v>BAJO</v>
      </c>
      <c r="I11" t="str">
        <f>IF(H11="CRÍTICO","⛔ MAL REGISTRADO",IF(H11="ALTO","🔴 ERROR","✓ CORRECTO"))</f>
        <v>✓ CORRECTO</v>
      </c>
      <c r="J11" t="str">
        <f>IF(H11="CRÍTICO","Excluir de inventario",IF(H11="ALTO","Verificar factura","Ninguna"))</f>
        <v>Ninguna</v>
      </c>
    </row>
    <row r="12" spans="1:10" x14ac:dyDescent="0.25">
      <c r="A12" t="s">
        <v>224</v>
      </c>
      <c r="B12" t="s">
        <v>225</v>
      </c>
      <c r="C12" s="5">
        <v>180</v>
      </c>
      <c r="D12" s="5">
        <v>35000000</v>
      </c>
      <c r="E12" t="s">
        <v>214</v>
      </c>
      <c r="F12" t="s">
        <v>215</v>
      </c>
      <c r="G12" t="s">
        <v>158</v>
      </c>
      <c r="H12" t="str">
        <f>IF(AND(E12="Consignación",G12="SÍ"),"CRÍTICO",IF(AND(E12="Propio",G12="NO"),"ALTO","BAJO"))</f>
        <v>BAJO</v>
      </c>
      <c r="I12" t="str">
        <f>IF(H12="CRÍTICO","⛔ MAL REGISTRADO",IF(H12="ALTO","🔴 ERROR","✓ CORRECTO"))</f>
        <v>✓ CORRECTO</v>
      </c>
      <c r="J12" t="str">
        <f>IF(H12="CRÍTICO","Excluir de inventario",IF(H12="ALTO","Verificar factura","Ninguna"))</f>
        <v>Ninguna</v>
      </c>
    </row>
    <row r="14" spans="1:10" x14ac:dyDescent="0.25">
      <c r="A14" s="19" t="s">
        <v>226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t="s">
        <v>227</v>
      </c>
      <c r="B15" s="8">
        <f>COUNTIFS(E8:E12,"Consignación",G8:G12,"SÍ")</f>
        <v>1</v>
      </c>
    </row>
    <row r="16" spans="1:10" ht="15.75" x14ac:dyDescent="0.25">
      <c r="A16" t="s">
        <v>228</v>
      </c>
      <c r="B16" s="9">
        <f>SUMIFS(D8:D12,E8:E12,"Consignación",G8:G12,"SÍ")</f>
        <v>45000000</v>
      </c>
      <c r="H16" t="s">
        <v>99</v>
      </c>
      <c r="I16" s="7" t="str">
        <f>IF(B15&gt;0,"CRÍTICO","BAJO")</f>
        <v>CRÍTICO</v>
      </c>
    </row>
    <row r="21" spans="1:4" x14ac:dyDescent="0.25">
      <c r="A21" t="s">
        <v>229</v>
      </c>
      <c r="B21">
        <f>B15</f>
        <v>1</v>
      </c>
      <c r="C21" t="s">
        <v>230</v>
      </c>
    </row>
    <row r="22" spans="1:4" x14ac:dyDescent="0.25">
      <c r="D22" s="3">
        <f>B16</f>
        <v>45000000</v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sqref="A1:K1"/>
    </sheetView>
  </sheetViews>
  <sheetFormatPr baseColWidth="10" defaultColWidth="9.140625" defaultRowHeight="15" x14ac:dyDescent="0.25"/>
  <cols>
    <col min="1" max="4" width="12" customWidth="1"/>
    <col min="5" max="5" width="16" customWidth="1"/>
    <col min="6" max="11" width="12" customWidth="1"/>
  </cols>
  <sheetData>
    <row r="1" spans="1:11" ht="18.75" x14ac:dyDescent="0.25">
      <c r="A1" s="17" t="s">
        <v>231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 t="s">
        <v>232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x14ac:dyDescent="0.25">
      <c r="A4" t="s">
        <v>233</v>
      </c>
      <c r="B4" t="s">
        <v>7</v>
      </c>
    </row>
    <row r="7" spans="1:11" ht="25.5" x14ac:dyDescent="0.25">
      <c r="A7" s="10" t="s">
        <v>234</v>
      </c>
      <c r="B7" s="10" t="s">
        <v>235</v>
      </c>
      <c r="C7" s="10" t="s">
        <v>236</v>
      </c>
      <c r="D7" s="10" t="s">
        <v>237</v>
      </c>
      <c r="E7" s="10" t="s">
        <v>110</v>
      </c>
      <c r="F7" s="10" t="s">
        <v>145</v>
      </c>
      <c r="G7" s="10" t="s">
        <v>146</v>
      </c>
      <c r="H7" s="10" t="s">
        <v>238</v>
      </c>
      <c r="I7" s="10" t="s">
        <v>239</v>
      </c>
      <c r="J7" s="10" t="s">
        <v>71</v>
      </c>
      <c r="K7" s="10" t="s">
        <v>72</v>
      </c>
    </row>
    <row r="8" spans="1:11" x14ac:dyDescent="0.25">
      <c r="A8" t="s">
        <v>240</v>
      </c>
      <c r="B8" t="s">
        <v>241</v>
      </c>
      <c r="C8" s="4" t="s">
        <v>148</v>
      </c>
      <c r="D8" s="4" t="s">
        <v>242</v>
      </c>
      <c r="E8" t="s">
        <v>212</v>
      </c>
      <c r="F8" s="5">
        <v>450</v>
      </c>
      <c r="G8" s="5">
        <v>18500000</v>
      </c>
      <c r="H8" t="s">
        <v>243</v>
      </c>
      <c r="I8" t="s">
        <v>244</v>
      </c>
      <c r="J8" t="str">
        <f t="shared" ref="J8:J17" si="0">IF(H8&lt;&gt;I8,"ALTO","BAJO")</f>
        <v>ALTO</v>
      </c>
      <c r="K8" t="str">
        <f t="shared" ref="K8:K17" si="1">IF(J8="ALTO","🔴 ERROR CUTOFF","✓ CORRECTO")</f>
        <v>🔴 ERROR CUTOFF</v>
      </c>
    </row>
    <row r="9" spans="1:11" x14ac:dyDescent="0.25">
      <c r="A9" t="s">
        <v>240</v>
      </c>
      <c r="B9" t="s">
        <v>245</v>
      </c>
      <c r="C9" s="4" t="s">
        <v>154</v>
      </c>
      <c r="D9" s="4" t="s">
        <v>154</v>
      </c>
      <c r="E9" t="s">
        <v>216</v>
      </c>
      <c r="F9" s="5">
        <v>280</v>
      </c>
      <c r="G9" s="5">
        <v>12000000</v>
      </c>
      <c r="H9" t="s">
        <v>244</v>
      </c>
      <c r="I9" t="s">
        <v>244</v>
      </c>
      <c r="J9" t="str">
        <f t="shared" si="0"/>
        <v>BAJO</v>
      </c>
      <c r="K9" t="str">
        <f t="shared" si="1"/>
        <v>✓ CORRECTO</v>
      </c>
    </row>
    <row r="10" spans="1:11" x14ac:dyDescent="0.25">
      <c r="A10" t="s">
        <v>240</v>
      </c>
      <c r="B10" t="s">
        <v>246</v>
      </c>
      <c r="C10" s="4" t="s">
        <v>159</v>
      </c>
      <c r="D10" s="4" t="s">
        <v>247</v>
      </c>
      <c r="E10" t="s">
        <v>80</v>
      </c>
      <c r="F10" s="5">
        <v>820</v>
      </c>
      <c r="G10" s="5">
        <v>25000000</v>
      </c>
      <c r="H10" t="s">
        <v>243</v>
      </c>
      <c r="I10" t="s">
        <v>244</v>
      </c>
      <c r="J10" t="str">
        <f t="shared" si="0"/>
        <v>ALTO</v>
      </c>
      <c r="K10" t="str">
        <f t="shared" si="1"/>
        <v>🔴 ERROR CUTOFF</v>
      </c>
    </row>
    <row r="11" spans="1:11" x14ac:dyDescent="0.25">
      <c r="A11" t="s">
        <v>248</v>
      </c>
      <c r="B11" t="s">
        <v>249</v>
      </c>
      <c r="C11" s="4" t="s">
        <v>7</v>
      </c>
      <c r="D11" s="4" t="s">
        <v>7</v>
      </c>
      <c r="E11" t="s">
        <v>250</v>
      </c>
      <c r="F11" s="5">
        <v>350</v>
      </c>
      <c r="G11" s="5">
        <v>35000000</v>
      </c>
      <c r="H11" t="s">
        <v>244</v>
      </c>
      <c r="I11" t="s">
        <v>244</v>
      </c>
      <c r="J11" t="str">
        <f t="shared" si="0"/>
        <v>BAJO</v>
      </c>
      <c r="K11" t="str">
        <f t="shared" si="1"/>
        <v>✓ CORRECTO</v>
      </c>
    </row>
    <row r="12" spans="1:11" x14ac:dyDescent="0.25">
      <c r="A12" t="s">
        <v>248</v>
      </c>
      <c r="B12" t="s">
        <v>251</v>
      </c>
      <c r="C12" s="4" t="s">
        <v>7</v>
      </c>
      <c r="D12" s="4" t="s">
        <v>252</v>
      </c>
      <c r="E12" t="s">
        <v>253</v>
      </c>
      <c r="F12" s="5">
        <v>180</v>
      </c>
      <c r="G12" s="5">
        <v>22000000</v>
      </c>
      <c r="H12" t="s">
        <v>244</v>
      </c>
      <c r="I12" t="s">
        <v>244</v>
      </c>
      <c r="J12" t="str">
        <f t="shared" si="0"/>
        <v>BAJO</v>
      </c>
      <c r="K12" t="str">
        <f t="shared" si="1"/>
        <v>✓ CORRECTO</v>
      </c>
    </row>
    <row r="13" spans="1:11" x14ac:dyDescent="0.25">
      <c r="A13" t="s">
        <v>240</v>
      </c>
      <c r="B13" t="s">
        <v>254</v>
      </c>
      <c r="C13" s="4" t="s">
        <v>242</v>
      </c>
      <c r="D13" s="4" t="s">
        <v>242</v>
      </c>
      <c r="E13" t="s">
        <v>255</v>
      </c>
      <c r="F13" s="5">
        <v>520</v>
      </c>
      <c r="G13" s="5">
        <v>28000000</v>
      </c>
      <c r="H13" t="s">
        <v>243</v>
      </c>
      <c r="I13" t="s">
        <v>243</v>
      </c>
      <c r="J13" t="str">
        <f t="shared" si="0"/>
        <v>BAJO</v>
      </c>
      <c r="K13" t="str">
        <f t="shared" si="1"/>
        <v>✓ CORRECTO</v>
      </c>
    </row>
    <row r="14" spans="1:11" x14ac:dyDescent="0.25">
      <c r="A14" t="s">
        <v>240</v>
      </c>
      <c r="B14" t="s">
        <v>256</v>
      </c>
      <c r="C14" s="4" t="s">
        <v>247</v>
      </c>
      <c r="D14" s="4" t="s">
        <v>247</v>
      </c>
      <c r="E14" t="s">
        <v>257</v>
      </c>
      <c r="F14" s="5">
        <v>380</v>
      </c>
      <c r="G14" s="5">
        <v>15000000</v>
      </c>
      <c r="H14" t="s">
        <v>243</v>
      </c>
      <c r="I14" t="s">
        <v>243</v>
      </c>
      <c r="J14" t="str">
        <f t="shared" si="0"/>
        <v>BAJO</v>
      </c>
      <c r="K14" t="str">
        <f t="shared" si="1"/>
        <v>✓ CORRECTO</v>
      </c>
    </row>
    <row r="15" spans="1:11" x14ac:dyDescent="0.25">
      <c r="A15" t="s">
        <v>248</v>
      </c>
      <c r="B15" t="s">
        <v>258</v>
      </c>
      <c r="C15" s="4" t="s">
        <v>242</v>
      </c>
      <c r="D15" s="4" t="s">
        <v>242</v>
      </c>
      <c r="E15" t="s">
        <v>259</v>
      </c>
      <c r="F15" s="5">
        <v>240</v>
      </c>
      <c r="G15" s="5">
        <v>18500000</v>
      </c>
      <c r="H15" t="s">
        <v>243</v>
      </c>
      <c r="I15" t="s">
        <v>243</v>
      </c>
      <c r="J15" t="str">
        <f t="shared" si="0"/>
        <v>BAJO</v>
      </c>
      <c r="K15" t="str">
        <f t="shared" si="1"/>
        <v>✓ CORRECTO</v>
      </c>
    </row>
    <row r="16" spans="1:11" x14ac:dyDescent="0.25">
      <c r="A16" t="s">
        <v>248</v>
      </c>
      <c r="B16" t="s">
        <v>260</v>
      </c>
      <c r="C16" s="4" t="s">
        <v>247</v>
      </c>
      <c r="D16" s="4" t="s">
        <v>247</v>
      </c>
      <c r="E16" t="s">
        <v>261</v>
      </c>
      <c r="F16" s="5">
        <v>420</v>
      </c>
      <c r="G16" s="5">
        <v>32000000</v>
      </c>
      <c r="H16" t="s">
        <v>243</v>
      </c>
      <c r="I16" t="s">
        <v>243</v>
      </c>
      <c r="J16" t="str">
        <f t="shared" si="0"/>
        <v>BAJO</v>
      </c>
      <c r="K16" t="str">
        <f t="shared" si="1"/>
        <v>✓ CORRECTO</v>
      </c>
    </row>
    <row r="17" spans="1:11" x14ac:dyDescent="0.25">
      <c r="A17" t="s">
        <v>240</v>
      </c>
      <c r="B17" t="s">
        <v>262</v>
      </c>
      <c r="C17" s="4" t="s">
        <v>252</v>
      </c>
      <c r="D17" s="4" t="s">
        <v>252</v>
      </c>
      <c r="E17" t="s">
        <v>263</v>
      </c>
      <c r="F17" s="5">
        <v>680</v>
      </c>
      <c r="G17" s="5">
        <v>19500000</v>
      </c>
      <c r="H17" t="s">
        <v>243</v>
      </c>
      <c r="I17" t="s">
        <v>243</v>
      </c>
      <c r="J17" t="str">
        <f t="shared" si="0"/>
        <v>BAJO</v>
      </c>
      <c r="K17" t="str">
        <f t="shared" si="1"/>
        <v>✓ CORRECTO</v>
      </c>
    </row>
    <row r="19" spans="1:11" x14ac:dyDescent="0.25">
      <c r="A19" s="19" t="s">
        <v>264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15.75" x14ac:dyDescent="0.25">
      <c r="A20" t="s">
        <v>265</v>
      </c>
      <c r="B20">
        <f>COUNTA(A8:A17)</f>
        <v>10</v>
      </c>
      <c r="I20" t="s">
        <v>99</v>
      </c>
      <c r="J20" s="7" t="str">
        <f>IF(B21&gt;2,"ALTO",IF(B21&gt;0,"MEDIO","BAJO"))</f>
        <v>MEDIO</v>
      </c>
    </row>
    <row r="21" spans="1:11" x14ac:dyDescent="0.25">
      <c r="A21" t="s">
        <v>266</v>
      </c>
      <c r="B21" s="8">
        <f>COUNTIF(J8:J17,"ALTO")</f>
        <v>2</v>
      </c>
    </row>
    <row r="22" spans="1:11" x14ac:dyDescent="0.25">
      <c r="A22" t="s">
        <v>267</v>
      </c>
      <c r="B22" s="9">
        <f>SUMIF(J8:J17,"ALTO",G8:G17)</f>
        <v>43500000</v>
      </c>
    </row>
    <row r="23" spans="1:11" x14ac:dyDescent="0.25">
      <c r="A23" t="s">
        <v>268</v>
      </c>
      <c r="B23">
        <f>B21</f>
        <v>2</v>
      </c>
    </row>
    <row r="24" spans="1:11" x14ac:dyDescent="0.25">
      <c r="D24" s="3">
        <f>B22</f>
        <v>43500000</v>
      </c>
    </row>
  </sheetData>
  <mergeCells count="3">
    <mergeCell ref="A2:K2"/>
    <mergeCell ref="A1:K1"/>
    <mergeCell ref="A19:K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sqref="A1:K1"/>
    </sheetView>
  </sheetViews>
  <sheetFormatPr baseColWidth="10" defaultColWidth="9.140625" defaultRowHeight="15" x14ac:dyDescent="0.25"/>
  <cols>
    <col min="1" max="1" width="18" customWidth="1"/>
    <col min="2" max="10" width="13" customWidth="1"/>
    <col min="11" max="11" width="20" customWidth="1"/>
  </cols>
  <sheetData>
    <row r="1" spans="1:11" ht="18.75" x14ac:dyDescent="0.25">
      <c r="A1" s="17" t="s">
        <v>269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 t="s">
        <v>270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x14ac:dyDescent="0.25">
      <c r="A4" t="s">
        <v>271</v>
      </c>
      <c r="B4" t="s">
        <v>244</v>
      </c>
    </row>
    <row r="7" spans="1:11" ht="25.5" x14ac:dyDescent="0.25">
      <c r="A7" s="10" t="s">
        <v>272</v>
      </c>
      <c r="B7" s="10" t="s">
        <v>273</v>
      </c>
      <c r="C7" s="10" t="s">
        <v>274</v>
      </c>
      <c r="D7" s="10" t="s">
        <v>275</v>
      </c>
      <c r="E7" s="10" t="s">
        <v>276</v>
      </c>
      <c r="F7" s="10" t="s">
        <v>277</v>
      </c>
      <c r="G7" s="10" t="s">
        <v>278</v>
      </c>
      <c r="H7" s="10" t="s">
        <v>279</v>
      </c>
      <c r="I7" s="10" t="s">
        <v>71</v>
      </c>
      <c r="J7" s="10" t="s">
        <v>72</v>
      </c>
      <c r="K7" s="10" t="s">
        <v>211</v>
      </c>
    </row>
    <row r="8" spans="1:11" x14ac:dyDescent="0.25">
      <c r="A8" t="s">
        <v>280</v>
      </c>
      <c r="B8" s="5">
        <v>850000000</v>
      </c>
      <c r="C8" s="5">
        <v>510000000</v>
      </c>
      <c r="D8" s="5">
        <f t="shared" ref="D8:D13" si="0">B8-C8</f>
        <v>340000000</v>
      </c>
      <c r="E8" s="6">
        <f t="shared" ref="E8:E13" si="1">IF(B8=0,0,D8/B8)</f>
        <v>0.4</v>
      </c>
      <c r="F8" s="6">
        <v>0.4</v>
      </c>
      <c r="G8" s="6">
        <f t="shared" ref="G8:G13" si="2">E8-F8</f>
        <v>0</v>
      </c>
      <c r="H8" s="6">
        <f t="shared" ref="H8:H13" si="3">IF(F8=0,0,G8/F8)</f>
        <v>0</v>
      </c>
      <c r="I8" t="str">
        <f t="shared" ref="I8:I13" si="4">IF(ABS(H8)&gt;0.4,"CRÍTICO",IF(ABS(H8)&gt;0.25,"ALTO",IF(ABS(H8)&gt;0.1,"MEDIO","BAJO")))</f>
        <v>BAJO</v>
      </c>
      <c r="J8" t="str">
        <f t="shared" ref="J8:J13" si="5">IF(I8="CRÍTICO","🚨 ANÓMALO",IF(I8="ALTO","🔴 DESVIACIÓN",IF(I8="MEDIO","⚠ REVISAR","✓ NORMAL")))</f>
        <v>✓ NORMAL</v>
      </c>
      <c r="K8" t="str">
        <f t="shared" ref="K8:K13" si="6">IF(I8="CRÍTICO","Investigar fraude",IF(I8="ALTO","Analizar causas","Monitoreo"))</f>
        <v>Monitoreo</v>
      </c>
    </row>
    <row r="9" spans="1:11" x14ac:dyDescent="0.25">
      <c r="A9" t="s">
        <v>281</v>
      </c>
      <c r="B9" s="5">
        <v>620000000</v>
      </c>
      <c r="C9" s="5">
        <v>496000000</v>
      </c>
      <c r="D9" s="5">
        <f t="shared" si="0"/>
        <v>124000000</v>
      </c>
      <c r="E9" s="6">
        <f t="shared" si="1"/>
        <v>0.2</v>
      </c>
      <c r="F9" s="6">
        <v>0.2</v>
      </c>
      <c r="G9" s="6">
        <f t="shared" si="2"/>
        <v>0</v>
      </c>
      <c r="H9" s="6">
        <f t="shared" si="3"/>
        <v>0</v>
      </c>
      <c r="I9" t="str">
        <f t="shared" si="4"/>
        <v>BAJO</v>
      </c>
      <c r="J9" t="str">
        <f t="shared" si="5"/>
        <v>✓ NORMAL</v>
      </c>
      <c r="K9" t="str">
        <f t="shared" si="6"/>
        <v>Monitoreo</v>
      </c>
    </row>
    <row r="10" spans="1:11" x14ac:dyDescent="0.25">
      <c r="A10" t="s">
        <v>282</v>
      </c>
      <c r="B10" s="5">
        <v>1200000000</v>
      </c>
      <c r="C10" s="5">
        <v>720000000</v>
      </c>
      <c r="D10" s="5">
        <f t="shared" si="0"/>
        <v>480000000</v>
      </c>
      <c r="E10" s="6">
        <f t="shared" si="1"/>
        <v>0.4</v>
      </c>
      <c r="F10" s="6">
        <v>0.4</v>
      </c>
      <c r="G10" s="6">
        <f t="shared" si="2"/>
        <v>0</v>
      </c>
      <c r="H10" s="6">
        <f t="shared" si="3"/>
        <v>0</v>
      </c>
      <c r="I10" t="str">
        <f t="shared" si="4"/>
        <v>BAJO</v>
      </c>
      <c r="J10" t="str">
        <f t="shared" si="5"/>
        <v>✓ NORMAL</v>
      </c>
      <c r="K10" t="str">
        <f t="shared" si="6"/>
        <v>Monitoreo</v>
      </c>
    </row>
    <row r="11" spans="1:11" x14ac:dyDescent="0.25">
      <c r="A11" t="s">
        <v>283</v>
      </c>
      <c r="B11" s="5">
        <v>380000000</v>
      </c>
      <c r="C11" s="5">
        <v>342000000</v>
      </c>
      <c r="D11" s="5">
        <f t="shared" si="0"/>
        <v>38000000</v>
      </c>
      <c r="E11" s="6">
        <f t="shared" si="1"/>
        <v>0.1</v>
      </c>
      <c r="F11" s="6">
        <v>0.1</v>
      </c>
      <c r="G11" s="6">
        <f t="shared" si="2"/>
        <v>0</v>
      </c>
      <c r="H11" s="6">
        <f t="shared" si="3"/>
        <v>0</v>
      </c>
      <c r="I11" t="str">
        <f t="shared" si="4"/>
        <v>BAJO</v>
      </c>
      <c r="J11" t="str">
        <f t="shared" si="5"/>
        <v>✓ NORMAL</v>
      </c>
      <c r="K11" t="str">
        <f t="shared" si="6"/>
        <v>Monitoreo</v>
      </c>
    </row>
    <row r="12" spans="1:11" x14ac:dyDescent="0.25">
      <c r="A12" t="s">
        <v>284</v>
      </c>
      <c r="B12" s="5">
        <v>550000000</v>
      </c>
      <c r="C12" s="5">
        <v>357500000</v>
      </c>
      <c r="D12" s="5">
        <f t="shared" si="0"/>
        <v>192500000</v>
      </c>
      <c r="E12" s="6">
        <f t="shared" si="1"/>
        <v>0.35</v>
      </c>
      <c r="F12" s="6">
        <v>0.35</v>
      </c>
      <c r="G12" s="6">
        <f t="shared" si="2"/>
        <v>0</v>
      </c>
      <c r="H12" s="6">
        <f t="shared" si="3"/>
        <v>0</v>
      </c>
      <c r="I12" t="str">
        <f t="shared" si="4"/>
        <v>BAJO</v>
      </c>
      <c r="J12" t="str">
        <f t="shared" si="5"/>
        <v>✓ NORMAL</v>
      </c>
      <c r="K12" t="str">
        <f t="shared" si="6"/>
        <v>Monitoreo</v>
      </c>
    </row>
    <row r="13" spans="1:11" x14ac:dyDescent="0.25">
      <c r="A13" t="s">
        <v>285</v>
      </c>
      <c r="B13" s="5">
        <v>420000000</v>
      </c>
      <c r="C13" s="5">
        <v>336000000</v>
      </c>
      <c r="D13" s="5">
        <f t="shared" si="0"/>
        <v>84000000</v>
      </c>
      <c r="E13" s="6">
        <f t="shared" si="1"/>
        <v>0.2</v>
      </c>
      <c r="F13" s="6">
        <v>0.2</v>
      </c>
      <c r="G13" s="6">
        <f t="shared" si="2"/>
        <v>0</v>
      </c>
      <c r="H13" s="6">
        <f t="shared" si="3"/>
        <v>0</v>
      </c>
      <c r="I13" t="str">
        <f t="shared" si="4"/>
        <v>BAJO</v>
      </c>
      <c r="J13" t="str">
        <f t="shared" si="5"/>
        <v>✓ NORMAL</v>
      </c>
      <c r="K13" t="str">
        <f t="shared" si="6"/>
        <v>Monitoreo</v>
      </c>
    </row>
    <row r="15" spans="1:11" x14ac:dyDescent="0.25">
      <c r="A15" s="19" t="s">
        <v>286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t="s">
        <v>287</v>
      </c>
      <c r="B16" s="6">
        <f>SUM(D8:D13)/SUM(B8:B13)</f>
        <v>0.31305970149253731</v>
      </c>
    </row>
    <row r="17" spans="1:10" ht="15.75" x14ac:dyDescent="0.25">
      <c r="A17" t="s">
        <v>288</v>
      </c>
      <c r="B17" s="8">
        <f>COUNTIF(I8:I13,"CRÍTICO")+COUNTIF(I8:I13,"ALTO")</f>
        <v>0</v>
      </c>
      <c r="I17" t="s">
        <v>99</v>
      </c>
      <c r="J17" s="7" t="str">
        <f>IF(COUNTIF(I8:I13,"CRÍTICO")&gt;0,"ALTO",IF(B17&gt;2,"MEDIO","BAJO"))</f>
        <v>BAJO</v>
      </c>
    </row>
    <row r="18" spans="1:10" x14ac:dyDescent="0.25">
      <c r="A18" t="s">
        <v>289</v>
      </c>
      <c r="B18" s="3">
        <f>SUMPRODUCT((E8:E13-F8:F13),B8:B13)</f>
        <v>0</v>
      </c>
    </row>
    <row r="24" spans="1:10" x14ac:dyDescent="0.25">
      <c r="A24" t="s">
        <v>290</v>
      </c>
      <c r="B24">
        <f>B17</f>
        <v>0</v>
      </c>
    </row>
    <row r="25" spans="1:10" x14ac:dyDescent="0.25">
      <c r="D25" s="3">
        <f>ABS(B18)</f>
        <v>0</v>
      </c>
    </row>
  </sheetData>
  <mergeCells count="3">
    <mergeCell ref="A2:K2"/>
    <mergeCell ref="A15:K15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1"/>
    </sheetView>
  </sheetViews>
  <sheetFormatPr baseColWidth="10" defaultColWidth="9.140625" defaultRowHeight="15" x14ac:dyDescent="0.25"/>
  <cols>
    <col min="1" max="1" width="13" customWidth="1"/>
    <col min="2" max="2" width="18" customWidth="1"/>
    <col min="3" max="3" width="16" customWidth="1"/>
    <col min="4" max="10" width="13" customWidth="1"/>
  </cols>
  <sheetData>
    <row r="1" spans="1:10" ht="18.75" x14ac:dyDescent="0.25">
      <c r="A1" s="17" t="s">
        <v>291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292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233</v>
      </c>
      <c r="B4" t="s">
        <v>7</v>
      </c>
    </row>
    <row r="7" spans="1:10" ht="25.5" x14ac:dyDescent="0.25">
      <c r="A7" s="10" t="s">
        <v>293</v>
      </c>
      <c r="B7" s="10" t="s">
        <v>207</v>
      </c>
      <c r="C7" s="10" t="s">
        <v>110</v>
      </c>
      <c r="D7" s="10" t="s">
        <v>146</v>
      </c>
      <c r="E7" s="10" t="s">
        <v>294</v>
      </c>
      <c r="F7" s="10" t="s">
        <v>295</v>
      </c>
      <c r="G7" s="10" t="s">
        <v>296</v>
      </c>
      <c r="H7" s="10" t="s">
        <v>297</v>
      </c>
      <c r="I7" s="10" t="s">
        <v>71</v>
      </c>
      <c r="J7" s="10" t="s">
        <v>72</v>
      </c>
    </row>
    <row r="8" spans="1:10" x14ac:dyDescent="0.25">
      <c r="A8" t="s">
        <v>298</v>
      </c>
      <c r="B8" t="s">
        <v>299</v>
      </c>
      <c r="C8" t="s">
        <v>300</v>
      </c>
      <c r="D8" s="5">
        <v>45000000</v>
      </c>
      <c r="E8" s="4" t="s">
        <v>301</v>
      </c>
      <c r="F8" s="4" t="s">
        <v>302</v>
      </c>
      <c r="G8" s="12">
        <f>$B$4-E8</f>
        <v>16</v>
      </c>
      <c r="H8" t="s">
        <v>158</v>
      </c>
      <c r="I8" t="str">
        <f>IF(H8="NO","ALTO","BAJO")</f>
        <v>BAJO</v>
      </c>
      <c r="J8" t="str">
        <f>IF(I8="ALTO","🔴 NO REGISTRADO","✓ REGISTRADO")</f>
        <v>✓ REGISTRADO</v>
      </c>
    </row>
    <row r="9" spans="1:10" x14ac:dyDescent="0.25">
      <c r="A9" t="s">
        <v>303</v>
      </c>
      <c r="B9" t="s">
        <v>304</v>
      </c>
      <c r="C9" t="s">
        <v>305</v>
      </c>
      <c r="D9" s="5">
        <v>28000000</v>
      </c>
      <c r="E9" s="4" t="s">
        <v>306</v>
      </c>
      <c r="F9" s="4" t="s">
        <v>242</v>
      </c>
      <c r="G9" s="12">
        <f>$B$4-E9</f>
        <v>11</v>
      </c>
      <c r="H9" t="s">
        <v>153</v>
      </c>
      <c r="I9" t="str">
        <f>IF(H9="NO","ALTO","BAJO")</f>
        <v>ALTO</v>
      </c>
      <c r="J9" t="str">
        <f>IF(I9="ALTO","🔴 NO REGISTRADO","✓ REGISTRADO")</f>
        <v>🔴 NO REGISTRADO</v>
      </c>
    </row>
    <row r="10" spans="1:10" x14ac:dyDescent="0.25">
      <c r="A10" t="s">
        <v>307</v>
      </c>
      <c r="B10" t="s">
        <v>308</v>
      </c>
      <c r="C10" t="s">
        <v>309</v>
      </c>
      <c r="D10" s="5">
        <v>82000000</v>
      </c>
      <c r="E10" s="4" t="s">
        <v>310</v>
      </c>
      <c r="F10" s="4" t="s">
        <v>247</v>
      </c>
      <c r="G10" s="12">
        <f>$B$4-E10</f>
        <v>21</v>
      </c>
      <c r="H10" t="s">
        <v>158</v>
      </c>
      <c r="I10" t="str">
        <f>IF(H10="NO","ALTO","BAJO")</f>
        <v>BAJO</v>
      </c>
      <c r="J10" t="str">
        <f>IF(I10="ALTO","🔴 NO REGISTRADO","✓ REGISTRADO")</f>
        <v>✓ REGISTRADO</v>
      </c>
    </row>
    <row r="11" spans="1:10" x14ac:dyDescent="0.25">
      <c r="A11" t="s">
        <v>311</v>
      </c>
      <c r="B11" t="s">
        <v>312</v>
      </c>
      <c r="C11" t="s">
        <v>313</v>
      </c>
      <c r="D11" s="5">
        <v>35000000</v>
      </c>
      <c r="E11" s="4" t="s">
        <v>148</v>
      </c>
      <c r="F11" s="4" t="s">
        <v>314</v>
      </c>
      <c r="G11" s="12">
        <f>$B$4-E11</f>
        <v>3</v>
      </c>
      <c r="H11" t="s">
        <v>153</v>
      </c>
      <c r="I11" t="str">
        <f>IF(H11="NO","ALTO","BAJO")</f>
        <v>ALTO</v>
      </c>
      <c r="J11" t="str">
        <f>IF(I11="ALTO","🔴 NO REGISTRADO","✓ REGISTRADO")</f>
        <v>🔴 NO REGISTRADO</v>
      </c>
    </row>
    <row r="12" spans="1:10" x14ac:dyDescent="0.25">
      <c r="A12" t="s">
        <v>254</v>
      </c>
      <c r="B12" t="s">
        <v>315</v>
      </c>
      <c r="C12" t="s">
        <v>316</v>
      </c>
      <c r="D12" s="5">
        <v>52000000</v>
      </c>
      <c r="E12" s="4" t="s">
        <v>317</v>
      </c>
      <c r="F12" s="4" t="s">
        <v>318</v>
      </c>
      <c r="G12" s="12">
        <f>$B$4-E12</f>
        <v>9</v>
      </c>
      <c r="H12" t="s">
        <v>158</v>
      </c>
      <c r="I12" t="str">
        <f>IF(H12="NO","ALTO","BAJO")</f>
        <v>BAJO</v>
      </c>
      <c r="J12" t="str">
        <f>IF(I12="ALTO","🔴 NO REGISTRADO","✓ REGISTRADO")</f>
        <v>✓ REGISTRADO</v>
      </c>
    </row>
    <row r="14" spans="1:10" x14ac:dyDescent="0.25">
      <c r="A14" s="19" t="s">
        <v>319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t="s">
        <v>320</v>
      </c>
      <c r="B15" s="3">
        <f>SUM(D8:D12)</f>
        <v>242000000</v>
      </c>
    </row>
    <row r="16" spans="1:10" ht="15.75" x14ac:dyDescent="0.25">
      <c r="A16" t="s">
        <v>321</v>
      </c>
      <c r="B16" s="9">
        <f>SUMIF(H8:H12,"NO",D8:D12)</f>
        <v>63000000</v>
      </c>
      <c r="H16" t="s">
        <v>99</v>
      </c>
      <c r="I16" s="7" t="str">
        <f>IF(B16/B15&gt;0.3,"ALTO",IF(B16&gt;0,"MEDIO","BAJO"))</f>
        <v>MEDIO</v>
      </c>
    </row>
    <row r="21" spans="1:4" x14ac:dyDescent="0.25">
      <c r="A21" t="s">
        <v>322</v>
      </c>
      <c r="B21">
        <f>COUNTIF(H8:H12,"NO")</f>
        <v>2</v>
      </c>
    </row>
    <row r="22" spans="1:4" x14ac:dyDescent="0.25">
      <c r="D22" s="3">
        <f>B16</f>
        <v>63000000</v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sqref="A1:J1"/>
    </sheetView>
  </sheetViews>
  <sheetFormatPr baseColWidth="10" defaultColWidth="9.140625" defaultRowHeight="15" x14ac:dyDescent="0.25"/>
  <cols>
    <col min="1" max="2" width="14" customWidth="1"/>
    <col min="3" max="3" width="18" customWidth="1"/>
    <col min="4" max="6" width="14" customWidth="1"/>
    <col min="7" max="7" width="22" customWidth="1"/>
    <col min="8" max="10" width="14" customWidth="1"/>
  </cols>
  <sheetData>
    <row r="1" spans="1:10" ht="18.75" x14ac:dyDescent="0.25">
      <c r="A1" s="17" t="s">
        <v>323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324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271</v>
      </c>
      <c r="B4" t="s">
        <v>244</v>
      </c>
    </row>
    <row r="7" spans="1:10" ht="25.5" x14ac:dyDescent="0.25">
      <c r="A7" s="10" t="s">
        <v>141</v>
      </c>
      <c r="B7" s="10" t="s">
        <v>325</v>
      </c>
      <c r="C7" s="10" t="s">
        <v>110</v>
      </c>
      <c r="D7" s="10" t="s">
        <v>145</v>
      </c>
      <c r="E7" s="10" t="s">
        <v>111</v>
      </c>
      <c r="F7" s="10" t="s">
        <v>180</v>
      </c>
      <c r="G7" s="10" t="s">
        <v>326</v>
      </c>
      <c r="H7" s="10" t="s">
        <v>327</v>
      </c>
      <c r="I7" s="10" t="s">
        <v>71</v>
      </c>
      <c r="J7" s="10" t="s">
        <v>72</v>
      </c>
    </row>
    <row r="8" spans="1:10" x14ac:dyDescent="0.25">
      <c r="A8" s="4" t="s">
        <v>328</v>
      </c>
      <c r="B8" t="s">
        <v>329</v>
      </c>
      <c r="C8" t="s">
        <v>330</v>
      </c>
      <c r="D8" s="5">
        <v>-120</v>
      </c>
      <c r="E8" s="5">
        <v>185000</v>
      </c>
      <c r="F8" s="5">
        <f>ABS(D8)*E8</f>
        <v>22200000</v>
      </c>
      <c r="G8" t="s">
        <v>331</v>
      </c>
      <c r="H8" t="s">
        <v>158</v>
      </c>
      <c r="I8" t="str">
        <f>IF(H8="NO","CRÍTICO","BAJO")</f>
        <v>BAJO</v>
      </c>
      <c r="J8" t="str">
        <f>IF(I8="CRÍTICO","⛔ SIN AUTORIZAR","✓ AUTORIZADO")</f>
        <v>✓ AUTORIZADO</v>
      </c>
    </row>
    <row r="9" spans="1:10" x14ac:dyDescent="0.25">
      <c r="A9" s="4" t="s">
        <v>332</v>
      </c>
      <c r="B9" t="s">
        <v>333</v>
      </c>
      <c r="C9" t="s">
        <v>334</v>
      </c>
      <c r="D9" s="5">
        <v>-850</v>
      </c>
      <c r="E9" s="5">
        <v>95000</v>
      </c>
      <c r="F9" s="5">
        <f>ABS(D9)*E9</f>
        <v>80750000</v>
      </c>
      <c r="G9" t="s">
        <v>335</v>
      </c>
      <c r="H9" t="s">
        <v>153</v>
      </c>
      <c r="I9" t="str">
        <f>IF(H9="NO","CRÍTICO","BAJO")</f>
        <v>CRÍTICO</v>
      </c>
      <c r="J9" t="str">
        <f>IF(I9="CRÍTICO","⛔ SIN AUTORIZAR","✓ AUTORIZADO")</f>
        <v>⛔ SIN AUTORIZAR</v>
      </c>
    </row>
    <row r="10" spans="1:10" x14ac:dyDescent="0.25">
      <c r="A10" s="4" t="s">
        <v>336</v>
      </c>
      <c r="B10" t="s">
        <v>337</v>
      </c>
      <c r="C10" t="s">
        <v>80</v>
      </c>
      <c r="D10" s="5">
        <v>420</v>
      </c>
      <c r="E10" s="5">
        <v>125000</v>
      </c>
      <c r="F10" s="5">
        <f>ABS(D10)*E10</f>
        <v>52500000</v>
      </c>
      <c r="G10" t="s">
        <v>338</v>
      </c>
      <c r="H10" t="s">
        <v>158</v>
      </c>
      <c r="I10" t="str">
        <f>IF(H10="NO","CRÍTICO","BAJO")</f>
        <v>BAJO</v>
      </c>
      <c r="J10" t="str">
        <f>IF(I10="CRÍTICO","⛔ SIN AUTORIZAR","✓ AUTORIZADO")</f>
        <v>✓ AUTORIZADO</v>
      </c>
    </row>
    <row r="11" spans="1:10" x14ac:dyDescent="0.25">
      <c r="A11" s="4" t="s">
        <v>339</v>
      </c>
      <c r="B11" t="s">
        <v>340</v>
      </c>
      <c r="C11" t="s">
        <v>250</v>
      </c>
      <c r="D11" s="5">
        <v>-1250</v>
      </c>
      <c r="E11" s="5">
        <v>280000</v>
      </c>
      <c r="F11" s="5">
        <f>ABS(D11)*E11</f>
        <v>350000000</v>
      </c>
      <c r="G11" t="s">
        <v>341</v>
      </c>
      <c r="H11" t="s">
        <v>153</v>
      </c>
      <c r="I11" t="str">
        <f>IF(H11="NO","CRÍTICO","BAJO")</f>
        <v>CRÍTICO</v>
      </c>
      <c r="J11" t="str">
        <f>IF(I11="CRÍTICO","⛔ SIN AUTORIZAR","✓ AUTORIZADO")</f>
        <v>⛔ SIN AUTORIZAR</v>
      </c>
    </row>
    <row r="12" spans="1:10" x14ac:dyDescent="0.25">
      <c r="A12" s="4" t="s">
        <v>159</v>
      </c>
      <c r="B12" t="s">
        <v>342</v>
      </c>
      <c r="C12" t="s">
        <v>253</v>
      </c>
      <c r="D12" s="5">
        <v>-680</v>
      </c>
      <c r="E12" s="5">
        <v>450000</v>
      </c>
      <c r="F12" s="5">
        <f>ABS(D12)*E12</f>
        <v>306000000</v>
      </c>
      <c r="G12" t="s">
        <v>343</v>
      </c>
      <c r="H12" t="s">
        <v>158</v>
      </c>
      <c r="I12" t="str">
        <f>IF(H12="NO","CRÍTICO","BAJO")</f>
        <v>BAJO</v>
      </c>
      <c r="J12" t="str">
        <f>IF(I12="CRÍTICO","⛔ SIN AUTORIZAR","✓ AUTORIZADO")</f>
        <v>✓ AUTORIZADO</v>
      </c>
    </row>
    <row r="14" spans="1:10" x14ac:dyDescent="0.25">
      <c r="A14" s="19" t="s">
        <v>344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t="s">
        <v>345</v>
      </c>
      <c r="B15">
        <f>COUNTA(B8:B12)</f>
        <v>5</v>
      </c>
    </row>
    <row r="16" spans="1:10" ht="15.75" x14ac:dyDescent="0.25">
      <c r="A16" t="s">
        <v>346</v>
      </c>
      <c r="B16" s="8">
        <f>COUNTIF(H8:H12,"NO")</f>
        <v>2</v>
      </c>
      <c r="H16" t="s">
        <v>99</v>
      </c>
      <c r="I16" s="7" t="str">
        <f>IF(B16&gt;0,"CRÍTICO","BAJO")</f>
        <v>CRÍTICO</v>
      </c>
    </row>
    <row r="17" spans="1:4" x14ac:dyDescent="0.25">
      <c r="A17" t="s">
        <v>347</v>
      </c>
      <c r="B17" s="9">
        <f>SUMIF(H8:H12,"NO",F8:F12)</f>
        <v>430750000</v>
      </c>
    </row>
    <row r="22" spans="1:4" x14ac:dyDescent="0.25">
      <c r="A22" t="s">
        <v>348</v>
      </c>
      <c r="B22">
        <f>B16</f>
        <v>2</v>
      </c>
      <c r="C22" t="s">
        <v>349</v>
      </c>
    </row>
    <row r="23" spans="1:4" x14ac:dyDescent="0.25">
      <c r="D23" s="3">
        <f>B17</f>
        <v>430750000</v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1"/>
    </sheetView>
  </sheetViews>
  <sheetFormatPr baseColWidth="10" defaultColWidth="9.140625" defaultRowHeight="15" x14ac:dyDescent="0.25"/>
  <cols>
    <col min="1" max="1" width="18" customWidth="1"/>
    <col min="2" max="9" width="15" customWidth="1"/>
    <col min="10" max="10" width="22" customWidth="1"/>
  </cols>
  <sheetData>
    <row r="1" spans="1:10" ht="18.75" x14ac:dyDescent="0.25">
      <c r="A1" s="17" t="s">
        <v>350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351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206</v>
      </c>
      <c r="B4" t="s">
        <v>7</v>
      </c>
    </row>
    <row r="7" spans="1:10" ht="25.5" x14ac:dyDescent="0.25">
      <c r="A7" s="10" t="s">
        <v>110</v>
      </c>
      <c r="B7" s="10" t="s">
        <v>145</v>
      </c>
      <c r="C7" s="10" t="s">
        <v>146</v>
      </c>
      <c r="D7" s="10" t="s">
        <v>352</v>
      </c>
      <c r="E7" s="10" t="s">
        <v>353</v>
      </c>
      <c r="F7" s="10" t="s">
        <v>354</v>
      </c>
      <c r="G7" s="10" t="s">
        <v>355</v>
      </c>
      <c r="H7" s="10" t="s">
        <v>71</v>
      </c>
      <c r="I7" s="10" t="s">
        <v>72</v>
      </c>
      <c r="J7" s="10" t="s">
        <v>211</v>
      </c>
    </row>
    <row r="8" spans="1:10" x14ac:dyDescent="0.25">
      <c r="A8" t="s">
        <v>330</v>
      </c>
      <c r="B8" s="5">
        <v>1500</v>
      </c>
      <c r="C8" s="5">
        <v>125000000</v>
      </c>
      <c r="D8" t="s">
        <v>356</v>
      </c>
      <c r="E8" t="s">
        <v>357</v>
      </c>
      <c r="F8" t="s">
        <v>153</v>
      </c>
      <c r="G8" t="s">
        <v>358</v>
      </c>
      <c r="H8" t="str">
        <f>IF(AND(E8&lt;&gt;"N/A",F8="NO"),"ALTO","BAJO")</f>
        <v>ALTO</v>
      </c>
      <c r="I8" t="str">
        <f>IF(H8="ALTO","🔴 NO REVELADO","✓ OK")</f>
        <v>🔴 NO REVELADO</v>
      </c>
      <c r="J8" t="str">
        <f>IF(H8="ALTO","Revelar en notas EEFF","Ninguna")</f>
        <v>Revelar en notas EEFF</v>
      </c>
    </row>
    <row r="9" spans="1:10" x14ac:dyDescent="0.25">
      <c r="A9" t="s">
        <v>334</v>
      </c>
      <c r="B9" s="5">
        <v>850</v>
      </c>
      <c r="C9" s="5">
        <v>62000000</v>
      </c>
      <c r="D9" t="s">
        <v>359</v>
      </c>
      <c r="E9" t="s">
        <v>357</v>
      </c>
      <c r="F9" t="s">
        <v>158</v>
      </c>
      <c r="G9" t="s">
        <v>360</v>
      </c>
      <c r="H9" t="str">
        <f>IF(AND(E9&lt;&gt;"N/A",F9="NO"),"ALTO","BAJO")</f>
        <v>BAJO</v>
      </c>
      <c r="I9" t="str">
        <f>IF(H9="ALTO","🔴 NO REVELADO","✓ OK")</f>
        <v>✓ OK</v>
      </c>
      <c r="J9" t="str">
        <f>IF(H9="ALTO","Revelar en notas EEFF","Ninguna")</f>
        <v>Ninguna</v>
      </c>
    </row>
    <row r="10" spans="1:10" x14ac:dyDescent="0.25">
      <c r="A10" t="s">
        <v>80</v>
      </c>
      <c r="B10" s="5">
        <v>2400</v>
      </c>
      <c r="C10" s="5">
        <v>185000000</v>
      </c>
      <c r="D10" t="s">
        <v>361</v>
      </c>
      <c r="E10" t="s">
        <v>362</v>
      </c>
      <c r="F10" t="s">
        <v>153</v>
      </c>
      <c r="G10" t="s">
        <v>363</v>
      </c>
      <c r="H10" t="str">
        <f>IF(AND(E10&lt;&gt;"N/A",F10="NO"),"ALTO","BAJO")</f>
        <v>ALTO</v>
      </c>
      <c r="I10" t="str">
        <f>IF(H10="ALTO","🔴 NO REVELADO","✓ OK")</f>
        <v>🔴 NO REVELADO</v>
      </c>
      <c r="J10" t="str">
        <f>IF(H10="ALTO","Revelar en notas EEFF","Ninguna")</f>
        <v>Revelar en notas EEFF</v>
      </c>
    </row>
    <row r="11" spans="1:10" x14ac:dyDescent="0.25">
      <c r="A11" t="s">
        <v>250</v>
      </c>
      <c r="B11" s="5">
        <v>680</v>
      </c>
      <c r="C11" s="5">
        <v>48000000</v>
      </c>
      <c r="D11" t="s">
        <v>364</v>
      </c>
      <c r="E11" t="s">
        <v>365</v>
      </c>
      <c r="F11" t="s">
        <v>365</v>
      </c>
      <c r="G11" t="s">
        <v>365</v>
      </c>
      <c r="H11" t="str">
        <f>IF(AND(E11&lt;&gt;"N/A",F11="NO"),"ALTO","BAJO")</f>
        <v>BAJO</v>
      </c>
      <c r="I11" t="str">
        <f>IF(H11="ALTO","🔴 NO REVELADO","✓ OK")</f>
        <v>✓ OK</v>
      </c>
      <c r="J11" t="str">
        <f>IF(H11="ALTO","Revelar en notas EEFF","Ninguna")</f>
        <v>Ninguna</v>
      </c>
    </row>
    <row r="13" spans="1:10" x14ac:dyDescent="0.25">
      <c r="A13" s="19" t="s">
        <v>366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x14ac:dyDescent="0.25">
      <c r="A14" t="s">
        <v>367</v>
      </c>
      <c r="B14">
        <f>COUNTIF(E8:E11,"&lt;&gt;N/A")-COUNTIF(E8:E11,"Sin garantía")</f>
        <v>3</v>
      </c>
    </row>
    <row r="15" spans="1:10" x14ac:dyDescent="0.25">
      <c r="A15" t="s">
        <v>368</v>
      </c>
      <c r="B15" s="8">
        <f>COUNTIFS(E8:E11,"&lt;&gt;N/A",F8:F11,"NO")</f>
        <v>2</v>
      </c>
    </row>
    <row r="16" spans="1:10" ht="15.75" x14ac:dyDescent="0.25">
      <c r="A16" t="s">
        <v>369</v>
      </c>
      <c r="B16" s="9">
        <f>SUMIFS(C8:C11,E8:E11,"&lt;&gt;N/A",F8:F11,"NO")</f>
        <v>310000000</v>
      </c>
      <c r="H16" t="s">
        <v>99</v>
      </c>
      <c r="I16" s="7" t="str">
        <f>IF(B15&gt;0,"ALTO","BAJO")</f>
        <v>ALTO</v>
      </c>
    </row>
    <row r="20" spans="1:4" x14ac:dyDescent="0.25">
      <c r="A20" t="s">
        <v>370</v>
      </c>
      <c r="B20">
        <f>B15</f>
        <v>2</v>
      </c>
    </row>
    <row r="21" spans="1:4" x14ac:dyDescent="0.25">
      <c r="D21" s="3">
        <f>B16</f>
        <v>310000000</v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sqref="A1:K1"/>
    </sheetView>
  </sheetViews>
  <sheetFormatPr baseColWidth="10" defaultColWidth="9.140625" defaultRowHeight="15" x14ac:dyDescent="0.25"/>
  <cols>
    <col min="1" max="1" width="18" customWidth="1"/>
    <col min="2" max="10" width="12" customWidth="1"/>
    <col min="11" max="11" width="20" customWidth="1"/>
  </cols>
  <sheetData>
    <row r="1" spans="1:11" ht="18.75" x14ac:dyDescent="0.25">
      <c r="A1" s="17" t="s">
        <v>371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 t="s">
        <v>372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x14ac:dyDescent="0.25">
      <c r="A4" t="s">
        <v>373</v>
      </c>
      <c r="B4" t="s">
        <v>374</v>
      </c>
    </row>
    <row r="7" spans="1:11" ht="25.5" x14ac:dyDescent="0.25">
      <c r="A7" s="10" t="s">
        <v>110</v>
      </c>
      <c r="B7" s="10" t="s">
        <v>375</v>
      </c>
      <c r="C7" s="10" t="s">
        <v>376</v>
      </c>
      <c r="D7" s="10" t="s">
        <v>278</v>
      </c>
      <c r="E7" s="10" t="s">
        <v>279</v>
      </c>
      <c r="F7" s="10" t="s">
        <v>377</v>
      </c>
      <c r="G7" s="10" t="s">
        <v>378</v>
      </c>
      <c r="H7" s="10" t="s">
        <v>67</v>
      </c>
      <c r="I7" s="10" t="s">
        <v>71</v>
      </c>
      <c r="J7" s="10" t="s">
        <v>72</v>
      </c>
      <c r="K7" s="10" t="s">
        <v>211</v>
      </c>
    </row>
    <row r="8" spans="1:11" x14ac:dyDescent="0.25">
      <c r="A8" t="s">
        <v>330</v>
      </c>
      <c r="B8" s="5">
        <v>1500</v>
      </c>
      <c r="C8" s="5">
        <v>1420</v>
      </c>
      <c r="D8" s="5">
        <f t="shared" ref="D8:D13" si="0">C8-B8</f>
        <v>-80</v>
      </c>
      <c r="E8" s="6">
        <f t="shared" ref="E8:E13" si="1">IF(B8=0,0,D8/B8)</f>
        <v>-5.3333333333333337E-2</v>
      </c>
      <c r="F8" s="5">
        <v>-80</v>
      </c>
      <c r="G8" s="5">
        <f t="shared" ref="G8:G13" si="2">D8</f>
        <v>-80</v>
      </c>
      <c r="H8" s="5">
        <f t="shared" ref="H8:H13" si="3">G8-F8</f>
        <v>0</v>
      </c>
      <c r="I8" t="str">
        <f t="shared" ref="I8:I13" si="4">IF(ABS(H8)&gt;B8*0.1,"ALTO",IF(ABS(H8)&gt;B8*0.05,"MEDIO","BAJO"))</f>
        <v>BAJO</v>
      </c>
      <c r="J8" t="str">
        <f t="shared" ref="J8:J13" si="5">IF(I8="ALTO","🔴 DISCREPANCIA",IF(I8="MEDIO","⚠ REVISAR","✓ NORMAL"))</f>
        <v>✓ NORMAL</v>
      </c>
      <c r="K8" t="str">
        <f t="shared" ref="K8:K13" si="6">IF(I8="ALTO","Recontar inmediato",IF(I8="MEDIO","Verificar movimientos","Ninguna"))</f>
        <v>Ninguna</v>
      </c>
    </row>
    <row r="9" spans="1:11" x14ac:dyDescent="0.25">
      <c r="A9" t="s">
        <v>334</v>
      </c>
      <c r="B9" s="5">
        <v>850</v>
      </c>
      <c r="C9" s="5">
        <v>920</v>
      </c>
      <c r="D9" s="5">
        <f t="shared" si="0"/>
        <v>70</v>
      </c>
      <c r="E9" s="6">
        <f t="shared" si="1"/>
        <v>8.2352941176470587E-2</v>
      </c>
      <c r="F9" s="5">
        <v>70</v>
      </c>
      <c r="G9" s="5">
        <f t="shared" si="2"/>
        <v>70</v>
      </c>
      <c r="H9" s="5">
        <f t="shared" si="3"/>
        <v>0</v>
      </c>
      <c r="I9" t="str">
        <f t="shared" si="4"/>
        <v>BAJO</v>
      </c>
      <c r="J9" t="str">
        <f t="shared" si="5"/>
        <v>✓ NORMAL</v>
      </c>
      <c r="K9" t="str">
        <f t="shared" si="6"/>
        <v>Ninguna</v>
      </c>
    </row>
    <row r="10" spans="1:11" x14ac:dyDescent="0.25">
      <c r="A10" t="s">
        <v>80</v>
      </c>
      <c r="B10" s="5">
        <v>3200</v>
      </c>
      <c r="C10" s="5">
        <v>2800</v>
      </c>
      <c r="D10" s="5">
        <f t="shared" si="0"/>
        <v>-400</v>
      </c>
      <c r="E10" s="6">
        <f t="shared" si="1"/>
        <v>-0.125</v>
      </c>
      <c r="F10" s="5">
        <v>-400</v>
      </c>
      <c r="G10" s="5">
        <f t="shared" si="2"/>
        <v>-400</v>
      </c>
      <c r="H10" s="5">
        <f t="shared" si="3"/>
        <v>0</v>
      </c>
      <c r="I10" t="str">
        <f t="shared" si="4"/>
        <v>BAJO</v>
      </c>
      <c r="J10" t="str">
        <f t="shared" si="5"/>
        <v>✓ NORMAL</v>
      </c>
      <c r="K10" t="str">
        <f t="shared" si="6"/>
        <v>Ninguna</v>
      </c>
    </row>
    <row r="11" spans="1:11" x14ac:dyDescent="0.25">
      <c r="A11" t="s">
        <v>250</v>
      </c>
      <c r="B11" s="5">
        <v>2100</v>
      </c>
      <c r="C11" s="5">
        <v>2050</v>
      </c>
      <c r="D11" s="5">
        <f t="shared" si="0"/>
        <v>-50</v>
      </c>
      <c r="E11" s="6">
        <f t="shared" si="1"/>
        <v>-2.3809523809523808E-2</v>
      </c>
      <c r="F11" s="5">
        <v>-50</v>
      </c>
      <c r="G11" s="5">
        <f t="shared" si="2"/>
        <v>-50</v>
      </c>
      <c r="H11" s="5">
        <f t="shared" si="3"/>
        <v>0</v>
      </c>
      <c r="I11" t="str">
        <f t="shared" si="4"/>
        <v>BAJO</v>
      </c>
      <c r="J11" t="str">
        <f t="shared" si="5"/>
        <v>✓ NORMAL</v>
      </c>
      <c r="K11" t="str">
        <f t="shared" si="6"/>
        <v>Ninguna</v>
      </c>
    </row>
    <row r="12" spans="1:11" x14ac:dyDescent="0.25">
      <c r="A12" t="s">
        <v>253</v>
      </c>
      <c r="B12" s="5">
        <v>4500</v>
      </c>
      <c r="C12" s="5">
        <v>4850</v>
      </c>
      <c r="D12" s="5">
        <f t="shared" si="0"/>
        <v>350</v>
      </c>
      <c r="E12" s="6">
        <f t="shared" si="1"/>
        <v>7.7777777777777779E-2</v>
      </c>
      <c r="F12" s="5">
        <v>350</v>
      </c>
      <c r="G12" s="5">
        <f t="shared" si="2"/>
        <v>350</v>
      </c>
      <c r="H12" s="5">
        <f t="shared" si="3"/>
        <v>0</v>
      </c>
      <c r="I12" t="str">
        <f t="shared" si="4"/>
        <v>BAJO</v>
      </c>
      <c r="J12" t="str">
        <f t="shared" si="5"/>
        <v>✓ NORMAL</v>
      </c>
      <c r="K12" t="str">
        <f t="shared" si="6"/>
        <v>Ninguna</v>
      </c>
    </row>
    <row r="13" spans="1:11" x14ac:dyDescent="0.25">
      <c r="A13" t="s">
        <v>379</v>
      </c>
      <c r="B13" s="5">
        <v>1800</v>
      </c>
      <c r="C13" s="5">
        <v>1780</v>
      </c>
      <c r="D13" s="5">
        <f t="shared" si="0"/>
        <v>-20</v>
      </c>
      <c r="E13" s="6">
        <f t="shared" si="1"/>
        <v>-1.1111111111111112E-2</v>
      </c>
      <c r="F13" s="5">
        <v>-20</v>
      </c>
      <c r="G13" s="5">
        <f t="shared" si="2"/>
        <v>-20</v>
      </c>
      <c r="H13" s="5">
        <f t="shared" si="3"/>
        <v>0</v>
      </c>
      <c r="I13" t="str">
        <f t="shared" si="4"/>
        <v>BAJO</v>
      </c>
      <c r="J13" t="str">
        <f t="shared" si="5"/>
        <v>✓ NORMAL</v>
      </c>
      <c r="K13" t="str">
        <f t="shared" si="6"/>
        <v>Ninguna</v>
      </c>
    </row>
    <row r="15" spans="1:11" x14ac:dyDescent="0.25">
      <c r="A15" s="19" t="s">
        <v>380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t="s">
        <v>381</v>
      </c>
      <c r="B16">
        <f>COUNTA(A8:A13)</f>
        <v>6</v>
      </c>
    </row>
    <row r="17" spans="1:10" ht="15.75" x14ac:dyDescent="0.25">
      <c r="A17" t="s">
        <v>382</v>
      </c>
      <c r="B17" s="8">
        <f>COUNTIF(I8:I13,"ALTO")</f>
        <v>0</v>
      </c>
      <c r="I17" t="s">
        <v>99</v>
      </c>
      <c r="J17" s="7" t="str">
        <f>IF(B18&lt;0.8,"ALTO",IF(B18&lt;0.9,"MEDIO","BAJO"))</f>
        <v>BAJO</v>
      </c>
    </row>
    <row r="18" spans="1:10" x14ac:dyDescent="0.25">
      <c r="A18" t="s">
        <v>383</v>
      </c>
      <c r="B18" s="6">
        <f>(B16-B17)/B16</f>
        <v>1</v>
      </c>
    </row>
    <row r="24" spans="1:10" x14ac:dyDescent="0.25">
      <c r="A24" t="s">
        <v>136</v>
      </c>
      <c r="B24">
        <f>B17</f>
        <v>0</v>
      </c>
    </row>
    <row r="25" spans="1:10" x14ac:dyDescent="0.25">
      <c r="D25">
        <f>B17</f>
        <v>0</v>
      </c>
    </row>
  </sheetData>
  <mergeCells count="3">
    <mergeCell ref="A2:K2"/>
    <mergeCell ref="A15:K15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sqref="A1:K1"/>
    </sheetView>
  </sheetViews>
  <sheetFormatPr baseColWidth="10" defaultColWidth="9.140625" defaultRowHeight="15" x14ac:dyDescent="0.25"/>
  <cols>
    <col min="1" max="1" width="18" customWidth="1"/>
    <col min="2" max="11" width="13" customWidth="1"/>
  </cols>
  <sheetData>
    <row r="1" spans="1:11" ht="18.75" x14ac:dyDescent="0.25">
      <c r="A1" s="17" t="s">
        <v>384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 t="s">
        <v>385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x14ac:dyDescent="0.25">
      <c r="A4" t="s">
        <v>386</v>
      </c>
      <c r="B4" t="s">
        <v>7</v>
      </c>
    </row>
    <row r="7" spans="1:11" ht="25.5" x14ac:dyDescent="0.25">
      <c r="A7" s="10" t="s">
        <v>110</v>
      </c>
      <c r="B7" s="10" t="s">
        <v>145</v>
      </c>
      <c r="C7" s="10" t="s">
        <v>387</v>
      </c>
      <c r="D7" s="10" t="s">
        <v>388</v>
      </c>
      <c r="E7" s="10" t="s">
        <v>389</v>
      </c>
      <c r="F7" s="10" t="s">
        <v>390</v>
      </c>
      <c r="G7" s="10" t="s">
        <v>391</v>
      </c>
      <c r="H7" s="10" t="s">
        <v>392</v>
      </c>
      <c r="I7" s="10" t="s">
        <v>67</v>
      </c>
      <c r="J7" s="10" t="s">
        <v>71</v>
      </c>
      <c r="K7" s="10" t="s">
        <v>72</v>
      </c>
    </row>
    <row r="8" spans="1:11" x14ac:dyDescent="0.25">
      <c r="A8" t="s">
        <v>330</v>
      </c>
      <c r="B8" s="5">
        <v>850</v>
      </c>
      <c r="C8" s="5">
        <v>185000</v>
      </c>
      <c r="D8" s="5">
        <v>195000</v>
      </c>
      <c r="E8" s="5">
        <f t="shared" ref="E8:E13" si="0">B8*C8</f>
        <v>157250000</v>
      </c>
      <c r="F8" s="5">
        <f t="shared" ref="F8:F13" si="1">B8*D8</f>
        <v>165750000</v>
      </c>
      <c r="G8" s="5">
        <f t="shared" ref="G8:G13" si="2">MAX(E8-F8,0)</f>
        <v>0</v>
      </c>
      <c r="H8" s="5">
        <v>0</v>
      </c>
      <c r="I8" s="5">
        <f t="shared" ref="I8:I13" si="3">G8-H8</f>
        <v>0</v>
      </c>
      <c r="J8" t="str">
        <f t="shared" ref="J8:J13" si="4">IF(I8&gt;E8*0.15,"ALTO",IF(I8&gt;0,"MEDIO","BAJO"))</f>
        <v>BAJO</v>
      </c>
      <c r="K8" t="str">
        <f t="shared" ref="K8:K13" si="5">IF(J8="ALTO","🔴 SUBVALUADO",IF(J8="MEDIO","⚠ AJUSTAR","✓ OK"))</f>
        <v>✓ OK</v>
      </c>
    </row>
    <row r="9" spans="1:11" x14ac:dyDescent="0.25">
      <c r="A9" t="s">
        <v>334</v>
      </c>
      <c r="B9" s="5">
        <v>1200</v>
      </c>
      <c r="C9" s="5">
        <v>125000</v>
      </c>
      <c r="D9" s="5">
        <v>95000</v>
      </c>
      <c r="E9" s="5">
        <f t="shared" si="0"/>
        <v>150000000</v>
      </c>
      <c r="F9" s="5">
        <f t="shared" si="1"/>
        <v>114000000</v>
      </c>
      <c r="G9" s="5">
        <f t="shared" si="2"/>
        <v>36000000</v>
      </c>
      <c r="H9" s="5">
        <v>18000000</v>
      </c>
      <c r="I9" s="5">
        <f t="shared" si="3"/>
        <v>18000000</v>
      </c>
      <c r="J9" t="str">
        <f t="shared" si="4"/>
        <v>MEDIO</v>
      </c>
      <c r="K9" t="str">
        <f t="shared" si="5"/>
        <v>⚠ AJUSTAR</v>
      </c>
    </row>
    <row r="10" spans="1:11" x14ac:dyDescent="0.25">
      <c r="A10" t="s">
        <v>80</v>
      </c>
      <c r="B10" s="5">
        <v>3500</v>
      </c>
      <c r="C10" s="5">
        <v>68000</v>
      </c>
      <c r="D10" s="5">
        <v>72000</v>
      </c>
      <c r="E10" s="5">
        <f t="shared" si="0"/>
        <v>238000000</v>
      </c>
      <c r="F10" s="5">
        <f t="shared" si="1"/>
        <v>252000000</v>
      </c>
      <c r="G10" s="5">
        <f t="shared" si="2"/>
        <v>0</v>
      </c>
      <c r="H10" s="5">
        <v>0</v>
      </c>
      <c r="I10" s="5">
        <f t="shared" si="3"/>
        <v>0</v>
      </c>
      <c r="J10" t="str">
        <f t="shared" si="4"/>
        <v>BAJO</v>
      </c>
      <c r="K10" t="str">
        <f t="shared" si="5"/>
        <v>✓ OK</v>
      </c>
    </row>
    <row r="11" spans="1:11" x14ac:dyDescent="0.25">
      <c r="A11" t="s">
        <v>250</v>
      </c>
      <c r="B11" s="5">
        <v>420</v>
      </c>
      <c r="C11" s="5">
        <v>380000</v>
      </c>
      <c r="D11" s="5">
        <v>320000</v>
      </c>
      <c r="E11" s="5">
        <f t="shared" si="0"/>
        <v>159600000</v>
      </c>
      <c r="F11" s="5">
        <f t="shared" si="1"/>
        <v>134400000</v>
      </c>
      <c r="G11" s="5">
        <f t="shared" si="2"/>
        <v>25200000</v>
      </c>
      <c r="H11" s="5">
        <v>8400000</v>
      </c>
      <c r="I11" s="5">
        <f t="shared" si="3"/>
        <v>16800000</v>
      </c>
      <c r="J11" t="str">
        <f t="shared" si="4"/>
        <v>MEDIO</v>
      </c>
      <c r="K11" t="str">
        <f t="shared" si="5"/>
        <v>⚠ AJUSTAR</v>
      </c>
    </row>
    <row r="12" spans="1:11" x14ac:dyDescent="0.25">
      <c r="A12" t="s">
        <v>253</v>
      </c>
      <c r="B12" s="5">
        <v>2800</v>
      </c>
      <c r="C12" s="5">
        <v>95000</v>
      </c>
      <c r="D12" s="5">
        <v>110000</v>
      </c>
      <c r="E12" s="5">
        <f t="shared" si="0"/>
        <v>266000000</v>
      </c>
      <c r="F12" s="5">
        <f t="shared" si="1"/>
        <v>308000000</v>
      </c>
      <c r="G12" s="5">
        <f t="shared" si="2"/>
        <v>0</v>
      </c>
      <c r="H12" s="5">
        <v>0</v>
      </c>
      <c r="I12" s="5">
        <f t="shared" si="3"/>
        <v>0</v>
      </c>
      <c r="J12" t="str">
        <f t="shared" si="4"/>
        <v>BAJO</v>
      </c>
      <c r="K12" t="str">
        <f t="shared" si="5"/>
        <v>✓ OK</v>
      </c>
    </row>
    <row r="13" spans="1:11" x14ac:dyDescent="0.25">
      <c r="A13" t="s">
        <v>379</v>
      </c>
      <c r="B13" s="5">
        <v>650</v>
      </c>
      <c r="C13" s="5">
        <v>220000</v>
      </c>
      <c r="D13" s="5">
        <v>180000</v>
      </c>
      <c r="E13" s="5">
        <f t="shared" si="0"/>
        <v>143000000</v>
      </c>
      <c r="F13" s="5">
        <f t="shared" si="1"/>
        <v>117000000</v>
      </c>
      <c r="G13" s="5">
        <f t="shared" si="2"/>
        <v>26000000</v>
      </c>
      <c r="H13" s="5">
        <v>13000000</v>
      </c>
      <c r="I13" s="5">
        <f t="shared" si="3"/>
        <v>13000000</v>
      </c>
      <c r="J13" t="str">
        <f t="shared" si="4"/>
        <v>MEDIO</v>
      </c>
      <c r="K13" t="str">
        <f t="shared" si="5"/>
        <v>⚠ AJUSTAR</v>
      </c>
    </row>
    <row r="15" spans="1:11" x14ac:dyDescent="0.25">
      <c r="A15" s="19" t="s">
        <v>393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t="s">
        <v>394</v>
      </c>
      <c r="B16">
        <f>COUNTIF(G8:G13,"&gt;0")</f>
        <v>3</v>
      </c>
    </row>
    <row r="17" spans="1:10" ht="15.75" x14ac:dyDescent="0.25">
      <c r="A17" t="s">
        <v>395</v>
      </c>
      <c r="B17" s="3">
        <f>SUM(G8:G13)</f>
        <v>87200000</v>
      </c>
      <c r="I17" t="s">
        <v>99</v>
      </c>
      <c r="J17" s="7" t="str">
        <f>IF(B19&gt;B17*0.3,"ALTO",IF(B19&gt;0,"MEDIO","BAJO"))</f>
        <v>ALTO</v>
      </c>
    </row>
    <row r="18" spans="1:10" x14ac:dyDescent="0.25">
      <c r="A18" t="s">
        <v>200</v>
      </c>
      <c r="B18" s="3">
        <f>SUM(H8:H13)</f>
        <v>39400000</v>
      </c>
    </row>
    <row r="19" spans="1:10" x14ac:dyDescent="0.25">
      <c r="A19" t="s">
        <v>396</v>
      </c>
      <c r="B19" s="9">
        <f>SUM(I8:I13)</f>
        <v>47800000</v>
      </c>
    </row>
    <row r="24" spans="1:10" x14ac:dyDescent="0.25">
      <c r="A24" t="s">
        <v>397</v>
      </c>
      <c r="B24">
        <f>B19</f>
        <v>47800000</v>
      </c>
    </row>
    <row r="25" spans="1:10" x14ac:dyDescent="0.25">
      <c r="D25" s="3">
        <f>B19</f>
        <v>47800000</v>
      </c>
    </row>
  </sheetData>
  <mergeCells count="3">
    <mergeCell ref="A2:K2"/>
    <mergeCell ref="A15:K15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F24" sqref="F24"/>
    </sheetView>
  </sheetViews>
  <sheetFormatPr baseColWidth="10" defaultColWidth="9.140625" defaultRowHeight="15" x14ac:dyDescent="0.25"/>
  <cols>
    <col min="1" max="1" width="14" customWidth="1"/>
    <col min="2" max="2" width="20" customWidth="1"/>
    <col min="3" max="3" width="14" customWidth="1"/>
    <col min="4" max="4" width="15" customWidth="1"/>
    <col min="5" max="9" width="14" customWidth="1"/>
    <col min="10" max="10" width="22" customWidth="1"/>
  </cols>
  <sheetData>
    <row r="1" spans="1:10" ht="18.75" x14ac:dyDescent="0.25">
      <c r="A1" s="17" t="s">
        <v>398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 t="s">
        <v>399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x14ac:dyDescent="0.25">
      <c r="A4" t="s">
        <v>400</v>
      </c>
      <c r="B4" t="s">
        <v>7</v>
      </c>
    </row>
    <row r="7" spans="1:10" ht="25.5" x14ac:dyDescent="0.25">
      <c r="A7" s="10" t="s">
        <v>177</v>
      </c>
      <c r="B7" s="10" t="s">
        <v>63</v>
      </c>
      <c r="C7" s="10" t="s">
        <v>401</v>
      </c>
      <c r="D7" s="10" t="s">
        <v>402</v>
      </c>
      <c r="E7" s="10" t="s">
        <v>403</v>
      </c>
      <c r="F7" s="10" t="s">
        <v>404</v>
      </c>
      <c r="G7" s="10" t="s">
        <v>146</v>
      </c>
      <c r="H7" s="10" t="s">
        <v>71</v>
      </c>
      <c r="I7" s="10" t="s">
        <v>72</v>
      </c>
      <c r="J7" s="10" t="s">
        <v>211</v>
      </c>
    </row>
    <row r="8" spans="1:10" x14ac:dyDescent="0.25">
      <c r="A8" t="s">
        <v>405</v>
      </c>
      <c r="B8" t="s">
        <v>330</v>
      </c>
      <c r="C8" s="5">
        <v>500</v>
      </c>
      <c r="D8" t="s">
        <v>75</v>
      </c>
      <c r="E8" t="s">
        <v>158</v>
      </c>
      <c r="G8" s="5">
        <v>185000000</v>
      </c>
      <c r="H8" t="str">
        <f t="shared" ref="H8:H13" si="0">IF(E8="NO","CRÍTICO",IF(F8&lt;&gt;"","ALTO","BAJO"))</f>
        <v>BAJO</v>
      </c>
      <c r="I8" t="str">
        <f t="shared" ref="I8:I13" si="1">IF(H8="CRÍTICO","⛔ FANTASMA",IF(H8="ALTO","🔴 DUPLICADO","✓ OK"))</f>
        <v>✓ OK</v>
      </c>
      <c r="J8" t="str">
        <f t="shared" ref="J8:J13" si="2">IF(H8="CRÍTICO","Eliminar del sistema",IF(H8="ALTO","Consolidar códigos","Ninguna"))</f>
        <v>Ninguna</v>
      </c>
    </row>
    <row r="9" spans="1:10" x14ac:dyDescent="0.25">
      <c r="A9" t="s">
        <v>406</v>
      </c>
      <c r="B9" t="s">
        <v>334</v>
      </c>
      <c r="C9" s="5">
        <v>850</v>
      </c>
      <c r="D9" t="s">
        <v>78</v>
      </c>
      <c r="E9" t="s">
        <v>153</v>
      </c>
      <c r="G9" s="5">
        <v>95000000</v>
      </c>
      <c r="H9" t="str">
        <f t="shared" si="0"/>
        <v>CRÍTICO</v>
      </c>
      <c r="I9" t="str">
        <f t="shared" si="1"/>
        <v>⛔ FANTASMA</v>
      </c>
      <c r="J9" t="str">
        <f t="shared" si="2"/>
        <v>Eliminar del sistema</v>
      </c>
    </row>
    <row r="10" spans="1:10" x14ac:dyDescent="0.25">
      <c r="A10" t="s">
        <v>407</v>
      </c>
      <c r="B10" t="s">
        <v>334</v>
      </c>
      <c r="C10" s="5">
        <v>850</v>
      </c>
      <c r="D10" t="s">
        <v>78</v>
      </c>
      <c r="E10" t="s">
        <v>158</v>
      </c>
      <c r="F10" t="s">
        <v>406</v>
      </c>
      <c r="G10" s="5">
        <v>95000000</v>
      </c>
      <c r="H10" t="str">
        <f t="shared" si="0"/>
        <v>ALTO</v>
      </c>
      <c r="I10" t="str">
        <f t="shared" si="1"/>
        <v>🔴 DUPLICADO</v>
      </c>
      <c r="J10" t="str">
        <f t="shared" si="2"/>
        <v>Consolidar códigos</v>
      </c>
    </row>
    <row r="11" spans="1:10" x14ac:dyDescent="0.25">
      <c r="A11" t="s">
        <v>408</v>
      </c>
      <c r="B11" t="s">
        <v>80</v>
      </c>
      <c r="C11" s="5">
        <v>3200</v>
      </c>
      <c r="D11" t="s">
        <v>75</v>
      </c>
      <c r="E11" t="s">
        <v>158</v>
      </c>
      <c r="G11" s="5">
        <v>145000000</v>
      </c>
      <c r="H11" t="str">
        <f t="shared" si="0"/>
        <v>BAJO</v>
      </c>
      <c r="I11" t="str">
        <f t="shared" si="1"/>
        <v>✓ OK</v>
      </c>
      <c r="J11" t="str">
        <f t="shared" si="2"/>
        <v>Ninguna</v>
      </c>
    </row>
    <row r="12" spans="1:10" x14ac:dyDescent="0.25">
      <c r="A12" t="s">
        <v>409</v>
      </c>
      <c r="B12" t="s">
        <v>250</v>
      </c>
      <c r="C12" s="5">
        <v>420</v>
      </c>
      <c r="D12" t="s">
        <v>83</v>
      </c>
      <c r="E12" t="s">
        <v>153</v>
      </c>
      <c r="G12" s="5">
        <v>125000000</v>
      </c>
      <c r="H12" t="str">
        <f t="shared" si="0"/>
        <v>CRÍTICO</v>
      </c>
      <c r="I12" t="str">
        <f t="shared" si="1"/>
        <v>⛔ FANTASMA</v>
      </c>
      <c r="J12" t="str">
        <f t="shared" si="2"/>
        <v>Eliminar del sistema</v>
      </c>
    </row>
    <row r="13" spans="1:10" x14ac:dyDescent="0.25">
      <c r="A13" t="s">
        <v>410</v>
      </c>
      <c r="B13" t="s">
        <v>253</v>
      </c>
      <c r="C13" s="5">
        <v>2800</v>
      </c>
      <c r="D13" t="s">
        <v>78</v>
      </c>
      <c r="E13" t="s">
        <v>158</v>
      </c>
      <c r="G13" s="5">
        <v>185000000</v>
      </c>
      <c r="H13" t="str">
        <f t="shared" si="0"/>
        <v>BAJO</v>
      </c>
      <c r="I13" t="str">
        <f t="shared" si="1"/>
        <v>✓ OK</v>
      </c>
      <c r="J13" t="str">
        <f t="shared" si="2"/>
        <v>Ninguna</v>
      </c>
    </row>
    <row r="15" spans="1:10" x14ac:dyDescent="0.25">
      <c r="A15" s="19" t="s">
        <v>411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15.75" x14ac:dyDescent="0.25">
      <c r="A16" t="s">
        <v>412</v>
      </c>
      <c r="B16" s="8">
        <f>COUNTIF(E8:E13,"NO")</f>
        <v>2</v>
      </c>
      <c r="H16" t="s">
        <v>99</v>
      </c>
      <c r="I16" s="7" t="str">
        <f>IF(B16&gt;0,"CRÍTICO",IF(B17&gt;0,"ALTO","BAJO"))</f>
        <v>CRÍTICO</v>
      </c>
    </row>
    <row r="17" spans="1:4" x14ac:dyDescent="0.25">
      <c r="A17" t="s">
        <v>413</v>
      </c>
      <c r="B17">
        <f>COUNTIF(F8:F13,"&lt;&gt;")</f>
        <v>1</v>
      </c>
    </row>
    <row r="18" spans="1:4" x14ac:dyDescent="0.25">
      <c r="A18" t="s">
        <v>414</v>
      </c>
      <c r="B18" s="9">
        <f>SUMIF(E8:E13,"NO",G8:G13)</f>
        <v>220000000</v>
      </c>
    </row>
    <row r="21" spans="1:4" x14ac:dyDescent="0.25">
      <c r="A21" t="s">
        <v>415</v>
      </c>
      <c r="B21">
        <f>B16+B17</f>
        <v>3</v>
      </c>
    </row>
    <row r="22" spans="1:4" x14ac:dyDescent="0.25">
      <c r="D22" s="3">
        <f>B18</f>
        <v>220000000</v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ÍNDICE_GENERAL</vt:lpstr>
      <vt:lpstr>PT_C.1_ObsFisica</vt:lpstr>
      <vt:lpstr>PT_C.2_ConteoAltoValor</vt:lpstr>
      <vt:lpstr>PT_C.3_UbicRemote</vt:lpstr>
      <vt:lpstr>PT_C.4_Obsolescencia</vt:lpstr>
      <vt:lpstr>PT_C.5_Propiedad</vt:lpstr>
      <vt:lpstr>PT_C.6_CutOff</vt:lpstr>
      <vt:lpstr>PT_C.7_MargenBruto</vt:lpstr>
      <vt:lpstr>PT_C.8_EnTransito</vt:lpstr>
      <vt:lpstr>PT_C.9_Ajustes</vt:lpstr>
      <vt:lpstr>PT_C.10_Pignorado</vt:lpstr>
      <vt:lpstr>PT_C.11_Variaciones</vt:lpstr>
      <vt:lpstr>PT_C.12_CostosVsMercado</vt:lpstr>
      <vt:lpstr>PT_C.13_Fantasma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2025-11-17T15:39:39Z</dcterms:created>
  <dcterms:modified xsi:type="dcterms:W3CDTF">2025-11-17T15:53:45Z</dcterms:modified>
</cp:coreProperties>
</file>