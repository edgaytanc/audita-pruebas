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Users\Toño\Desktop\PAPELES COLOMBIA\1 AUDITORIA Y REVISORIA FISCAL\Pruebas de Deteccion de Fraudes\"/>
    </mc:Choice>
  </mc:AlternateContent>
  <bookViews>
    <workbookView xWindow="0" yWindow="0" windowWidth="25200" windowHeight="11580"/>
  </bookViews>
  <sheets>
    <sheet name="ÍNDICE_GENERAL" sheetId="1" r:id="rId1"/>
    <sheet name="PT_B.1_Confirmaciones" sheetId="2" r:id="rId2"/>
    <sheet name="PT_B.2_Antiguedad" sheetId="3" r:id="rId3"/>
    <sheet name="PT_B.3_NC_PostCierre" sheetId="4" r:id="rId4"/>
    <sheet name="PT_B.4_Autorizaciones" sheetId="5" r:id="rId5"/>
    <sheet name="PT_B.5_CutOff" sheetId="6" r:id="rId6"/>
    <sheet name="PT_B.6_PartesRel" sheetId="7" r:id="rId7"/>
    <sheet name="PT_B.7_Concentracion" sheetId="8" r:id="rId8"/>
    <sheet name="PT_B.8_Colateral" sheetId="9" r:id="rId9"/>
    <sheet name="PT_B.9_SideLetter" sheetId="10" r:id="rId10"/>
    <sheet name="PT_B.11_Duplicadas" sheetId="11" r:id="rId11"/>
    <sheet name="PT_B.12_WriteOffs" sheetId="12" r:id="rId12"/>
  </sheets>
  <externalReferences>
    <externalReference r:id="rId13"/>
  </externalReferences>
  <calcPr calcId="162913"/>
</workbook>
</file>

<file path=xl/calcChain.xml><?xml version="1.0" encoding="utf-8"?>
<calcChain xmlns="http://schemas.openxmlformats.org/spreadsheetml/2006/main">
  <c r="B17" i="12" l="1"/>
  <c r="E12" i="12"/>
  <c r="H12" i="12" s="1"/>
  <c r="E11" i="12"/>
  <c r="H11" i="12" s="1"/>
  <c r="E10" i="12"/>
  <c r="H10" i="12" s="1"/>
  <c r="E9" i="12"/>
  <c r="H9" i="12" s="1"/>
  <c r="E8" i="12"/>
  <c r="H8" i="12" s="1"/>
  <c r="D22" i="11"/>
  <c r="G20" i="1" s="1"/>
  <c r="B18" i="11"/>
  <c r="B17" i="11"/>
  <c r="I16" i="11"/>
  <c r="B16" i="11"/>
  <c r="B21" i="11" s="1"/>
  <c r="F20" i="1" s="1"/>
  <c r="J13" i="11"/>
  <c r="I13" i="11"/>
  <c r="H13" i="11"/>
  <c r="J12" i="11"/>
  <c r="H12" i="11"/>
  <c r="I12" i="11" s="1"/>
  <c r="J11" i="11"/>
  <c r="H11" i="11"/>
  <c r="I11" i="11" s="1"/>
  <c r="J10" i="11"/>
  <c r="I10" i="11"/>
  <c r="H10" i="11"/>
  <c r="J9" i="11"/>
  <c r="I9" i="11"/>
  <c r="H9" i="11"/>
  <c r="J8" i="11"/>
  <c r="H8" i="11"/>
  <c r="I8" i="11" s="1"/>
  <c r="B15" i="10"/>
  <c r="B20" i="10" s="1"/>
  <c r="F18" i="1" s="1"/>
  <c r="I11" i="10"/>
  <c r="H11" i="10"/>
  <c r="G11" i="10"/>
  <c r="J11" i="10" s="1"/>
  <c r="I10" i="10"/>
  <c r="H10" i="10"/>
  <c r="G10" i="10"/>
  <c r="J10" i="10" s="1"/>
  <c r="I9" i="10"/>
  <c r="H9" i="10"/>
  <c r="G9" i="10"/>
  <c r="J9" i="10" s="1"/>
  <c r="I8" i="10"/>
  <c r="H8" i="10"/>
  <c r="G8" i="10"/>
  <c r="B14" i="10" s="1"/>
  <c r="B15" i="9"/>
  <c r="I16" i="9" s="1"/>
  <c r="E17" i="1" s="1"/>
  <c r="G12" i="9"/>
  <c r="H12" i="9" s="1"/>
  <c r="I12" i="9" s="1"/>
  <c r="E12" i="9"/>
  <c r="H11" i="9"/>
  <c r="I11" i="9" s="1"/>
  <c r="G11" i="9"/>
  <c r="J11" i="9" s="1"/>
  <c r="E11" i="9"/>
  <c r="I10" i="9"/>
  <c r="H10" i="9"/>
  <c r="G10" i="9"/>
  <c r="J10" i="9" s="1"/>
  <c r="E10" i="9"/>
  <c r="J9" i="9"/>
  <c r="I9" i="9"/>
  <c r="H9" i="9"/>
  <c r="G9" i="9"/>
  <c r="E9" i="9"/>
  <c r="G8" i="9"/>
  <c r="B16" i="9" s="1"/>
  <c r="E8" i="9"/>
  <c r="H15" i="8"/>
  <c r="G15" i="8"/>
  <c r="I15" i="8" s="1"/>
  <c r="E15" i="8"/>
  <c r="C15" i="8"/>
  <c r="H14" i="8"/>
  <c r="G14" i="8"/>
  <c r="I14" i="8" s="1"/>
  <c r="E14" i="8"/>
  <c r="C14" i="8"/>
  <c r="H13" i="8"/>
  <c r="E13" i="8"/>
  <c r="C13" i="8"/>
  <c r="G13" i="8" s="1"/>
  <c r="I13" i="8" s="1"/>
  <c r="H12" i="8"/>
  <c r="E12" i="8"/>
  <c r="C12" i="8"/>
  <c r="G12" i="8" s="1"/>
  <c r="I12" i="8" s="1"/>
  <c r="H11" i="8"/>
  <c r="G11" i="8"/>
  <c r="I11" i="8" s="1"/>
  <c r="E11" i="8"/>
  <c r="C11" i="8"/>
  <c r="H10" i="8"/>
  <c r="G10" i="8"/>
  <c r="I10" i="8" s="1"/>
  <c r="E10" i="8"/>
  <c r="C10" i="8"/>
  <c r="H9" i="8"/>
  <c r="E9" i="8"/>
  <c r="C9" i="8"/>
  <c r="G9" i="8" s="1"/>
  <c r="I9" i="8" s="1"/>
  <c r="H8" i="8"/>
  <c r="E8" i="8"/>
  <c r="C8" i="8"/>
  <c r="G8" i="8" s="1"/>
  <c r="I16" i="7"/>
  <c r="B16" i="7"/>
  <c r="B21" i="7" s="1"/>
  <c r="F15" i="1" s="1"/>
  <c r="B15" i="7"/>
  <c r="I12" i="7"/>
  <c r="H12" i="7"/>
  <c r="G12" i="7"/>
  <c r="J12" i="7" s="1"/>
  <c r="I11" i="7"/>
  <c r="H11" i="7"/>
  <c r="G11" i="7"/>
  <c r="J11" i="7" s="1"/>
  <c r="I10" i="7"/>
  <c r="H10" i="7"/>
  <c r="G10" i="7"/>
  <c r="J10" i="7" s="1"/>
  <c r="I9" i="7"/>
  <c r="H9" i="7"/>
  <c r="G9" i="7"/>
  <c r="J9" i="7" s="1"/>
  <c r="I8" i="7"/>
  <c r="H8" i="7"/>
  <c r="G8" i="7"/>
  <c r="B17" i="7" s="1"/>
  <c r="D22" i="7" s="1"/>
  <c r="G15" i="1" s="1"/>
  <c r="B17" i="6"/>
  <c r="K14" i="6"/>
  <c r="I14" i="6"/>
  <c r="J14" i="6" s="1"/>
  <c r="H14" i="6"/>
  <c r="K13" i="6"/>
  <c r="I13" i="6"/>
  <c r="J13" i="6" s="1"/>
  <c r="H13" i="6"/>
  <c r="K12" i="6"/>
  <c r="I12" i="6"/>
  <c r="J12" i="6" s="1"/>
  <c r="H12" i="6"/>
  <c r="K11" i="6"/>
  <c r="I11" i="6"/>
  <c r="J11" i="6" s="1"/>
  <c r="H11" i="6"/>
  <c r="K10" i="6"/>
  <c r="I10" i="6"/>
  <c r="J10" i="6" s="1"/>
  <c r="H10" i="6"/>
  <c r="K9" i="6"/>
  <c r="I9" i="6"/>
  <c r="J9" i="6" s="1"/>
  <c r="H9" i="6"/>
  <c r="K8" i="6"/>
  <c r="I8" i="6"/>
  <c r="B19" i="6" s="1"/>
  <c r="B18" i="5"/>
  <c r="D22" i="5" s="1"/>
  <c r="G13" i="1" s="1"/>
  <c r="B17" i="5"/>
  <c r="I16" i="5" s="1"/>
  <c r="E13" i="1" s="1"/>
  <c r="B16" i="5"/>
  <c r="J13" i="5"/>
  <c r="I13" i="5"/>
  <c r="H13" i="5"/>
  <c r="G13" i="5"/>
  <c r="J12" i="5"/>
  <c r="I12" i="5"/>
  <c r="H12" i="5"/>
  <c r="G12" i="5"/>
  <c r="J11" i="5"/>
  <c r="I11" i="5"/>
  <c r="H11" i="5"/>
  <c r="G11" i="5"/>
  <c r="J10" i="5"/>
  <c r="I10" i="5"/>
  <c r="H10" i="5"/>
  <c r="G10" i="5"/>
  <c r="J9" i="5"/>
  <c r="I9" i="5"/>
  <c r="H9" i="5"/>
  <c r="G9" i="5"/>
  <c r="J8" i="5"/>
  <c r="I8" i="5"/>
  <c r="H8" i="5"/>
  <c r="G8" i="5"/>
  <c r="B18" i="4"/>
  <c r="I13" i="4"/>
  <c r="H13" i="4"/>
  <c r="J13" i="4" s="1"/>
  <c r="G13" i="4"/>
  <c r="I12" i="4"/>
  <c r="H12" i="4"/>
  <c r="J12" i="4" s="1"/>
  <c r="G12" i="4"/>
  <c r="I11" i="4"/>
  <c r="H11" i="4"/>
  <c r="J11" i="4" s="1"/>
  <c r="G11" i="4"/>
  <c r="I10" i="4"/>
  <c r="H10" i="4"/>
  <c r="J10" i="4" s="1"/>
  <c r="G10" i="4"/>
  <c r="I9" i="4"/>
  <c r="H9" i="4"/>
  <c r="J9" i="4" s="1"/>
  <c r="G9" i="4"/>
  <c r="H8" i="4"/>
  <c r="B19" i="4" s="1"/>
  <c r="D23" i="4" s="1"/>
  <c r="G12" i="1" s="1"/>
  <c r="G8" i="4"/>
  <c r="B16" i="4" s="1"/>
  <c r="I16" i="4" s="1"/>
  <c r="E12" i="1" s="1"/>
  <c r="B25" i="3"/>
  <c r="B23" i="3"/>
  <c r="D25" i="3" s="1"/>
  <c r="G11" i="1" s="1"/>
  <c r="B22" i="3"/>
  <c r="B21" i="3"/>
  <c r="D20" i="3"/>
  <c r="B20" i="3"/>
  <c r="B19" i="3"/>
  <c r="D18" i="3"/>
  <c r="B18" i="3"/>
  <c r="K15" i="3"/>
  <c r="J15" i="3"/>
  <c r="I15" i="3"/>
  <c r="B15" i="3"/>
  <c r="K14" i="3"/>
  <c r="J14" i="3"/>
  <c r="I14" i="3"/>
  <c r="B14" i="3"/>
  <c r="K13" i="3"/>
  <c r="J13" i="3"/>
  <c r="I13" i="3"/>
  <c r="B13" i="3"/>
  <c r="K12" i="3"/>
  <c r="J12" i="3"/>
  <c r="I12" i="3"/>
  <c r="B12" i="3"/>
  <c r="K11" i="3"/>
  <c r="J11" i="3"/>
  <c r="I11" i="3"/>
  <c r="B11" i="3"/>
  <c r="K10" i="3"/>
  <c r="J10" i="3"/>
  <c r="I10" i="3"/>
  <c r="B10" i="3"/>
  <c r="K9" i="3"/>
  <c r="J9" i="3"/>
  <c r="I9" i="3"/>
  <c r="B9" i="3"/>
  <c r="K8" i="3"/>
  <c r="J8" i="3"/>
  <c r="B24" i="3" s="1"/>
  <c r="F11" i="1" s="1"/>
  <c r="I8" i="3"/>
  <c r="B8" i="3"/>
  <c r="D21" i="3" s="1"/>
  <c r="B26" i="2"/>
  <c r="D26" i="2" s="1"/>
  <c r="G10" i="1" s="1"/>
  <c r="B22" i="2"/>
  <c r="B25" i="2" s="1"/>
  <c r="F10" i="1" s="1"/>
  <c r="B21" i="2"/>
  <c r="B20" i="2"/>
  <c r="E21" i="2" s="1"/>
  <c r="I17" i="2"/>
  <c r="J17" i="2" s="1"/>
  <c r="H17" i="2"/>
  <c r="K17" i="2" s="1"/>
  <c r="G17" i="2"/>
  <c r="K16" i="2"/>
  <c r="J16" i="2"/>
  <c r="I16" i="2"/>
  <c r="H16" i="2"/>
  <c r="G16" i="2"/>
  <c r="G15" i="2"/>
  <c r="H15" i="2" s="1"/>
  <c r="H14" i="2"/>
  <c r="I14" i="2" s="1"/>
  <c r="J14" i="2" s="1"/>
  <c r="G14" i="2"/>
  <c r="K13" i="2"/>
  <c r="I13" i="2"/>
  <c r="J13" i="2" s="1"/>
  <c r="H13" i="2"/>
  <c r="G13" i="2"/>
  <c r="J12" i="2"/>
  <c r="I12" i="2"/>
  <c r="H12" i="2"/>
  <c r="K12" i="2" s="1"/>
  <c r="G12" i="2"/>
  <c r="G11" i="2"/>
  <c r="H11" i="2" s="1"/>
  <c r="K10" i="2"/>
  <c r="J10" i="2"/>
  <c r="I10" i="2"/>
  <c r="H10" i="2"/>
  <c r="G10" i="2"/>
  <c r="I9" i="2"/>
  <c r="J9" i="2" s="1"/>
  <c r="H9" i="2"/>
  <c r="K9" i="2" s="1"/>
  <c r="G9" i="2"/>
  <c r="G8" i="2"/>
  <c r="B24" i="2" s="1"/>
  <c r="I21" i="1"/>
  <c r="D21" i="1"/>
  <c r="I20" i="1"/>
  <c r="E20" i="1"/>
  <c r="D20" i="1"/>
  <c r="I19" i="1"/>
  <c r="G19" i="1"/>
  <c r="F19" i="1"/>
  <c r="E19" i="1"/>
  <c r="D19" i="1"/>
  <c r="I18" i="1"/>
  <c r="E18" i="1"/>
  <c r="D18" i="1"/>
  <c r="I17" i="1"/>
  <c r="D17" i="1"/>
  <c r="I16" i="1"/>
  <c r="E16" i="1"/>
  <c r="D16" i="1"/>
  <c r="I15" i="1"/>
  <c r="E15" i="1"/>
  <c r="D15" i="1"/>
  <c r="I14" i="1"/>
  <c r="E14" i="1"/>
  <c r="D14" i="1"/>
  <c r="I13" i="1"/>
  <c r="D13" i="1"/>
  <c r="I12" i="1"/>
  <c r="D12" i="1"/>
  <c r="I11" i="1"/>
  <c r="E11" i="1"/>
  <c r="D11" i="1"/>
  <c r="I10" i="1"/>
  <c r="H8" i="2" l="1"/>
  <c r="B21" i="8"/>
  <c r="I8" i="8"/>
  <c r="K10" i="8"/>
  <c r="J10" i="8"/>
  <c r="I10" i="12"/>
  <c r="J10" i="12"/>
  <c r="I15" i="2"/>
  <c r="J15" i="2" s="1"/>
  <c r="K15" i="2"/>
  <c r="D24" i="6"/>
  <c r="G14" i="1" s="1"/>
  <c r="B20" i="6"/>
  <c r="K13" i="8"/>
  <c r="J13" i="8"/>
  <c r="B18" i="10"/>
  <c r="I14" i="10"/>
  <c r="K12" i="8"/>
  <c r="J12" i="8"/>
  <c r="K14" i="8"/>
  <c r="J14" i="8"/>
  <c r="J15" i="8"/>
  <c r="K15" i="8"/>
  <c r="I8" i="12"/>
  <c r="B21" i="12"/>
  <c r="F21" i="1" s="1"/>
  <c r="B16" i="12"/>
  <c r="B18" i="12"/>
  <c r="D22" i="12" s="1"/>
  <c r="G21" i="1" s="1"/>
  <c r="J8" i="12"/>
  <c r="I12" i="12"/>
  <c r="J12" i="12"/>
  <c r="J11" i="8"/>
  <c r="K11" i="8"/>
  <c r="I11" i="12"/>
  <c r="J11" i="12"/>
  <c r="I11" i="2"/>
  <c r="J11" i="2" s="1"/>
  <c r="B23" i="2"/>
  <c r="K11" i="2"/>
  <c r="K9" i="8"/>
  <c r="J9" i="8"/>
  <c r="I9" i="12"/>
  <c r="J9" i="12"/>
  <c r="K14" i="2"/>
  <c r="E24" i="3"/>
  <c r="B22" i="4"/>
  <c r="F12" i="1" s="1"/>
  <c r="J8" i="9"/>
  <c r="J12" i="9"/>
  <c r="B17" i="9"/>
  <c r="D22" i="9" s="1"/>
  <c r="G17" i="1" s="1"/>
  <c r="D21" i="10"/>
  <c r="G18" i="1" s="1"/>
  <c r="I8" i="4"/>
  <c r="B17" i="4"/>
  <c r="B18" i="6"/>
  <c r="B18" i="8"/>
  <c r="B15" i="12"/>
  <c r="I16" i="12" s="1"/>
  <c r="E21" i="1" s="1"/>
  <c r="D23" i="3"/>
  <c r="J8" i="4"/>
  <c r="B21" i="5"/>
  <c r="F13" i="1" s="1"/>
  <c r="J8" i="6"/>
  <c r="J8" i="7"/>
  <c r="H8" i="9"/>
  <c r="J8" i="10"/>
  <c r="D19" i="3"/>
  <c r="J18" i="3" s="1"/>
  <c r="K8" i="2" l="1"/>
  <c r="I8" i="2"/>
  <c r="J8" i="2" s="1"/>
  <c r="B23" i="8"/>
  <c r="F16" i="1" s="1"/>
  <c r="J18" i="8"/>
  <c r="D25" i="2"/>
  <c r="J20" i="2"/>
  <c r="B19" i="8"/>
  <c r="K8" i="8"/>
  <c r="J8" i="8"/>
  <c r="B20" i="8"/>
  <c r="D24" i="8" s="1"/>
  <c r="G16" i="1" s="1"/>
  <c r="I8" i="9"/>
  <c r="B21" i="9"/>
  <c r="F17" i="1" s="1"/>
  <c r="J18" i="6"/>
  <c r="B23" i="6"/>
  <c r="F14" i="1" s="1"/>
</calcChain>
</file>

<file path=xl/sharedStrings.xml><?xml version="1.0" encoding="utf-8"?>
<sst xmlns="http://schemas.openxmlformats.org/spreadsheetml/2006/main" count="580" uniqueCount="394">
  <si>
    <t>PROGRAMA DE AUDITORÍA - CUENTAS POR COBRAR</t>
  </si>
  <si>
    <t>Basado en NIAs 505, 240, 330 - Confirmaciones Externas y Detección de Fraude en Cuentas por Cobrar</t>
  </si>
  <si>
    <t>Cliente:</t>
  </si>
  <si>
    <t>[NOMBRE DEL CLIENTE]</t>
  </si>
  <si>
    <t>Período auditado:</t>
  </si>
  <si>
    <t>01/01/2024 - 31/12/2024</t>
  </si>
  <si>
    <t>Fecha de corte:</t>
  </si>
  <si>
    <t>31/12/2024</t>
  </si>
  <si>
    <t>Auditor responsable:</t>
  </si>
  <si>
    <t>[NOMBRE DEL AUDITOR]</t>
  </si>
  <si>
    <t>REF</t>
  </si>
  <si>
    <t>PROCEDIMIENTO DE AUDITORÍA</t>
  </si>
  <si>
    <t>OBJETIVO NIA</t>
  </si>
  <si>
    <t>RIESGO</t>
  </si>
  <si>
    <t>ESTADO</t>
  </si>
  <si>
    <t>HALLAZGOS</t>
  </si>
  <si>
    <t>MATERIALIDAD</t>
  </si>
  <si>
    <t>RESPONSABLE</t>
  </si>
  <si>
    <t>FECHA</t>
  </si>
  <si>
    <t>PT B.1</t>
  </si>
  <si>
    <t>Confirmación Positiva de Saldos</t>
  </si>
  <si>
    <t>NIA 505 - Confirmaciones Externas</t>
  </si>
  <si>
    <t>[Auditor]</t>
  </si>
  <si>
    <t>PT B.2</t>
  </si>
  <si>
    <t>Análisis de Antigüedad Detallado</t>
  </si>
  <si>
    <t>Evaluación de deterioro NIA 540</t>
  </si>
  <si>
    <t>PT B.3</t>
  </si>
  <si>
    <t>Notas Crédito Post-Cierre</t>
  </si>
  <si>
    <t>Detección de manipulación</t>
  </si>
  <si>
    <t>PT B.4</t>
  </si>
  <si>
    <t>Autorizaciones Cancelaciones</t>
  </si>
  <si>
    <t>Control de castigos irregulares</t>
  </si>
  <si>
    <t>PT B.5</t>
  </si>
  <si>
    <t>Cut-Off Ventas y Devoluciones</t>
  </si>
  <si>
    <t>NIA 330 - Corte de operaciones</t>
  </si>
  <si>
    <t>PT B.6</t>
  </si>
  <si>
    <t>Partes Relacionadas</t>
  </si>
  <si>
    <t>NIA 550 - Revelación adecuada</t>
  </si>
  <si>
    <t>PT B.7</t>
  </si>
  <si>
    <t>Concentración por Cliente</t>
  </si>
  <si>
    <t>Evaluación de riesgo crediticio</t>
  </si>
  <si>
    <t>PT B.8</t>
  </si>
  <si>
    <t>Colateral y Garantías</t>
  </si>
  <si>
    <t>Verificación de respaldos</t>
  </si>
  <si>
    <t>PT B.9</t>
  </si>
  <si>
    <t>Acuerdos Side-Letter</t>
  </si>
  <si>
    <t>Detección de condiciones ocultas</t>
  </si>
  <si>
    <t>PT B.10</t>
  </si>
  <si>
    <t>Ratios de Rotación</t>
  </si>
  <si>
    <t>Análisis de eficiencia</t>
  </si>
  <si>
    <t>PT B.11</t>
  </si>
  <si>
    <t>Facturas Duplicadas</t>
  </si>
  <si>
    <t>Control de secuencias</t>
  </si>
  <si>
    <t>PT B.12</t>
  </si>
  <si>
    <t>Write-Offs Pre-Cierre</t>
  </si>
  <si>
    <t>Manipulación de resultados</t>
  </si>
  <si>
    <t>PT B.1 - CONFIRMACIÓN POSITIVA DE SALDOS</t>
  </si>
  <si>
    <t>NIA 505 - Confirmaciones Externas | Objetivo: Obtener evidencia de auditoría directa de terceros</t>
  </si>
  <si>
    <t>Fecha de confirmación:</t>
  </si>
  <si>
    <t>N° Cliente</t>
  </si>
  <si>
    <t>Nombre del Cliente</t>
  </si>
  <si>
    <t>Saldo Libros</t>
  </si>
  <si>
    <t>Conf.
Enviada</t>
  </si>
  <si>
    <t>Conf.
Recibida</t>
  </si>
  <si>
    <t>Saldo
Confirmado</t>
  </si>
  <si>
    <t>Diferencia</t>
  </si>
  <si>
    <t>% Dif</t>
  </si>
  <si>
    <t>Riesgo</t>
  </si>
  <si>
    <t>Estado</t>
  </si>
  <si>
    <t>Acción Requerida</t>
  </si>
  <si>
    <t>CL-001</t>
  </si>
  <si>
    <t>ACME CORPORATION S.A.</t>
  </si>
  <si>
    <t>SÍ</t>
  </si>
  <si>
    <t>CL-002</t>
  </si>
  <si>
    <t>DISTRIBUIDORA BETA LTDA</t>
  </si>
  <si>
    <t>CL-003</t>
  </si>
  <si>
    <t>COMERCIAL GAMMA S.A.S.</t>
  </si>
  <si>
    <t>NO</t>
  </si>
  <si>
    <t>CL-004</t>
  </si>
  <si>
    <t>INDUSTRIAS DELTA S.A.</t>
  </si>
  <si>
    <t>CL-005</t>
  </si>
  <si>
    <t>SERVICIOS EPSILON LTDA</t>
  </si>
  <si>
    <t>CL-006</t>
  </si>
  <si>
    <t>SUMINISTROS ZETA S.A.</t>
  </si>
  <si>
    <t>CL-007</t>
  </si>
  <si>
    <t>TECNOLOGÍA ETA S.A.S.</t>
  </si>
  <si>
    <t>CL-008</t>
  </si>
  <si>
    <t>LOGÍSTICA THETA LTDA</t>
  </si>
  <si>
    <t>CL-009</t>
  </si>
  <si>
    <t>CONSTRUCCIONES IOTA S.A.</t>
  </si>
  <si>
    <t>CL-010</t>
  </si>
  <si>
    <t>ALIMENTOS KAPPA S.A.S.</t>
  </si>
  <si>
    <t>RESUMEN DE CONFIRMACIONES</t>
  </si>
  <si>
    <t>Total confirmaciones enviadas:</t>
  </si>
  <si>
    <t>RIESGO GLOBAL:</t>
  </si>
  <si>
    <t>Confirmaciones recibidas:</t>
  </si>
  <si>
    <t>Tasa de respuesta:</t>
  </si>
  <si>
    <t>Sin respuesta:</t>
  </si>
  <si>
    <t>Con diferencias:</t>
  </si>
  <si>
    <t>Total diferencias detectadas:</t>
  </si>
  <si>
    <t>Hallazgos críticos:</t>
  </si>
  <si>
    <t>clientes sin respuesta +</t>
  </si>
  <si>
    <t>con diferencias materiales</t>
  </si>
  <si>
    <t>Monto en riesgo:</t>
  </si>
  <si>
    <t>PT B.2 - ANÁLISIS DE ANTIGÜEDAD DE CARTERA</t>
  </si>
  <si>
    <t>NIA 540 - Estimaciones Contables | Objetivo: Evaluar deterioro y provisión de cartera</t>
  </si>
  <si>
    <t>Cliente</t>
  </si>
  <si>
    <t>Saldo Total</t>
  </si>
  <si>
    <t>0-30 días</t>
  </si>
  <si>
    <t>31-60 días</t>
  </si>
  <si>
    <t>61-90 días</t>
  </si>
  <si>
    <t>91-180 días</t>
  </si>
  <si>
    <t>181-360 días</t>
  </si>
  <si>
    <t>&gt;360 días</t>
  </si>
  <si>
    <t>Días Prom</t>
  </si>
  <si>
    <t>Provisión Sug.</t>
  </si>
  <si>
    <t>ACME CORPORATION</t>
  </si>
  <si>
    <t>DISTRIBUIDORA BETA</t>
  </si>
  <si>
    <t>COMERCIAL GAMMA</t>
  </si>
  <si>
    <t>INDUSTRIAS DELTA</t>
  </si>
  <si>
    <t>SERVICIOS EPSILON</t>
  </si>
  <si>
    <t>SUMINISTROS ZETA</t>
  </si>
  <si>
    <t>TECNOLOGÍA ETA</t>
  </si>
  <si>
    <t>LOGÍSTICA THETA</t>
  </si>
  <si>
    <t>RESUMEN POR ANTIGÜEDAD</t>
  </si>
  <si>
    <t>Cartera corriente (0-90 días):</t>
  </si>
  <si>
    <t>Cartera vencida (91-180 días):</t>
  </si>
  <si>
    <t>Cartera de difícil cobro (181-360):</t>
  </si>
  <si>
    <t>Cartera incobrable (&gt;360 días):</t>
  </si>
  <si>
    <t>Total cartera:</t>
  </si>
  <si>
    <t>Provisión sugerida total:</t>
  </si>
  <si>
    <t>Clientes en riesgo crítico:</t>
  </si>
  <si>
    <t>Provisión sugerida:</t>
  </si>
  <si>
    <t>Días promedio de cartera:</t>
  </si>
  <si>
    <t>PT B.3 - NOTAS CRÉDITO EMITIDAS POST-CIERRE</t>
  </si>
  <si>
    <t>NIA 240 - Manipulación de Ventas | Objetivo: Detectar ventas ficticias o devoluciones ocultas</t>
  </si>
  <si>
    <t>Fecha de cierre:</t>
  </si>
  <si>
    <t>N° NC</t>
  </si>
  <si>
    <t>Fecha NC</t>
  </si>
  <si>
    <t>Factura
Original</t>
  </si>
  <si>
    <t>Fecha
Factura</t>
  </si>
  <si>
    <t>Monto</t>
  </si>
  <si>
    <t>Días Post-
Cierre</t>
  </si>
  <si>
    <t>NC-00125</t>
  </si>
  <si>
    <t>03/01/2025</t>
  </si>
  <si>
    <t>FV-8765</t>
  </si>
  <si>
    <t>28/12/2024</t>
  </si>
  <si>
    <t>COMERCIAL GAMMA S.A.</t>
  </si>
  <si>
    <t>NC-00126</t>
  </si>
  <si>
    <t>05/01/2025</t>
  </si>
  <si>
    <t>FV-8723</t>
  </si>
  <si>
    <t>30/12/2024</t>
  </si>
  <si>
    <t>NC-00127</t>
  </si>
  <si>
    <t>02/01/2025</t>
  </si>
  <si>
    <t>FV-8798</t>
  </si>
  <si>
    <t>NC-00128</t>
  </si>
  <si>
    <t>08/01/2025</t>
  </si>
  <si>
    <t>FV-8654</t>
  </si>
  <si>
    <t>29/12/2024</t>
  </si>
  <si>
    <t>NC-00129</t>
  </si>
  <si>
    <t>04/01/2025</t>
  </si>
  <si>
    <t>FV-8812</t>
  </si>
  <si>
    <t>NC-00130</t>
  </si>
  <si>
    <t>10/01/2025</t>
  </si>
  <si>
    <t>FV-8701</t>
  </si>
  <si>
    <t>27/12/2024</t>
  </si>
  <si>
    <t>ANÁLISIS DE RIESGO</t>
  </si>
  <si>
    <t>NCs emitidas primeros 5 días:</t>
  </si>
  <si>
    <t>NCs con riesgo MUY ALTO:</t>
  </si>
  <si>
    <t>Monto total NCs post-cierre:</t>
  </si>
  <si>
    <t>Monto en riesgo MUY ALTO:</t>
  </si>
  <si>
    <t>Casos sospechosos:</t>
  </si>
  <si>
    <t>notas crédito requieren investigación</t>
  </si>
  <si>
    <t>PT B.4 - VERIFICACIÓN DE AUTORIZACIONES DE CANCELACIONES/CASTIGOS</t>
  </si>
  <si>
    <t>NIA 240 - Control de Castigos | Objetivo: Detectar cancelaciones no autorizadas</t>
  </si>
  <si>
    <t>Período revisado:</t>
  </si>
  <si>
    <t>N° Castigo</t>
  </si>
  <si>
    <t>Fecha</t>
  </si>
  <si>
    <t>Autorizado
Por</t>
  </si>
  <si>
    <t>Nivel
Requerido</t>
  </si>
  <si>
    <t>Cumple</t>
  </si>
  <si>
    <t>CAST-001</t>
  </si>
  <si>
    <t>15/03/2024</t>
  </si>
  <si>
    <t>CLIENTE MOROSO A</t>
  </si>
  <si>
    <t>Gerente Cartera</t>
  </si>
  <si>
    <t>CAST-002</t>
  </si>
  <si>
    <t>22/06/2024</t>
  </si>
  <si>
    <t>DEUDOR INACTIVO B</t>
  </si>
  <si>
    <t>Contador</t>
  </si>
  <si>
    <t>Gerente General</t>
  </si>
  <si>
    <t>CAST-003</t>
  </si>
  <si>
    <t>10/08/2024</t>
  </si>
  <si>
    <t>EMPRESA EN LIQUIDACIÓN C</t>
  </si>
  <si>
    <t>CAST-004</t>
  </si>
  <si>
    <t>05/10/2024</t>
  </si>
  <si>
    <t>CLIENTE FALLIDO D</t>
  </si>
  <si>
    <t>Junta Directiva</t>
  </si>
  <si>
    <t>CAST-005</t>
  </si>
  <si>
    <t>18/11/2024</t>
  </si>
  <si>
    <t>DEUDOR PRESCRITO E</t>
  </si>
  <si>
    <t>CAST-006</t>
  </si>
  <si>
    <t>CLIENTE DESCONOCIDO F</t>
  </si>
  <si>
    <t>RESUMEN DE AUTORIZACIONES</t>
  </si>
  <si>
    <t>Total castigos revisados:</t>
  </si>
  <si>
    <t>Castigos NO autorizados correctamente:</t>
  </si>
  <si>
    <t>Monto total sin autorización:</t>
  </si>
  <si>
    <t>castigos sin autorización adecuada</t>
  </si>
  <si>
    <t>PT B.5 - ANÁLISIS DE CUT-OFF DE VENTAS Y DEVOLUCIONES</t>
  </si>
  <si>
    <t>NIA 330 - Corte de Operaciones | Objetivo: Verificar el reconocimiento correcto de ingresos por período</t>
  </si>
  <si>
    <t>N° Factura</t>
  </si>
  <si>
    <t>Fecha
Despacho</t>
  </si>
  <si>
    <t>Período
Correcto</t>
  </si>
  <si>
    <t>Registro
Contable</t>
  </si>
  <si>
    <t>Diferencia
Días</t>
  </si>
  <si>
    <t>Acción</t>
  </si>
  <si>
    <t>FV-8945</t>
  </si>
  <si>
    <t>CLIENTE A</t>
  </si>
  <si>
    <t>2025</t>
  </si>
  <si>
    <t>2024</t>
  </si>
  <si>
    <t>FV-8932</t>
  </si>
  <si>
    <t>CLIENTE B</t>
  </si>
  <si>
    <t>FV-8967</t>
  </si>
  <si>
    <t>CLIENTE C</t>
  </si>
  <si>
    <t>FV-8912</t>
  </si>
  <si>
    <t>CLIENTE D</t>
  </si>
  <si>
    <t>FV-8978</t>
  </si>
  <si>
    <t>CLIENTE E</t>
  </si>
  <si>
    <t>FV-8889</t>
  </si>
  <si>
    <t>CLIENTE F</t>
  </si>
  <si>
    <t>FV-8990</t>
  </si>
  <si>
    <t>CLIENTE G</t>
  </si>
  <si>
    <t>EVALUACIÓN DE CUT-OFF</t>
  </si>
  <si>
    <t>Transacciones revisadas:</t>
  </si>
  <si>
    <t>Errores de cut-off detectados:</t>
  </si>
  <si>
    <t>Monto registrado incorrectamente:</t>
  </si>
  <si>
    <t>Impacto en utilidad 2024:</t>
  </si>
  <si>
    <t>Ajustes requeridos:</t>
  </si>
  <si>
    <t>facturas en período incorrecto</t>
  </si>
  <si>
    <t>PT B.6 - TRANSACCIONES CON PARTES RELACIONADAS NO REVELADAS</t>
  </si>
  <si>
    <t>NIA 550 - Partes Relacionadas | Objetivo: Identificar transacciones no reveladas adecuadamente</t>
  </si>
  <si>
    <t>Fecha de análisis:</t>
  </si>
  <si>
    <t>Cliente/Deudor</t>
  </si>
  <si>
    <t>Saldo</t>
  </si>
  <si>
    <t>Relación
Identificada</t>
  </si>
  <si>
    <t>Revelado en
Notas EEFF</t>
  </si>
  <si>
    <t>Términos
Comerciales</t>
  </si>
  <si>
    <t>Términos
Normales</t>
  </si>
  <si>
    <t>EMPRESA FAMILIAR S.A.</t>
  </si>
  <si>
    <t>Accionista mayoritario</t>
  </si>
  <si>
    <t>Sin intereses</t>
  </si>
  <si>
    <t>Con intereses</t>
  </si>
  <si>
    <t>HERMANO DEL GERENTE LTDA</t>
  </si>
  <si>
    <t>Familiar directivo</t>
  </si>
  <si>
    <t>120 días plazo</t>
  </si>
  <si>
    <t>60 días plazo</t>
  </si>
  <si>
    <t>PROVEEDOR NORMAL A</t>
  </si>
  <si>
    <t>Ninguna</t>
  </si>
  <si>
    <t>N/A</t>
  </si>
  <si>
    <t>60 días</t>
  </si>
  <si>
    <t>SUBSIDIARIA NO REVELADA</t>
  </si>
  <si>
    <t>Subsidiaria oculta</t>
  </si>
  <si>
    <t>Sin garantías</t>
  </si>
  <si>
    <t>Con garantías</t>
  </si>
  <si>
    <t>CLIENTE REGULAR B</t>
  </si>
  <si>
    <t>45 días</t>
  </si>
  <si>
    <t>EVALUACIÓN DE REVELACIÓN</t>
  </si>
  <si>
    <t>Partes relacionadas identificadas:</t>
  </si>
  <si>
    <t>Partes relacionadas NO reveladas:</t>
  </si>
  <si>
    <t>Monto total no revelado:</t>
  </si>
  <si>
    <t>Hallazgos:</t>
  </si>
  <si>
    <t>transacciones con partes relacionadas sin revelar</t>
  </si>
  <si>
    <t>PT B.7 - ANÁLISIS DE CONCENTRACIÓN DE VENTAS POR CLIENTE</t>
  </si>
  <si>
    <t>Evaluación de Riesgo de Negocio | Objetivo: Identificar dependencia excesiva de pocos clientes</t>
  </si>
  <si>
    <t>Total ventas del período:</t>
  </si>
  <si>
    <t>Ventas Año</t>
  </si>
  <si>
    <t>% Ventas
Totales</t>
  </si>
  <si>
    <t>Saldo CxC</t>
  </si>
  <si>
    <t>% CxC
Total</t>
  </si>
  <si>
    <t>Riesgo
Concentración</t>
  </si>
  <si>
    <t>Riesgo
Crédito</t>
  </si>
  <si>
    <t>Riesgo
Global</t>
  </si>
  <si>
    <t>MEGACLIENTE PRINCIPAL</t>
  </si>
  <si>
    <t>SEGUNDO CLIENTE IMPORTANTE</t>
  </si>
  <si>
    <t>TERCER CLIENTE</t>
  </si>
  <si>
    <t>CLIENTE MEDIANO A</t>
  </si>
  <si>
    <t>CLIENTE MEDIANO B</t>
  </si>
  <si>
    <t>CLIENTE PEQUEÑO A</t>
  </si>
  <si>
    <t>CLIENTE PEQUEÑO B</t>
  </si>
  <si>
    <t>OTROS CLIENTES (150)</t>
  </si>
  <si>
    <t>ANÁLISIS DE CONCENTRACIÓN</t>
  </si>
  <si>
    <t>Top 3 clientes representan:</t>
  </si>
  <si>
    <t>Clientes con riesgo MUY ALTO:</t>
  </si>
  <si>
    <t>Ventas concentradas (riesgo alto):</t>
  </si>
  <si>
    <t>CxC en riesgo de concentración:</t>
  </si>
  <si>
    <t>Nivel de dependencia:</t>
  </si>
  <si>
    <t>PT B.8 - VERIFICACIÓN DE COLATERAL Y GARANTÍAS</t>
  </si>
  <si>
    <t>Evaluación de Respaldos | Objetivo: Verificar existencia y suficiencia de garantías</t>
  </si>
  <si>
    <t>Fecha de verificación:</t>
  </si>
  <si>
    <t>Tipo
Garantía</t>
  </si>
  <si>
    <t>Valor
Garantía</t>
  </si>
  <si>
    <t>% Cobertura</t>
  </si>
  <si>
    <t>Vigencia</t>
  </si>
  <si>
    <t>Vigente</t>
  </si>
  <si>
    <t>Pagaré</t>
  </si>
  <si>
    <t>30/06/2025</t>
  </si>
  <si>
    <t>SEGUNDO CLIENTE</t>
  </si>
  <si>
    <t>Hipoteca</t>
  </si>
  <si>
    <t>15/12/2025</t>
  </si>
  <si>
    <t>Carta crédito</t>
  </si>
  <si>
    <t>05/01/2024</t>
  </si>
  <si>
    <t>Fianza</t>
  </si>
  <si>
    <t>20/08/2025</t>
  </si>
  <si>
    <t>EVALUACIÓN DE GARANTÍAS</t>
  </si>
  <si>
    <t>Cartera sin garantía:</t>
  </si>
  <si>
    <t>Cartera con garantías vencidas:</t>
  </si>
  <si>
    <t>Total cartera en riesgo:</t>
  </si>
  <si>
    <t>Casos críticos:</t>
  </si>
  <si>
    <t>cuentas sin respaldo adecuado</t>
  </si>
  <si>
    <t>PT B.9 - INDAGACIÓN ACUERDOS SIDE-LETTER</t>
  </si>
  <si>
    <t>NIA 240 - Condiciones Ocultas | Objetivo: Detectar acuerdos no revelados que afectan ventas</t>
  </si>
  <si>
    <t>Factura</t>
  </si>
  <si>
    <t>Condición
Especial</t>
  </si>
  <si>
    <t>Revelado en
Contrato</t>
  </si>
  <si>
    <t>Impacto
Ingresos</t>
  </si>
  <si>
    <t>CLIENTE ESPECIAL A</t>
  </si>
  <si>
    <t>FV-8523</t>
  </si>
  <si>
    <t>Devolución 100% si...</t>
  </si>
  <si>
    <t>Alto</t>
  </si>
  <si>
    <t>DISTRIBUIDOR B</t>
  </si>
  <si>
    <t>FV-8645</t>
  </si>
  <si>
    <t>Derecho a devolver 30%</t>
  </si>
  <si>
    <t>Medio</t>
  </si>
  <si>
    <t>CLIENTE REGULAR C</t>
  </si>
  <si>
    <t>FV-8712</t>
  </si>
  <si>
    <t>Condiciones normales</t>
  </si>
  <si>
    <t>Ninguno</t>
  </si>
  <si>
    <t>CLIENTE BETA</t>
  </si>
  <si>
    <t>FV-8890</t>
  </si>
  <si>
    <t>Precio ajustable retroactivo</t>
  </si>
  <si>
    <t>EVALUACIÓN DE SIDE-LETTERS</t>
  </si>
  <si>
    <t>Acuerdos side-letter detectados:</t>
  </si>
  <si>
    <t>Ingresos en riesgo de ajuste:</t>
  </si>
  <si>
    <t>acuerdos ocultos que afectan ingresos</t>
  </si>
  <si>
    <t>Ajuste estimado a ingresos:</t>
  </si>
  <si>
    <t>PT B.11 - FACTURAS DUPLICADAS Y NÚMEROS SECUENCIALES FALTANTES</t>
  </si>
  <si>
    <t>NIA 240 - Control de Secuencias | Objetivo: Detectar facturación fraudulenta o manipulación</t>
  </si>
  <si>
    <t>Diciembre 2024</t>
  </si>
  <si>
    <t>Tipo
Hallazgo</t>
  </si>
  <si>
    <t>Duplicado de</t>
  </si>
  <si>
    <t>Secuencia
Esperada</t>
  </si>
  <si>
    <t>Duplicada</t>
  </si>
  <si>
    <t>15/12/2024</t>
  </si>
  <si>
    <t>Salto</t>
  </si>
  <si>
    <t>FV-8527</t>
  </si>
  <si>
    <t>16/12/2024</t>
  </si>
  <si>
    <t>FV-8524, 8525, 8526</t>
  </si>
  <si>
    <t>FV-8530</t>
  </si>
  <si>
    <t>18/12/2024</t>
  </si>
  <si>
    <t>Normal</t>
  </si>
  <si>
    <t>FV-8531</t>
  </si>
  <si>
    <t>FV-8540</t>
  </si>
  <si>
    <t>20/12/2024</t>
  </si>
  <si>
    <t>FV-8532-8539</t>
  </si>
  <si>
    <t>FV-8545</t>
  </si>
  <si>
    <t>22/12/2024</t>
  </si>
  <si>
    <t>CONTROL DE SECUENCIAS Y DUPLICADOS</t>
  </si>
  <si>
    <t>Facturas duplicadas detectadas:</t>
  </si>
  <si>
    <t>Saltos de secuencia detectados:</t>
  </si>
  <si>
    <t>Monto en facturas duplicadas:</t>
  </si>
  <si>
    <t>facturas duplicadas requieren investigación</t>
  </si>
  <si>
    <t>PT B.12 - ANÁLISIS DE WRITE-OFFS INUSUALES PRE-CIERRE</t>
  </si>
  <si>
    <t>NIA 240 - Manipulación de Resultados | Objetivo: Detectar castigos estratégicos para mejorar indicadores</t>
  </si>
  <si>
    <t>Días al
Cierre</t>
  </si>
  <si>
    <t>Antigüedad
Cartera</t>
  </si>
  <si>
    <t>Justificación</t>
  </si>
  <si>
    <t>WO-045</t>
  </si>
  <si>
    <t>Incobrabilidad</t>
  </si>
  <si>
    <t>WO-046</t>
  </si>
  <si>
    <t>DEUDOR ACTIVO B</t>
  </si>
  <si>
    <t>Optimización cartera</t>
  </si>
  <si>
    <t>WO-047</t>
  </si>
  <si>
    <t>EMPRESA LIQUIDADA C</t>
  </si>
  <si>
    <t>Liquidación judicial</t>
  </si>
  <si>
    <t>WO-048</t>
  </si>
  <si>
    <t>CLIENTE REGULAR D</t>
  </si>
  <si>
    <t>Mejora indicadores</t>
  </si>
  <si>
    <t>WO-049</t>
  </si>
  <si>
    <t>Prescripción</t>
  </si>
  <si>
    <t>ANÁLISIS DE WRITE-OFFS PRE-CIERRE</t>
  </si>
  <si>
    <t>Write-offs últimos 3 días:</t>
  </si>
  <si>
    <t>Casos con riesgo MUY ALTO:</t>
  </si>
  <si>
    <t>Monto total write-offs pre-cierre:</t>
  </si>
  <si>
    <t>Monto sospechoso (MUY ALTO):</t>
  </si>
  <si>
    <t>castigos requieren investigación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</si>
</sst>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\$#,##0"/>
    <numFmt numFmtId="165" formatCode="dd/mm/yyyy"/>
    <numFmt numFmtId="166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1F4E78"/>
      <name val="Calibri"/>
    </font>
    <font>
      <i/>
      <sz val="10"/>
      <name val="Calibri"/>
    </font>
    <font>
      <b/>
      <sz val="10"/>
      <color rgb="FFFFFFFF"/>
      <name val="Calibri"/>
    </font>
    <font>
      <u/>
      <sz val="11"/>
      <color rgb="FF0563C1"/>
      <name val="Calibri"/>
    </font>
    <font>
      <b/>
      <sz val="14"/>
      <color rgb="FFFFFFFF"/>
      <name val="Calibri"/>
    </font>
    <font>
      <i/>
      <sz val="9"/>
      <name val="Calibri"/>
    </font>
    <font>
      <b/>
      <sz val="11"/>
      <color rgb="FFFFFFFF"/>
      <name val="Calibri"/>
    </font>
    <font>
      <b/>
      <sz val="11"/>
      <color rgb="FFFF0000"/>
      <name val="Calibri"/>
    </font>
    <font>
      <b/>
      <sz val="11"/>
      <color rgb="FFFFA500"/>
      <name val="Calibri"/>
    </font>
    <font>
      <b/>
      <sz val="11"/>
      <name val="Calibri"/>
    </font>
    <font>
      <b/>
      <sz val="12"/>
      <name val="Calibri"/>
    </font>
    <font>
      <b/>
      <sz val="11"/>
      <color rgb="FFFF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1F4E78"/>
        <bgColor rgb="FF1F4E78"/>
      </patternFill>
    </fill>
    <fill>
      <patternFill patternType="solid">
        <fgColor rgb="FF305496"/>
        <bgColor rgb="FF305496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3" fillId="2" borderId="1" xfId="0" applyFont="1" applyFill="1" applyBorder="1" applyAlignment="1">
      <alignment horizontal="center" vertical="center" wrapText="1"/>
    </xf>
    <xf numFmtId="0" fontId="4" fillId="0" borderId="0" xfId="0" applyFont="1"/>
    <xf numFmtId="164" fontId="0" fillId="0" borderId="0" xfId="0" applyNumberFormat="1"/>
    <xf numFmtId="165" fontId="0" fillId="0" borderId="0" xfId="0" applyNumberFormat="1"/>
    <xf numFmtId="3" fontId="0" fillId="0" borderId="0" xfId="0" applyNumberFormat="1"/>
    <xf numFmtId="166" fontId="0" fillId="0" borderId="0" xfId="0" applyNumberFormat="1"/>
    <xf numFmtId="0" fontId="11" fillId="0" borderId="0" xfId="0" applyFont="1"/>
    <xf numFmtId="0" fontId="8" fillId="0" borderId="0" xfId="0" applyFont="1"/>
    <xf numFmtId="0" fontId="9" fillId="0" borderId="0" xfId="0" applyFont="1"/>
    <xf numFmtId="164" fontId="10" fillId="0" borderId="0" xfId="0" applyNumberFormat="1" applyFont="1"/>
    <xf numFmtId="1" fontId="0" fillId="0" borderId="0" xfId="0" applyNumberFormat="1"/>
    <xf numFmtId="164" fontId="8" fillId="0" borderId="0" xfId="0" applyNumberFormat="1" applyFont="1"/>
    <xf numFmtId="164" fontId="12" fillId="0" borderId="0" xfId="0" applyNumberFormat="1" applyFont="1"/>
    <xf numFmtId="0" fontId="3" fillId="2" borderId="0" xfId="0" applyFont="1" applyFill="1" applyAlignment="1">
      <alignment horizontal="center" vertical="center" wrapText="1"/>
    </xf>
    <xf numFmtId="166" fontId="10" fillId="0" borderId="0" xfId="0" applyNumberFormat="1" applyFont="1"/>
    <xf numFmtId="164" fontId="9" fillId="0" borderId="0" xfId="0" applyNumberFormat="1" applyFont="1"/>
    <xf numFmtId="0" fontId="1" fillId="0" borderId="0" xfId="0" applyFont="1" applyAlignment="1">
      <alignment horizontal="center" vertical="center"/>
    </xf>
    <xf numFmtId="0" fontId="0" fillId="0" borderId="0" xfId="0"/>
    <xf numFmtId="0" fontId="2" fillId="0" borderId="0" xfId="0" applyFont="1"/>
    <xf numFmtId="0" fontId="6" fillId="0" borderId="0" xfId="0" applyFont="1"/>
    <xf numFmtId="0" fontId="5" fillId="3" borderId="0" xfId="0" applyFont="1" applyFill="1" applyAlignment="1">
      <alignment horizontal="center" vertical="center"/>
    </xf>
    <xf numFmtId="0" fontId="7" fillId="4" borderId="0" xfId="0" applyFont="1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PT_B.10_Rotacion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T_B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workbookViewId="0">
      <selection activeCell="C34" sqref="C34"/>
    </sheetView>
  </sheetViews>
  <sheetFormatPr baseColWidth="10" defaultColWidth="9.140625" defaultRowHeight="15" x14ac:dyDescent="0.25"/>
  <cols>
    <col min="1" max="1" width="8" customWidth="1"/>
    <col min="2" max="2" width="30" customWidth="1"/>
    <col min="3" max="3" width="32" customWidth="1"/>
    <col min="4" max="4" width="12" customWidth="1"/>
    <col min="5" max="5" width="15" customWidth="1"/>
    <col min="6" max="6" width="12" customWidth="1"/>
    <col min="7" max="8" width="15" customWidth="1"/>
    <col min="9" max="9" width="12" customWidth="1"/>
  </cols>
  <sheetData>
    <row r="1" spans="1:9" ht="21" x14ac:dyDescent="0.25">
      <c r="A1" s="17" t="s">
        <v>0</v>
      </c>
      <c r="B1" s="18"/>
      <c r="C1" s="18"/>
      <c r="D1" s="18"/>
      <c r="E1" s="18"/>
      <c r="F1" s="18"/>
      <c r="G1" s="18"/>
      <c r="H1" s="18"/>
      <c r="I1" s="18"/>
    </row>
    <row r="2" spans="1:9" x14ac:dyDescent="0.25">
      <c r="A2" s="19" t="s">
        <v>1</v>
      </c>
      <c r="B2" s="18"/>
      <c r="C2" s="18"/>
      <c r="D2" s="18"/>
      <c r="E2" s="18"/>
      <c r="F2" s="18"/>
      <c r="G2" s="18"/>
      <c r="H2" s="18"/>
      <c r="I2" s="18"/>
    </row>
    <row r="4" spans="1:9" x14ac:dyDescent="0.25">
      <c r="A4" t="s">
        <v>2</v>
      </c>
      <c r="B4" t="s">
        <v>3</v>
      </c>
    </row>
    <row r="5" spans="1:9" x14ac:dyDescent="0.25">
      <c r="A5" t="s">
        <v>4</v>
      </c>
      <c r="B5" t="s">
        <v>5</v>
      </c>
    </row>
    <row r="6" spans="1:9" x14ac:dyDescent="0.25">
      <c r="A6" t="s">
        <v>6</v>
      </c>
      <c r="B6" t="s">
        <v>7</v>
      </c>
    </row>
    <row r="7" spans="1:9" x14ac:dyDescent="0.25">
      <c r="A7" t="s">
        <v>8</v>
      </c>
      <c r="B7" t="s">
        <v>9</v>
      </c>
    </row>
    <row r="9" spans="1:9" x14ac:dyDescent="0.25">
      <c r="A9" s="1" t="s">
        <v>10</v>
      </c>
      <c r="B9" s="1" t="s">
        <v>11</v>
      </c>
      <c r="C9" s="1" t="s">
        <v>12</v>
      </c>
      <c r="D9" s="1" t="s">
        <v>13</v>
      </c>
      <c r="E9" s="1" t="s">
        <v>14</v>
      </c>
      <c r="F9" s="1" t="s">
        <v>15</v>
      </c>
      <c r="G9" s="1" t="s">
        <v>16</v>
      </c>
      <c r="H9" s="1" t="s">
        <v>17</v>
      </c>
      <c r="I9" s="1" t="s">
        <v>18</v>
      </c>
    </row>
    <row r="10" spans="1:9" x14ac:dyDescent="0.25">
      <c r="A10" t="s">
        <v>19</v>
      </c>
      <c r="B10" s="2" t="s">
        <v>20</v>
      </c>
      <c r="C10" t="s">
        <v>21</v>
      </c>
      <c r="D10">
        <v>5</v>
      </c>
      <c r="E10">
        <v>1</v>
      </c>
      <c r="F10">
        <f>PT_B.1_Confirmaciones!B25</f>
        <v>3</v>
      </c>
      <c r="G10" s="3">
        <f>PT_B.1_Confirmaciones!D26</f>
        <v>140800000</v>
      </c>
      <c r="H10" t="s">
        <v>22</v>
      </c>
      <c r="I10" s="4">
        <f t="shared" ref="I10:I21" ca="1" si="0">TODAY()</f>
        <v>45978</v>
      </c>
    </row>
    <row r="11" spans="1:9" x14ac:dyDescent="0.25">
      <c r="A11" t="s">
        <v>23</v>
      </c>
      <c r="B11" s="2" t="s">
        <v>24</v>
      </c>
      <c r="C11" t="s">
        <v>25</v>
      </c>
      <c r="D11">
        <f>PT_B.2_Antiguedad!I17</f>
        <v>0</v>
      </c>
      <c r="E11">
        <f>PT_B.2_Antiguedad!J17</f>
        <v>0</v>
      </c>
      <c r="F11">
        <f>PT_B.2_Antiguedad!B24</f>
        <v>0</v>
      </c>
      <c r="G11" s="3">
        <f>PT_B.2_Antiguedad!D25</f>
        <v>95430000</v>
      </c>
      <c r="H11" t="s">
        <v>22</v>
      </c>
      <c r="I11" s="4">
        <f t="shared" ca="1" si="0"/>
        <v>45978</v>
      </c>
    </row>
    <row r="12" spans="1:9" x14ac:dyDescent="0.25">
      <c r="A12" t="s">
        <v>26</v>
      </c>
      <c r="B12" s="2" t="s">
        <v>27</v>
      </c>
      <c r="C12" t="s">
        <v>28</v>
      </c>
      <c r="D12" t="str">
        <f>PT_B.3_NC_PostCierre!H16</f>
        <v>RIESGO GLOBAL:</v>
      </c>
      <c r="E12" t="str">
        <f>PT_B.3_NC_PostCierre!I16</f>
        <v>CRÍTICO</v>
      </c>
      <c r="F12">
        <f>PT_B.3_NC_PostCierre!B22</f>
        <v>4</v>
      </c>
      <c r="G12" s="3">
        <f>PT_B.3_NC_PostCierre!D23</f>
        <v>43200000</v>
      </c>
      <c r="H12" t="s">
        <v>22</v>
      </c>
      <c r="I12" s="4">
        <f t="shared" ca="1" si="0"/>
        <v>45978</v>
      </c>
    </row>
    <row r="13" spans="1:9" x14ac:dyDescent="0.25">
      <c r="A13" t="s">
        <v>29</v>
      </c>
      <c r="B13" s="2" t="s">
        <v>30</v>
      </c>
      <c r="C13" t="s">
        <v>31</v>
      </c>
      <c r="D13" t="str">
        <f>PT_B.4_Autorizaciones!H16</f>
        <v>RIESGO GLOBAL:</v>
      </c>
      <c r="E13" t="str">
        <f>PT_B.4_Autorizaciones!I16</f>
        <v>CRÍTICO</v>
      </c>
      <c r="F13">
        <f>PT_B.4_Autorizaciones!B21</f>
        <v>3</v>
      </c>
      <c r="G13" s="3">
        <f>PT_B.4_Autorizaciones!D22</f>
        <v>55500000</v>
      </c>
      <c r="H13" t="s">
        <v>22</v>
      </c>
      <c r="I13" s="4">
        <f t="shared" ca="1" si="0"/>
        <v>45978</v>
      </c>
    </row>
    <row r="14" spans="1:9" x14ac:dyDescent="0.25">
      <c r="A14" t="s">
        <v>32</v>
      </c>
      <c r="B14" s="2" t="s">
        <v>33</v>
      </c>
      <c r="C14" t="s">
        <v>34</v>
      </c>
      <c r="D14">
        <f>PT_B.5_CutOff!I16</f>
        <v>0</v>
      </c>
      <c r="E14">
        <f>PT_B.5_CutOff!J16</f>
        <v>0</v>
      </c>
      <c r="F14">
        <f>PT_B.5_CutOff!B23</f>
        <v>4</v>
      </c>
      <c r="G14" s="3">
        <f>PT_B.5_CutOff!D24</f>
        <v>50200005</v>
      </c>
      <c r="H14" t="s">
        <v>22</v>
      </c>
      <c r="I14" s="4">
        <f t="shared" ca="1" si="0"/>
        <v>45978</v>
      </c>
    </row>
    <row r="15" spans="1:9" x14ac:dyDescent="0.25">
      <c r="A15" t="s">
        <v>35</v>
      </c>
      <c r="B15" s="2" t="s">
        <v>36</v>
      </c>
      <c r="C15" t="s">
        <v>37</v>
      </c>
      <c r="D15" t="str">
        <f>PT_B.6_PartesRel!H16</f>
        <v>RIESGO GLOBAL:</v>
      </c>
      <c r="E15" t="str">
        <f>PT_B.6_PartesRel!I16</f>
        <v>ALTO</v>
      </c>
      <c r="F15">
        <f>PT_B.6_PartesRel!B21</f>
        <v>3</v>
      </c>
      <c r="G15" s="3">
        <f>PT_B.6_PartesRel!D22</f>
        <v>82000000</v>
      </c>
      <c r="H15" t="s">
        <v>22</v>
      </c>
      <c r="I15" s="4">
        <f t="shared" ca="1" si="0"/>
        <v>45978</v>
      </c>
    </row>
    <row r="16" spans="1:9" x14ac:dyDescent="0.25">
      <c r="A16" t="s">
        <v>38</v>
      </c>
      <c r="B16" s="2" t="s">
        <v>39</v>
      </c>
      <c r="C16" t="s">
        <v>40</v>
      </c>
      <c r="D16">
        <f>PT_B.7_Concentracion!I16</f>
        <v>0</v>
      </c>
      <c r="E16">
        <f>PT_B.7_Concentracion!J16</f>
        <v>0</v>
      </c>
      <c r="F16" t="str">
        <f>PT_B.7_Concentracion!B23</f>
        <v>Dependencia crítica</v>
      </c>
      <c r="G16" s="3">
        <f>PT_B.7_Concentracion!D24</f>
        <v>280500000</v>
      </c>
      <c r="H16" t="s">
        <v>22</v>
      </c>
      <c r="I16" s="4">
        <f t="shared" ca="1" si="0"/>
        <v>45978</v>
      </c>
    </row>
    <row r="17" spans="1:9" x14ac:dyDescent="0.25">
      <c r="A17" t="s">
        <v>41</v>
      </c>
      <c r="B17" s="2" t="s">
        <v>42</v>
      </c>
      <c r="C17" t="s">
        <v>43</v>
      </c>
      <c r="D17" t="str">
        <f>PT_B.8_Colateral!H16</f>
        <v>RIESGO GLOBAL:</v>
      </c>
      <c r="E17" t="str">
        <f>PT_B.8_Colateral!I16</f>
        <v>ALTO</v>
      </c>
      <c r="F17">
        <f>PT_B.8_Colateral!B21</f>
        <v>5</v>
      </c>
      <c r="G17" s="3">
        <f>PT_B.8_Colateral!D22</f>
        <v>136500000</v>
      </c>
      <c r="H17" t="s">
        <v>22</v>
      </c>
      <c r="I17" s="4">
        <f t="shared" ca="1" si="0"/>
        <v>45978</v>
      </c>
    </row>
    <row r="18" spans="1:9" x14ac:dyDescent="0.25">
      <c r="A18" t="s">
        <v>44</v>
      </c>
      <c r="B18" s="2" t="s">
        <v>45</v>
      </c>
      <c r="C18" t="s">
        <v>46</v>
      </c>
      <c r="D18">
        <f>PT_B.9_SideLetter!H16</f>
        <v>0</v>
      </c>
      <c r="E18">
        <f>PT_B.9_SideLetter!I16</f>
        <v>0</v>
      </c>
      <c r="F18">
        <f>PT_B.9_SideLetter!B20</f>
        <v>33300000</v>
      </c>
      <c r="G18" s="3">
        <f>PT_B.9_SideLetter!D21</f>
        <v>111000000</v>
      </c>
      <c r="H18" t="s">
        <v>22</v>
      </c>
      <c r="I18" s="4">
        <f t="shared" ca="1" si="0"/>
        <v>45978</v>
      </c>
    </row>
    <row r="19" spans="1:9" x14ac:dyDescent="0.25">
      <c r="A19" t="s">
        <v>47</v>
      </c>
      <c r="B19" s="2" t="s">
        <v>48</v>
      </c>
      <c r="C19" t="s">
        <v>49</v>
      </c>
      <c r="D19" t="e">
        <f>[1]PT_B!I17</f>
        <v>#REF!</v>
      </c>
      <c r="E19" t="e">
        <f>[1]PT_B!J17</f>
        <v>#REF!</v>
      </c>
      <c r="F19" t="e">
        <f>[1]PT_B!B23</f>
        <v>#REF!</v>
      </c>
      <c r="G19" s="3" t="e">
        <f>[1]PT_B!D24</f>
        <v>#REF!</v>
      </c>
      <c r="H19" t="s">
        <v>22</v>
      </c>
      <c r="I19" s="4">
        <f t="shared" ca="1" si="0"/>
        <v>45978</v>
      </c>
    </row>
    <row r="20" spans="1:9" x14ac:dyDescent="0.25">
      <c r="A20" t="s">
        <v>50</v>
      </c>
      <c r="B20" s="2" t="s">
        <v>51</v>
      </c>
      <c r="C20" t="s">
        <v>52</v>
      </c>
      <c r="D20" t="str">
        <f>PT_B.11_Duplicadas!H16</f>
        <v>RIESGO GLOBAL:</v>
      </c>
      <c r="E20" t="str">
        <f>PT_B.11_Duplicadas!I16</f>
        <v>CRÍTICO</v>
      </c>
      <c r="F20">
        <f>PT_B.11_Duplicadas!B21</f>
        <v>3</v>
      </c>
      <c r="G20" s="3">
        <f>PT_B.11_Duplicadas!D22</f>
        <v>45500000</v>
      </c>
      <c r="H20" t="s">
        <v>22</v>
      </c>
      <c r="I20" s="4">
        <f t="shared" ca="1" si="0"/>
        <v>45978</v>
      </c>
    </row>
    <row r="21" spans="1:9" x14ac:dyDescent="0.25">
      <c r="A21" t="s">
        <v>53</v>
      </c>
      <c r="B21" s="2" t="s">
        <v>54</v>
      </c>
      <c r="C21" t="s">
        <v>55</v>
      </c>
      <c r="D21" t="str">
        <f>PT_B.12_WriteOffs!H16</f>
        <v>RIESGO GLOBAL:</v>
      </c>
      <c r="E21" t="str">
        <f>PT_B.12_WriteOffs!I16</f>
        <v>CRÍTICO</v>
      </c>
      <c r="F21">
        <f>PT_B.12_WriteOffs!B21</f>
        <v>5</v>
      </c>
      <c r="G21" s="3">
        <f>PT_B.12_WriteOffs!D22</f>
        <v>24000000</v>
      </c>
      <c r="H21" t="s">
        <v>22</v>
      </c>
      <c r="I21" s="4">
        <f t="shared" ca="1" si="0"/>
        <v>45978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workbookViewId="0">
      <selection activeCell="F9" sqref="F9"/>
    </sheetView>
  </sheetViews>
  <sheetFormatPr baseColWidth="10" defaultColWidth="9.140625" defaultRowHeight="15" x14ac:dyDescent="0.25"/>
  <cols>
    <col min="1" max="1" width="12" customWidth="1"/>
    <col min="2" max="2" width="28" customWidth="1"/>
    <col min="3" max="10" width="12" customWidth="1"/>
    <col min="11" max="11" width="25" customWidth="1"/>
  </cols>
  <sheetData>
    <row r="1" spans="1:11" ht="18.75" x14ac:dyDescent="0.25">
      <c r="A1" s="21" t="s">
        <v>56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20" t="s">
        <v>57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5">
      <c r="A4" t="s">
        <v>58</v>
      </c>
      <c r="B4" s="4" t="s">
        <v>7</v>
      </c>
    </row>
    <row r="7" spans="1:11" ht="25.5" x14ac:dyDescent="0.25">
      <c r="A7" s="1" t="s">
        <v>59</v>
      </c>
      <c r="B7" s="1" t="s">
        <v>60</v>
      </c>
      <c r="C7" s="1" t="s">
        <v>61</v>
      </c>
      <c r="D7" s="1" t="s">
        <v>62</v>
      </c>
      <c r="E7" s="1" t="s">
        <v>63</v>
      </c>
      <c r="F7" s="1" t="s">
        <v>64</v>
      </c>
      <c r="G7" s="1" t="s">
        <v>65</v>
      </c>
      <c r="H7" s="1" t="s">
        <v>66</v>
      </c>
      <c r="I7" s="1" t="s">
        <v>67</v>
      </c>
      <c r="J7" s="1" t="s">
        <v>68</v>
      </c>
      <c r="K7" s="1" t="s">
        <v>69</v>
      </c>
    </row>
    <row r="8" spans="1:11" x14ac:dyDescent="0.25">
      <c r="A8" t="s">
        <v>70</v>
      </c>
      <c r="B8" t="s">
        <v>71</v>
      </c>
      <c r="C8" s="5">
        <v>45800000</v>
      </c>
      <c r="D8" t="s">
        <v>72</v>
      </c>
      <c r="E8" t="s">
        <v>72</v>
      </c>
      <c r="F8" s="5">
        <v>100</v>
      </c>
      <c r="G8" s="5">
        <f t="shared" ref="G8:G17" si="0">IF(E8="SÍ",C8-F8,C8)</f>
        <v>45799900</v>
      </c>
      <c r="H8" s="6">
        <f t="shared" ref="H8:H17" si="1">IF(C8=0,0,ABS(G8/C8))</f>
        <v>0.99999781659388642</v>
      </c>
      <c r="I8" t="str">
        <f t="shared" ref="I8:I17" si="2">IF(E8="NO","CRÍTICO",IF(H8&gt;0.1,"ALTO",IF(H8&gt;0.05,"MEDIO","BAJO")))</f>
        <v>ALTO</v>
      </c>
      <c r="J8" t="str">
        <f t="shared" ref="J8:J17" si="3">IF(I8="CRÍTICO","🚨 SIN RESPUESTA",IF(I8="ALTO","🔴 DIFERENCIA",IF(I8="MEDIO","⚠ REVISAR","✓ CONFIRMADO")))</f>
        <v>🔴 DIFERENCIA</v>
      </c>
      <c r="K8" t="str">
        <f t="shared" ref="K8:K17" si="4">IF(E8="NO","Procedimientos alternativos",IF(H8&gt;0.05,"Investigar diferencia","Ninguna"))</f>
        <v>Investigar diferencia</v>
      </c>
    </row>
    <row r="9" spans="1:11" x14ac:dyDescent="0.25">
      <c r="A9" t="s">
        <v>73</v>
      </c>
      <c r="B9" t="s">
        <v>74</v>
      </c>
      <c r="C9" s="5">
        <v>28500000</v>
      </c>
      <c r="D9" t="s">
        <v>72</v>
      </c>
      <c r="E9" t="s">
        <v>72</v>
      </c>
      <c r="F9" s="5">
        <v>26200000</v>
      </c>
      <c r="G9" s="5">
        <f t="shared" si="0"/>
        <v>2300000</v>
      </c>
      <c r="H9" s="6">
        <f t="shared" si="1"/>
        <v>8.0701754385964913E-2</v>
      </c>
      <c r="I9" t="str">
        <f t="shared" si="2"/>
        <v>MEDIO</v>
      </c>
      <c r="J9" t="str">
        <f t="shared" si="3"/>
        <v>⚠ REVISAR</v>
      </c>
      <c r="K9" t="str">
        <f t="shared" si="4"/>
        <v>Investigar diferencia</v>
      </c>
    </row>
    <row r="10" spans="1:11" x14ac:dyDescent="0.25">
      <c r="A10" t="s">
        <v>75</v>
      </c>
      <c r="B10" t="s">
        <v>76</v>
      </c>
      <c r="C10" s="5">
        <v>67200000</v>
      </c>
      <c r="D10" t="s">
        <v>72</v>
      </c>
      <c r="E10" t="s">
        <v>77</v>
      </c>
      <c r="G10" s="5">
        <f t="shared" si="0"/>
        <v>67200000</v>
      </c>
      <c r="H10" s="6">
        <f t="shared" si="1"/>
        <v>1</v>
      </c>
      <c r="I10" t="str">
        <f t="shared" si="2"/>
        <v>CRÍTICO</v>
      </c>
      <c r="J10" t="str">
        <f t="shared" si="3"/>
        <v>🚨 SIN RESPUESTA</v>
      </c>
      <c r="K10" t="str">
        <f t="shared" si="4"/>
        <v>Procedimientos alternativos</v>
      </c>
    </row>
    <row r="11" spans="1:11" x14ac:dyDescent="0.25">
      <c r="A11" t="s">
        <v>78</v>
      </c>
      <c r="B11" t="s">
        <v>79</v>
      </c>
      <c r="C11" s="5">
        <v>19800000</v>
      </c>
      <c r="D11" t="s">
        <v>72</v>
      </c>
      <c r="E11" t="s">
        <v>72</v>
      </c>
      <c r="F11" s="5">
        <v>19800000</v>
      </c>
      <c r="G11" s="5">
        <f t="shared" si="0"/>
        <v>0</v>
      </c>
      <c r="H11" s="6">
        <f t="shared" si="1"/>
        <v>0</v>
      </c>
      <c r="I11" t="str">
        <f t="shared" si="2"/>
        <v>BAJO</v>
      </c>
      <c r="J11" t="str">
        <f t="shared" si="3"/>
        <v>✓ CONFIRMADO</v>
      </c>
      <c r="K11" t="str">
        <f t="shared" si="4"/>
        <v>Ninguna</v>
      </c>
    </row>
    <row r="12" spans="1:11" x14ac:dyDescent="0.25">
      <c r="A12" t="s">
        <v>80</v>
      </c>
      <c r="B12" t="s">
        <v>81</v>
      </c>
      <c r="C12" s="5">
        <v>52300000</v>
      </c>
      <c r="D12" t="s">
        <v>72</v>
      </c>
      <c r="E12" t="s">
        <v>72</v>
      </c>
      <c r="F12" s="5">
        <v>48900000</v>
      </c>
      <c r="G12" s="5">
        <f t="shared" si="0"/>
        <v>3400000</v>
      </c>
      <c r="H12" s="6">
        <f t="shared" si="1"/>
        <v>6.5009560229445512E-2</v>
      </c>
      <c r="I12" t="str">
        <f t="shared" si="2"/>
        <v>MEDIO</v>
      </c>
      <c r="J12" t="str">
        <f t="shared" si="3"/>
        <v>⚠ REVISAR</v>
      </c>
      <c r="K12" t="str">
        <f t="shared" si="4"/>
        <v>Investigar diferencia</v>
      </c>
    </row>
    <row r="13" spans="1:11" x14ac:dyDescent="0.25">
      <c r="A13" t="s">
        <v>82</v>
      </c>
      <c r="B13" t="s">
        <v>83</v>
      </c>
      <c r="C13" s="5">
        <v>38700000</v>
      </c>
      <c r="D13" t="s">
        <v>72</v>
      </c>
      <c r="E13" t="s">
        <v>77</v>
      </c>
      <c r="G13" s="5">
        <f t="shared" si="0"/>
        <v>38700000</v>
      </c>
      <c r="H13" s="6">
        <f t="shared" si="1"/>
        <v>1</v>
      </c>
      <c r="I13" t="str">
        <f t="shared" si="2"/>
        <v>CRÍTICO</v>
      </c>
      <c r="J13" t="str">
        <f t="shared" si="3"/>
        <v>🚨 SIN RESPUESTA</v>
      </c>
      <c r="K13" t="str">
        <f t="shared" si="4"/>
        <v>Procedimientos alternativos</v>
      </c>
    </row>
    <row r="14" spans="1:11" x14ac:dyDescent="0.25">
      <c r="A14" t="s">
        <v>84</v>
      </c>
      <c r="B14" t="s">
        <v>85</v>
      </c>
      <c r="C14" s="5">
        <v>15400000</v>
      </c>
      <c r="D14" t="s">
        <v>72</v>
      </c>
      <c r="E14" t="s">
        <v>72</v>
      </c>
      <c r="F14" s="5">
        <v>15400000</v>
      </c>
      <c r="G14" s="5">
        <f t="shared" si="0"/>
        <v>0</v>
      </c>
      <c r="H14" s="6">
        <f t="shared" si="1"/>
        <v>0</v>
      </c>
      <c r="I14" t="str">
        <f t="shared" si="2"/>
        <v>BAJO</v>
      </c>
      <c r="J14" t="str">
        <f t="shared" si="3"/>
        <v>✓ CONFIRMADO</v>
      </c>
      <c r="K14" t="str">
        <f t="shared" si="4"/>
        <v>Ninguna</v>
      </c>
    </row>
    <row r="15" spans="1:11" x14ac:dyDescent="0.25">
      <c r="A15" t="s">
        <v>86</v>
      </c>
      <c r="B15" t="s">
        <v>87</v>
      </c>
      <c r="C15" s="5">
        <v>89600000</v>
      </c>
      <c r="D15" t="s">
        <v>72</v>
      </c>
      <c r="E15" t="s">
        <v>72</v>
      </c>
      <c r="F15" s="5">
        <v>89600000</v>
      </c>
      <c r="G15" s="5">
        <f t="shared" si="0"/>
        <v>0</v>
      </c>
      <c r="H15" s="6">
        <f t="shared" si="1"/>
        <v>0</v>
      </c>
      <c r="I15" t="str">
        <f t="shared" si="2"/>
        <v>BAJO</v>
      </c>
      <c r="J15" t="str">
        <f t="shared" si="3"/>
        <v>✓ CONFIRMADO</v>
      </c>
      <c r="K15" t="str">
        <f t="shared" si="4"/>
        <v>Ninguna</v>
      </c>
    </row>
    <row r="16" spans="1:11" x14ac:dyDescent="0.25">
      <c r="A16" t="s">
        <v>88</v>
      </c>
      <c r="B16" t="s">
        <v>89</v>
      </c>
      <c r="C16" s="5">
        <v>34900000</v>
      </c>
      <c r="D16" t="s">
        <v>72</v>
      </c>
      <c r="E16" t="s">
        <v>77</v>
      </c>
      <c r="G16" s="5">
        <f t="shared" si="0"/>
        <v>34900000</v>
      </c>
      <c r="H16" s="6">
        <f t="shared" si="1"/>
        <v>1</v>
      </c>
      <c r="I16" t="str">
        <f t="shared" si="2"/>
        <v>CRÍTICO</v>
      </c>
      <c r="J16" t="str">
        <f t="shared" si="3"/>
        <v>🚨 SIN RESPUESTA</v>
      </c>
      <c r="K16" t="str">
        <f t="shared" si="4"/>
        <v>Procedimientos alternativos</v>
      </c>
    </row>
    <row r="17" spans="1:11" x14ac:dyDescent="0.25">
      <c r="A17" t="s">
        <v>90</v>
      </c>
      <c r="B17" t="s">
        <v>91</v>
      </c>
      <c r="C17" s="5">
        <v>21500000</v>
      </c>
      <c r="D17" t="s">
        <v>72</v>
      </c>
      <c r="E17" t="s">
        <v>72</v>
      </c>
      <c r="F17" s="5">
        <v>21500000</v>
      </c>
      <c r="G17" s="5">
        <f t="shared" si="0"/>
        <v>0</v>
      </c>
      <c r="H17" s="6">
        <f t="shared" si="1"/>
        <v>0</v>
      </c>
      <c r="I17" t="str">
        <f t="shared" si="2"/>
        <v>BAJO</v>
      </c>
      <c r="J17" t="str">
        <f t="shared" si="3"/>
        <v>✓ CONFIRMADO</v>
      </c>
      <c r="K17" t="str">
        <f t="shared" si="4"/>
        <v>Ninguna</v>
      </c>
    </row>
    <row r="19" spans="1:11" x14ac:dyDescent="0.25">
      <c r="A19" s="22" t="s">
        <v>92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</row>
    <row r="20" spans="1:11" ht="15.75" x14ac:dyDescent="0.25">
      <c r="A20" t="s">
        <v>93</v>
      </c>
      <c r="B20">
        <f>COUNTIF(D8:D17,"SÍ")</f>
        <v>10</v>
      </c>
      <c r="I20" t="s">
        <v>94</v>
      </c>
      <c r="J20" s="7" t="str">
        <f>IF(B22&gt;3,"CRÍTICO",IF(B23&gt;2,"ALTO",IF(B22&gt;0,"MEDIO","BAJO")))</f>
        <v>ALTO</v>
      </c>
    </row>
    <row r="21" spans="1:11" x14ac:dyDescent="0.25">
      <c r="A21" t="s">
        <v>95</v>
      </c>
      <c r="B21">
        <f>COUNTIF(E8:E17,"SÍ")</f>
        <v>7</v>
      </c>
      <c r="D21" t="s">
        <v>96</v>
      </c>
      <c r="E21" s="6">
        <f>B21/B20</f>
        <v>0.7</v>
      </c>
    </row>
    <row r="22" spans="1:11" x14ac:dyDescent="0.25">
      <c r="A22" t="s">
        <v>97</v>
      </c>
      <c r="B22" s="8">
        <f>COUNTIF(E8:E17,"NO")</f>
        <v>3</v>
      </c>
    </row>
    <row r="23" spans="1:11" x14ac:dyDescent="0.25">
      <c r="A23" t="s">
        <v>98</v>
      </c>
      <c r="B23" s="9">
        <f>COUNTIFS(E8:E17,"SÍ",H8:H17,"&gt;0.05")</f>
        <v>3</v>
      </c>
    </row>
    <row r="24" spans="1:11" x14ac:dyDescent="0.25">
      <c r="A24" t="s">
        <v>99</v>
      </c>
      <c r="B24" s="10">
        <f>SUMIF(E8:E17,"SÍ",G8:G17)</f>
        <v>51499900</v>
      </c>
    </row>
    <row r="25" spans="1:11" x14ac:dyDescent="0.25">
      <c r="A25" t="s">
        <v>100</v>
      </c>
      <c r="B25">
        <f>B22</f>
        <v>3</v>
      </c>
      <c r="C25" t="s">
        <v>101</v>
      </c>
      <c r="D25">
        <f>B23</f>
        <v>3</v>
      </c>
      <c r="E25" t="s">
        <v>102</v>
      </c>
    </row>
    <row r="26" spans="1:11" x14ac:dyDescent="0.25">
      <c r="A26" t="s">
        <v>103</v>
      </c>
      <c r="B26" s="3">
        <f>SUMIF(E8:E17,"NO",C8:C17)</f>
        <v>140800000</v>
      </c>
      <c r="D26" s="3">
        <f>B26</f>
        <v>140800000</v>
      </c>
    </row>
  </sheetData>
  <mergeCells count="3">
    <mergeCell ref="A2:K2"/>
    <mergeCell ref="A1:K1"/>
    <mergeCell ref="A19:K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5"/>
  <sheetViews>
    <sheetView workbookViewId="0">
      <selection sqref="A1:K1"/>
    </sheetView>
  </sheetViews>
  <sheetFormatPr baseColWidth="10" defaultColWidth="9.140625" defaultRowHeight="15" x14ac:dyDescent="0.25"/>
  <cols>
    <col min="1" max="1" width="22" customWidth="1"/>
    <col min="2" max="11" width="14" customWidth="1"/>
  </cols>
  <sheetData>
    <row r="1" spans="1:11" ht="18.75" x14ac:dyDescent="0.25">
      <c r="A1" s="21" t="s">
        <v>104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20" t="s">
        <v>105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5">
      <c r="A4" t="s">
        <v>6</v>
      </c>
      <c r="B4" s="4" t="s">
        <v>7</v>
      </c>
    </row>
    <row r="7" spans="1:11" x14ac:dyDescent="0.25">
      <c r="A7" s="1" t="s">
        <v>106</v>
      </c>
      <c r="B7" s="1" t="s">
        <v>107</v>
      </c>
      <c r="C7" s="1" t="s">
        <v>108</v>
      </c>
      <c r="D7" s="1" t="s">
        <v>109</v>
      </c>
      <c r="E7" s="1" t="s">
        <v>110</v>
      </c>
      <c r="F7" s="1" t="s">
        <v>111</v>
      </c>
      <c r="G7" s="1" t="s">
        <v>112</v>
      </c>
      <c r="H7" s="1" t="s">
        <v>113</v>
      </c>
      <c r="I7" s="1" t="s">
        <v>114</v>
      </c>
      <c r="J7" s="1" t="s">
        <v>67</v>
      </c>
      <c r="K7" s="1" t="s">
        <v>115</v>
      </c>
    </row>
    <row r="8" spans="1:11" x14ac:dyDescent="0.25">
      <c r="A8" t="s">
        <v>116</v>
      </c>
      <c r="B8" s="5">
        <f t="shared" ref="B8:B15" si="0">SUM(C8:H8)</f>
        <v>45800000</v>
      </c>
      <c r="C8" s="5">
        <v>0</v>
      </c>
      <c r="D8" s="5">
        <v>12000000</v>
      </c>
      <c r="E8" s="5">
        <v>8500000</v>
      </c>
      <c r="F8" s="5">
        <v>5300000</v>
      </c>
      <c r="G8" s="5">
        <v>15000000</v>
      </c>
      <c r="H8" s="5">
        <v>5000000</v>
      </c>
      <c r="I8" s="11">
        <f t="shared" ref="I8:I15" si="1">(C8*15+D8*45+E8*75+F8*135+G8*270+H8*450)/B8</f>
        <v>178.88646288209608</v>
      </c>
      <c r="J8" t="str">
        <f t="shared" ref="J8:J15" si="2">IF(I8&gt;360,"CRÍTICO",IF(I8&gt;180,"ALTO",IF(I8&gt;90,"MEDIO","BAJO")))</f>
        <v>MEDIO</v>
      </c>
      <c r="K8" s="5">
        <f t="shared" ref="K8:K15" si="3">(E8*0.1)+(F8*0.25)+(G8*0.5)+(H8*1)</f>
        <v>14675000</v>
      </c>
    </row>
    <row r="9" spans="1:11" x14ac:dyDescent="0.25">
      <c r="A9" t="s">
        <v>117</v>
      </c>
      <c r="B9" s="5">
        <f t="shared" si="0"/>
        <v>28500000</v>
      </c>
      <c r="C9" s="5">
        <v>15800000</v>
      </c>
      <c r="D9" s="5">
        <v>8700000</v>
      </c>
      <c r="E9" s="5">
        <v>3000000</v>
      </c>
      <c r="F9" s="5">
        <v>0</v>
      </c>
      <c r="G9" s="5">
        <v>0</v>
      </c>
      <c r="H9" s="5">
        <v>1000000</v>
      </c>
      <c r="I9" s="11">
        <f t="shared" si="1"/>
        <v>45.736842105263158</v>
      </c>
      <c r="J9" t="str">
        <f t="shared" si="2"/>
        <v>BAJO</v>
      </c>
      <c r="K9" s="5">
        <f t="shared" si="3"/>
        <v>1300000</v>
      </c>
    </row>
    <row r="10" spans="1:11" x14ac:dyDescent="0.25">
      <c r="A10" t="s">
        <v>118</v>
      </c>
      <c r="B10" s="5">
        <f t="shared" si="0"/>
        <v>67200000</v>
      </c>
      <c r="C10" s="5">
        <v>0</v>
      </c>
      <c r="D10" s="5">
        <v>0</v>
      </c>
      <c r="E10" s="5">
        <v>0</v>
      </c>
      <c r="F10" s="5">
        <v>8200000</v>
      </c>
      <c r="G10" s="5">
        <v>25000000</v>
      </c>
      <c r="H10" s="5">
        <v>34000000</v>
      </c>
      <c r="I10" s="11">
        <f t="shared" si="1"/>
        <v>344.59821428571428</v>
      </c>
      <c r="J10" t="str">
        <f t="shared" si="2"/>
        <v>ALTO</v>
      </c>
      <c r="K10" s="5">
        <f t="shared" si="3"/>
        <v>48550000</v>
      </c>
    </row>
    <row r="11" spans="1:11" x14ac:dyDescent="0.25">
      <c r="A11" t="s">
        <v>119</v>
      </c>
      <c r="B11" s="5">
        <f t="shared" si="0"/>
        <v>19800000</v>
      </c>
      <c r="C11" s="5">
        <v>19800000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11">
        <f t="shared" si="1"/>
        <v>15</v>
      </c>
      <c r="J11" t="str">
        <f t="shared" si="2"/>
        <v>BAJO</v>
      </c>
      <c r="K11" s="5">
        <f t="shared" si="3"/>
        <v>0</v>
      </c>
    </row>
    <row r="12" spans="1:11" x14ac:dyDescent="0.25">
      <c r="A12" t="s">
        <v>120</v>
      </c>
      <c r="B12" s="5">
        <f t="shared" si="0"/>
        <v>52300000</v>
      </c>
      <c r="C12" s="5">
        <v>8900000</v>
      </c>
      <c r="D12" s="5">
        <v>12400000</v>
      </c>
      <c r="E12" s="5">
        <v>18700000</v>
      </c>
      <c r="F12" s="5">
        <v>8300000</v>
      </c>
      <c r="G12" s="5">
        <v>4000000</v>
      </c>
      <c r="H12" s="5">
        <v>0</v>
      </c>
      <c r="I12" s="11">
        <f t="shared" si="1"/>
        <v>82.112810707456973</v>
      </c>
      <c r="J12" t="str">
        <f t="shared" si="2"/>
        <v>BAJO</v>
      </c>
      <c r="K12" s="5">
        <f t="shared" si="3"/>
        <v>5945000</v>
      </c>
    </row>
    <row r="13" spans="1:11" x14ac:dyDescent="0.25">
      <c r="A13" t="s">
        <v>121</v>
      </c>
      <c r="B13" s="5">
        <f t="shared" si="0"/>
        <v>38700000</v>
      </c>
      <c r="C13" s="5">
        <v>0</v>
      </c>
      <c r="D13" s="5">
        <v>0</v>
      </c>
      <c r="E13" s="5">
        <v>2100000</v>
      </c>
      <c r="F13" s="5">
        <v>5600000</v>
      </c>
      <c r="G13" s="5">
        <v>18500000</v>
      </c>
      <c r="H13" s="5">
        <v>12500000</v>
      </c>
      <c r="I13" s="11">
        <f t="shared" si="1"/>
        <v>298.02325581395348</v>
      </c>
      <c r="J13" t="str">
        <f t="shared" si="2"/>
        <v>ALTO</v>
      </c>
      <c r="K13" s="5">
        <f t="shared" si="3"/>
        <v>23360000</v>
      </c>
    </row>
    <row r="14" spans="1:11" x14ac:dyDescent="0.25">
      <c r="A14" t="s">
        <v>122</v>
      </c>
      <c r="B14" s="5">
        <f t="shared" si="0"/>
        <v>15400000</v>
      </c>
      <c r="C14" s="5">
        <v>15400000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11">
        <f t="shared" si="1"/>
        <v>15</v>
      </c>
      <c r="J14" t="str">
        <f t="shared" si="2"/>
        <v>BAJO</v>
      </c>
      <c r="K14" s="5">
        <f t="shared" si="3"/>
        <v>0</v>
      </c>
    </row>
    <row r="15" spans="1:11" x14ac:dyDescent="0.25">
      <c r="A15" t="s">
        <v>123</v>
      </c>
      <c r="B15" s="5">
        <f t="shared" si="0"/>
        <v>89600000</v>
      </c>
      <c r="C15" s="5">
        <v>45600000</v>
      </c>
      <c r="D15" s="5">
        <v>28000000</v>
      </c>
      <c r="E15" s="5">
        <v>16000000</v>
      </c>
      <c r="F15" s="5">
        <v>0</v>
      </c>
      <c r="G15" s="5">
        <v>0</v>
      </c>
      <c r="H15" s="5">
        <v>0</v>
      </c>
      <c r="I15" s="11">
        <f t="shared" si="1"/>
        <v>35.089285714285715</v>
      </c>
      <c r="J15" t="str">
        <f t="shared" si="2"/>
        <v>BAJO</v>
      </c>
      <c r="K15" s="5">
        <f t="shared" si="3"/>
        <v>1600000</v>
      </c>
    </row>
    <row r="17" spans="1:11" x14ac:dyDescent="0.25">
      <c r="A17" s="22" t="s">
        <v>124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 ht="15.75" x14ac:dyDescent="0.25">
      <c r="A18" t="s">
        <v>125</v>
      </c>
      <c r="B18" s="3">
        <f>SUM(C8:E15)</f>
        <v>214900000</v>
      </c>
      <c r="D18" s="6">
        <f>B18/SUM(B8:B15)</f>
        <v>0.60145535964175767</v>
      </c>
      <c r="I18" t="s">
        <v>94</v>
      </c>
      <c r="J18" s="7" t="str">
        <f>IF(D21&gt;0.2,"CRÍTICO",IF(D20&gt;0.3,"ALTO",IF(D19&gt;0.2,"MEDIO","BAJO")))</f>
        <v>BAJO</v>
      </c>
    </row>
    <row r="19" spans="1:11" x14ac:dyDescent="0.25">
      <c r="A19" t="s">
        <v>126</v>
      </c>
      <c r="B19" s="3">
        <f>SUM(F8:F15)</f>
        <v>27400000</v>
      </c>
      <c r="D19" s="6">
        <f>B19/SUM(B8:B15)</f>
        <v>7.6686258046459552E-2</v>
      </c>
    </row>
    <row r="20" spans="1:11" x14ac:dyDescent="0.25">
      <c r="A20" t="s">
        <v>127</v>
      </c>
      <c r="B20" s="3">
        <f>SUM(G8:G15)</f>
        <v>62500000</v>
      </c>
      <c r="D20" s="6">
        <f>B20/SUM(B8:B15)</f>
        <v>0.17492303386509936</v>
      </c>
    </row>
    <row r="21" spans="1:11" x14ac:dyDescent="0.25">
      <c r="A21" t="s">
        <v>128</v>
      </c>
      <c r="B21" s="12">
        <f>SUM(H8:H15)</f>
        <v>52500000</v>
      </c>
      <c r="D21" s="6">
        <f>B21/SUM(B8:B15)</f>
        <v>0.14693534844668346</v>
      </c>
    </row>
    <row r="22" spans="1:11" x14ac:dyDescent="0.25">
      <c r="A22" t="s">
        <v>129</v>
      </c>
      <c r="B22" s="10">
        <f>SUM(B8:B15)</f>
        <v>357300000</v>
      </c>
    </row>
    <row r="23" spans="1:11" x14ac:dyDescent="0.25">
      <c r="A23" t="s">
        <v>130</v>
      </c>
      <c r="B23" s="13">
        <f>SUM(K8:K15)</f>
        <v>95430000</v>
      </c>
      <c r="D23" s="6">
        <f>B23/B22</f>
        <v>0.26708648194794288</v>
      </c>
    </row>
    <row r="24" spans="1:11" x14ac:dyDescent="0.25">
      <c r="A24" t="s">
        <v>131</v>
      </c>
      <c r="B24">
        <f>COUNTIF(J8:J15,"CRÍTICO")</f>
        <v>0</v>
      </c>
      <c r="D24" t="s">
        <v>132</v>
      </c>
      <c r="E24" s="3">
        <f>B23</f>
        <v>95430000</v>
      </c>
    </row>
    <row r="25" spans="1:11" x14ac:dyDescent="0.25">
      <c r="A25" t="s">
        <v>133</v>
      </c>
      <c r="B25" s="11">
        <f>SUMPRODUCT(B8:B15,I8:I15)/SUM(B8:B15)</f>
        <v>145.96557514693535</v>
      </c>
      <c r="D25" s="3">
        <f>B23</f>
        <v>95430000</v>
      </c>
    </row>
  </sheetData>
  <mergeCells count="3">
    <mergeCell ref="A2:K2"/>
    <mergeCell ref="A1:K1"/>
    <mergeCell ref="A17:K1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3"/>
  <sheetViews>
    <sheetView workbookViewId="0">
      <selection sqref="A1:J1"/>
    </sheetView>
  </sheetViews>
  <sheetFormatPr baseColWidth="10" defaultColWidth="9.140625" defaultRowHeight="15" x14ac:dyDescent="0.25"/>
  <cols>
    <col min="1" max="4" width="13" customWidth="1"/>
    <col min="5" max="5" width="22" customWidth="1"/>
    <col min="6" max="9" width="13" customWidth="1"/>
    <col min="10" max="10" width="25" customWidth="1"/>
  </cols>
  <sheetData>
    <row r="1" spans="1:10" ht="18.75" x14ac:dyDescent="0.25">
      <c r="A1" s="21" t="s">
        <v>134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20" t="s">
        <v>135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t="s">
        <v>136</v>
      </c>
      <c r="B4" s="4" t="s">
        <v>7</v>
      </c>
    </row>
    <row r="7" spans="1:10" ht="25.5" x14ac:dyDescent="0.25">
      <c r="A7" s="1" t="s">
        <v>137</v>
      </c>
      <c r="B7" s="1" t="s">
        <v>138</v>
      </c>
      <c r="C7" s="1" t="s">
        <v>139</v>
      </c>
      <c r="D7" s="1" t="s">
        <v>140</v>
      </c>
      <c r="E7" s="1" t="s">
        <v>106</v>
      </c>
      <c r="F7" s="1" t="s">
        <v>141</v>
      </c>
      <c r="G7" s="1" t="s">
        <v>142</v>
      </c>
      <c r="H7" s="1" t="s">
        <v>67</v>
      </c>
      <c r="I7" s="1" t="s">
        <v>68</v>
      </c>
      <c r="J7" s="1" t="s">
        <v>69</v>
      </c>
    </row>
    <row r="8" spans="1:10" x14ac:dyDescent="0.25">
      <c r="A8" t="s">
        <v>143</v>
      </c>
      <c r="B8" s="4" t="s">
        <v>144</v>
      </c>
      <c r="C8" t="s">
        <v>145</v>
      </c>
      <c r="D8" s="4" t="s">
        <v>146</v>
      </c>
      <c r="E8" t="s">
        <v>147</v>
      </c>
      <c r="F8" s="5">
        <v>8500000</v>
      </c>
      <c r="G8" s="11">
        <f t="shared" ref="G8:G13" si="0">B8-$B$4</f>
        <v>3</v>
      </c>
      <c r="H8" t="str">
        <f t="shared" ref="H8:H13" si="1">IF(AND(G8&lt;=7,$B$4-D8&lt;=3),"MUY ALTO",IF(G8&lt;=5,"ALTO",IF(G8&lt;=10,"MEDIO","BAJO")))</f>
        <v>MUY ALTO</v>
      </c>
      <c r="I8" t="str">
        <f t="shared" ref="I8:I13" si="2">IF(H8="MUY ALTO","🚨 SOSPECHOSA",IF(H8="ALTO","🔴 REVISAR",IF(H8="MEDIO","⚠ VERIFICAR","✓ Normal")))</f>
        <v>🚨 SOSPECHOSA</v>
      </c>
      <c r="J8" t="str">
        <f t="shared" ref="J8:J13" si="3">IF(H8="MUY ALTO","Investigar venta original",IF(H8="ALTO","Verificar autorización","Revisar documentación"))</f>
        <v>Investigar venta original</v>
      </c>
    </row>
    <row r="9" spans="1:10" x14ac:dyDescent="0.25">
      <c r="A9" t="s">
        <v>148</v>
      </c>
      <c r="B9" s="4" t="s">
        <v>149</v>
      </c>
      <c r="C9" t="s">
        <v>150</v>
      </c>
      <c r="D9" s="4" t="s">
        <v>151</v>
      </c>
      <c r="E9" t="s">
        <v>117</v>
      </c>
      <c r="F9" s="5">
        <v>4200000</v>
      </c>
      <c r="G9" s="11">
        <f t="shared" si="0"/>
        <v>5</v>
      </c>
      <c r="H9" t="str">
        <f t="shared" si="1"/>
        <v>MUY ALTO</v>
      </c>
      <c r="I9" t="str">
        <f t="shared" si="2"/>
        <v>🚨 SOSPECHOSA</v>
      </c>
      <c r="J9" t="str">
        <f t="shared" si="3"/>
        <v>Investigar venta original</v>
      </c>
    </row>
    <row r="10" spans="1:10" x14ac:dyDescent="0.25">
      <c r="A10" t="s">
        <v>152</v>
      </c>
      <c r="B10" s="4" t="s">
        <v>153</v>
      </c>
      <c r="C10" t="s">
        <v>154</v>
      </c>
      <c r="D10" s="4" t="s">
        <v>7</v>
      </c>
      <c r="E10" t="s">
        <v>120</v>
      </c>
      <c r="F10" s="5">
        <v>12000000</v>
      </c>
      <c r="G10" s="11">
        <f t="shared" si="0"/>
        <v>2</v>
      </c>
      <c r="H10" t="str">
        <f t="shared" si="1"/>
        <v>MUY ALTO</v>
      </c>
      <c r="I10" t="str">
        <f t="shared" si="2"/>
        <v>🚨 SOSPECHOSA</v>
      </c>
      <c r="J10" t="str">
        <f t="shared" si="3"/>
        <v>Investigar venta original</v>
      </c>
    </row>
    <row r="11" spans="1:10" x14ac:dyDescent="0.25">
      <c r="A11" t="s">
        <v>155</v>
      </c>
      <c r="B11" s="4" t="s">
        <v>156</v>
      </c>
      <c r="C11" t="s">
        <v>157</v>
      </c>
      <c r="D11" s="4" t="s">
        <v>158</v>
      </c>
      <c r="E11" t="s">
        <v>119</v>
      </c>
      <c r="F11" s="5">
        <v>2800000</v>
      </c>
      <c r="G11" s="11">
        <f t="shared" si="0"/>
        <v>8</v>
      </c>
      <c r="H11" t="str">
        <f t="shared" si="1"/>
        <v>MEDIO</v>
      </c>
      <c r="I11" t="str">
        <f t="shared" si="2"/>
        <v>⚠ VERIFICAR</v>
      </c>
      <c r="J11" t="str">
        <f t="shared" si="3"/>
        <v>Revisar documentación</v>
      </c>
    </row>
    <row r="12" spans="1:10" x14ac:dyDescent="0.25">
      <c r="A12" t="s">
        <v>159</v>
      </c>
      <c r="B12" s="4" t="s">
        <v>160</v>
      </c>
      <c r="C12" t="s">
        <v>161</v>
      </c>
      <c r="D12" s="4" t="s">
        <v>7</v>
      </c>
      <c r="E12" t="s">
        <v>116</v>
      </c>
      <c r="F12" s="5">
        <v>18500000</v>
      </c>
      <c r="G12" s="11">
        <f t="shared" si="0"/>
        <v>4</v>
      </c>
      <c r="H12" t="str">
        <f t="shared" si="1"/>
        <v>MUY ALTO</v>
      </c>
      <c r="I12" t="str">
        <f t="shared" si="2"/>
        <v>🚨 SOSPECHOSA</v>
      </c>
      <c r="J12" t="str">
        <f t="shared" si="3"/>
        <v>Investigar venta original</v>
      </c>
    </row>
    <row r="13" spans="1:10" x14ac:dyDescent="0.25">
      <c r="A13" t="s">
        <v>162</v>
      </c>
      <c r="B13" s="4" t="s">
        <v>163</v>
      </c>
      <c r="C13" t="s">
        <v>164</v>
      </c>
      <c r="D13" s="4" t="s">
        <v>165</v>
      </c>
      <c r="E13" t="s">
        <v>122</v>
      </c>
      <c r="F13" s="5">
        <v>5300000</v>
      </c>
      <c r="G13" s="11">
        <f t="shared" si="0"/>
        <v>10</v>
      </c>
      <c r="H13" t="str">
        <f t="shared" si="1"/>
        <v>MEDIO</v>
      </c>
      <c r="I13" t="str">
        <f t="shared" si="2"/>
        <v>⚠ VERIFICAR</v>
      </c>
      <c r="J13" t="str">
        <f t="shared" si="3"/>
        <v>Revisar documentación</v>
      </c>
    </row>
    <row r="15" spans="1:10" x14ac:dyDescent="0.25">
      <c r="A15" s="22" t="s">
        <v>166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x14ac:dyDescent="0.25">
      <c r="A16" t="s">
        <v>167</v>
      </c>
      <c r="B16" s="8">
        <f>COUNTIF(G8:G13,"&lt;=5")</f>
        <v>4</v>
      </c>
      <c r="H16" t="s">
        <v>94</v>
      </c>
      <c r="I16" s="7" t="str">
        <f>IF(B16&gt;3,"CRÍTICO",IF(B17&gt;0,"ALTO",IF(B16&gt;1,"MEDIO","BAJO")))</f>
        <v>CRÍTICO</v>
      </c>
    </row>
    <row r="17" spans="1:4" x14ac:dyDescent="0.25">
      <c r="A17" t="s">
        <v>168</v>
      </c>
      <c r="B17">
        <f>COUNTIF(H8:H13,"MUY ALTO")</f>
        <v>4</v>
      </c>
    </row>
    <row r="18" spans="1:4" x14ac:dyDescent="0.25">
      <c r="A18" t="s">
        <v>169</v>
      </c>
      <c r="B18" s="10">
        <f>SUM(F8:F13)</f>
        <v>51300000</v>
      </c>
    </row>
    <row r="19" spans="1:4" x14ac:dyDescent="0.25">
      <c r="A19" t="s">
        <v>170</v>
      </c>
      <c r="B19" s="12">
        <f>SUMIF(H8:H13,"MUY ALTO",F8:F13)</f>
        <v>43200000</v>
      </c>
    </row>
    <row r="22" spans="1:4" x14ac:dyDescent="0.25">
      <c r="A22" t="s">
        <v>171</v>
      </c>
      <c r="B22">
        <f>COUNTIF(H8:H13,"MUY ALTO")+COUNTIF(H8:H13,"ALTO")</f>
        <v>4</v>
      </c>
      <c r="C22" t="s">
        <v>172</v>
      </c>
    </row>
    <row r="23" spans="1:4" x14ac:dyDescent="0.25">
      <c r="D23" s="3">
        <f>B19</f>
        <v>43200000</v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2" width="15" customWidth="1"/>
    <col min="3" max="3" width="25" customWidth="1"/>
    <col min="4" max="4" width="15" customWidth="1"/>
    <col min="5" max="6" width="18" customWidth="1"/>
    <col min="7" max="9" width="15" customWidth="1"/>
    <col min="10" max="10" width="22" customWidth="1"/>
  </cols>
  <sheetData>
    <row r="1" spans="1:10" ht="18.75" x14ac:dyDescent="0.25">
      <c r="A1" s="21" t="s">
        <v>173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 t="s">
        <v>174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t="s">
        <v>175</v>
      </c>
      <c r="B4" t="s">
        <v>5</v>
      </c>
    </row>
    <row r="7" spans="1:10" ht="25.5" x14ac:dyDescent="0.25">
      <c r="A7" s="14" t="s">
        <v>176</v>
      </c>
      <c r="B7" s="14" t="s">
        <v>177</v>
      </c>
      <c r="C7" s="14" t="s">
        <v>106</v>
      </c>
      <c r="D7" s="14" t="s">
        <v>141</v>
      </c>
      <c r="E7" s="14" t="s">
        <v>178</v>
      </c>
      <c r="F7" s="14" t="s">
        <v>179</v>
      </c>
      <c r="G7" s="14" t="s">
        <v>180</v>
      </c>
      <c r="H7" s="14" t="s">
        <v>67</v>
      </c>
      <c r="I7" s="14" t="s">
        <v>68</v>
      </c>
      <c r="J7" s="14" t="s">
        <v>69</v>
      </c>
    </row>
    <row r="8" spans="1:10" x14ac:dyDescent="0.25">
      <c r="A8" t="s">
        <v>181</v>
      </c>
      <c r="B8" s="4" t="s">
        <v>182</v>
      </c>
      <c r="C8" t="s">
        <v>183</v>
      </c>
      <c r="D8" s="5">
        <v>8500000</v>
      </c>
      <c r="E8" t="s">
        <v>184</v>
      </c>
      <c r="F8" t="s">
        <v>184</v>
      </c>
      <c r="G8" t="str">
        <f t="shared" ref="G8:G13" si="0">IF(E8=F8,"SÍ","NO")</f>
        <v>SÍ</v>
      </c>
      <c r="H8" t="str">
        <f t="shared" ref="H8:H13" si="1">IF(G8="NO","CRÍTICO","BAJO")</f>
        <v>BAJO</v>
      </c>
      <c r="I8" t="str">
        <f t="shared" ref="I8:I13" si="2">IF(H8="CRÍTICO","⛔ NO AUTORIZADO","✓ CORRECTO")</f>
        <v>✓ CORRECTO</v>
      </c>
      <c r="J8" t="str">
        <f t="shared" ref="J8:J13" si="3">IF(G8="NO","INVESTIGAR URGENTE","Ninguna")</f>
        <v>Ninguna</v>
      </c>
    </row>
    <row r="9" spans="1:10" x14ac:dyDescent="0.25">
      <c r="A9" t="s">
        <v>185</v>
      </c>
      <c r="B9" s="4" t="s">
        <v>186</v>
      </c>
      <c r="C9" t="s">
        <v>187</v>
      </c>
      <c r="D9" s="5">
        <v>15000000</v>
      </c>
      <c r="E9" t="s">
        <v>188</v>
      </c>
      <c r="F9" t="s">
        <v>189</v>
      </c>
      <c r="G9" t="str">
        <f t="shared" si="0"/>
        <v>NO</v>
      </c>
      <c r="H9" t="str">
        <f t="shared" si="1"/>
        <v>CRÍTICO</v>
      </c>
      <c r="I9" t="str">
        <f t="shared" si="2"/>
        <v>⛔ NO AUTORIZADO</v>
      </c>
      <c r="J9" t="str">
        <f t="shared" si="3"/>
        <v>INVESTIGAR URGENTE</v>
      </c>
    </row>
    <row r="10" spans="1:10" x14ac:dyDescent="0.25">
      <c r="A10" t="s">
        <v>190</v>
      </c>
      <c r="B10" s="4" t="s">
        <v>191</v>
      </c>
      <c r="C10" t="s">
        <v>192</v>
      </c>
      <c r="D10" s="5">
        <v>3200000</v>
      </c>
      <c r="E10" t="s">
        <v>184</v>
      </c>
      <c r="F10" t="s">
        <v>184</v>
      </c>
      <c r="G10" t="str">
        <f t="shared" si="0"/>
        <v>SÍ</v>
      </c>
      <c r="H10" t="str">
        <f t="shared" si="1"/>
        <v>BAJO</v>
      </c>
      <c r="I10" t="str">
        <f t="shared" si="2"/>
        <v>✓ CORRECTO</v>
      </c>
      <c r="J10" t="str">
        <f t="shared" si="3"/>
        <v>Ninguna</v>
      </c>
    </row>
    <row r="11" spans="1:10" x14ac:dyDescent="0.25">
      <c r="A11" t="s">
        <v>193</v>
      </c>
      <c r="B11" s="4" t="s">
        <v>194</v>
      </c>
      <c r="C11" t="s">
        <v>195</v>
      </c>
      <c r="D11" s="5">
        <v>28000000</v>
      </c>
      <c r="E11" t="s">
        <v>184</v>
      </c>
      <c r="F11" t="s">
        <v>196</v>
      </c>
      <c r="G11" t="str">
        <f t="shared" si="0"/>
        <v>NO</v>
      </c>
      <c r="H11" t="str">
        <f t="shared" si="1"/>
        <v>CRÍTICO</v>
      </c>
      <c r="I11" t="str">
        <f t="shared" si="2"/>
        <v>⛔ NO AUTORIZADO</v>
      </c>
      <c r="J11" t="str">
        <f t="shared" si="3"/>
        <v>INVESTIGAR URGENTE</v>
      </c>
    </row>
    <row r="12" spans="1:10" x14ac:dyDescent="0.25">
      <c r="A12" t="s">
        <v>197</v>
      </c>
      <c r="B12" s="4" t="s">
        <v>198</v>
      </c>
      <c r="C12" t="s">
        <v>199</v>
      </c>
      <c r="D12" s="5">
        <v>5800000</v>
      </c>
      <c r="E12" t="s">
        <v>189</v>
      </c>
      <c r="F12" t="s">
        <v>189</v>
      </c>
      <c r="G12" t="str">
        <f t="shared" si="0"/>
        <v>SÍ</v>
      </c>
      <c r="H12" t="str">
        <f t="shared" si="1"/>
        <v>BAJO</v>
      </c>
      <c r="I12" t="str">
        <f t="shared" si="2"/>
        <v>✓ CORRECTO</v>
      </c>
      <c r="J12" t="str">
        <f t="shared" si="3"/>
        <v>Ninguna</v>
      </c>
    </row>
    <row r="13" spans="1:10" x14ac:dyDescent="0.25">
      <c r="A13" t="s">
        <v>200</v>
      </c>
      <c r="B13" s="4" t="s">
        <v>146</v>
      </c>
      <c r="C13" t="s">
        <v>201</v>
      </c>
      <c r="D13" s="5">
        <v>12500000</v>
      </c>
      <c r="E13" t="s">
        <v>188</v>
      </c>
      <c r="F13" t="s">
        <v>189</v>
      </c>
      <c r="G13" t="str">
        <f t="shared" si="0"/>
        <v>NO</v>
      </c>
      <c r="H13" t="str">
        <f t="shared" si="1"/>
        <v>CRÍTICO</v>
      </c>
      <c r="I13" t="str">
        <f t="shared" si="2"/>
        <v>⛔ NO AUTORIZADO</v>
      </c>
      <c r="J13" t="str">
        <f t="shared" si="3"/>
        <v>INVESTIGAR URGENTE</v>
      </c>
    </row>
    <row r="15" spans="1:10" x14ac:dyDescent="0.25">
      <c r="A15" s="23" t="s">
        <v>202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x14ac:dyDescent="0.25">
      <c r="A16" t="s">
        <v>203</v>
      </c>
      <c r="B16">
        <f>COUNTA(A8:A13)</f>
        <v>6</v>
      </c>
      <c r="H16" t="s">
        <v>94</v>
      </c>
      <c r="I16" s="7" t="str">
        <f>IF(B17&gt;0,"CRÍTICO","BAJO")</f>
        <v>CRÍTICO</v>
      </c>
    </row>
    <row r="17" spans="1:4" x14ac:dyDescent="0.25">
      <c r="A17" t="s">
        <v>204</v>
      </c>
      <c r="B17" s="8">
        <f>COUNTIF(G8:G13,"NO")</f>
        <v>3</v>
      </c>
    </row>
    <row r="18" spans="1:4" x14ac:dyDescent="0.25">
      <c r="A18" t="s">
        <v>205</v>
      </c>
      <c r="B18" s="13">
        <f>SUMIF(G8:G13,"NO",D8:D13)</f>
        <v>55500000</v>
      </c>
    </row>
    <row r="21" spans="1:4" x14ac:dyDescent="0.25">
      <c r="A21" t="s">
        <v>100</v>
      </c>
      <c r="B21">
        <f>B17</f>
        <v>3</v>
      </c>
      <c r="C21" t="s">
        <v>206</v>
      </c>
    </row>
    <row r="22" spans="1:4" x14ac:dyDescent="0.25">
      <c r="D22" s="3">
        <f>B18</f>
        <v>55500000</v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activeCell="H9" sqref="H9"/>
    </sheetView>
  </sheetViews>
  <sheetFormatPr baseColWidth="10" defaultColWidth="9.140625" defaultRowHeight="15" x14ac:dyDescent="0.25"/>
  <cols>
    <col min="1" max="3" width="13" customWidth="1"/>
    <col min="4" max="4" width="18" customWidth="1"/>
    <col min="5" max="10" width="13" customWidth="1"/>
    <col min="11" max="11" width="20" customWidth="1"/>
  </cols>
  <sheetData>
    <row r="1" spans="1:11" ht="18.75" x14ac:dyDescent="0.25">
      <c r="A1" s="21" t="s">
        <v>207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 t="s">
        <v>208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5">
      <c r="A4" t="s">
        <v>6</v>
      </c>
      <c r="B4" s="4" t="s">
        <v>7</v>
      </c>
    </row>
    <row r="7" spans="1:11" ht="25.5" x14ac:dyDescent="0.25">
      <c r="A7" s="14" t="s">
        <v>209</v>
      </c>
      <c r="B7" s="14" t="s">
        <v>140</v>
      </c>
      <c r="C7" s="14" t="s">
        <v>210</v>
      </c>
      <c r="D7" s="14" t="s">
        <v>106</v>
      </c>
      <c r="E7" s="14" t="s">
        <v>141</v>
      </c>
      <c r="F7" s="14" t="s">
        <v>211</v>
      </c>
      <c r="G7" s="14" t="s">
        <v>212</v>
      </c>
      <c r="H7" s="14" t="s">
        <v>213</v>
      </c>
      <c r="I7" s="14" t="s">
        <v>67</v>
      </c>
      <c r="J7" s="14" t="s">
        <v>68</v>
      </c>
      <c r="K7" s="14" t="s">
        <v>214</v>
      </c>
    </row>
    <row r="8" spans="1:11" x14ac:dyDescent="0.25">
      <c r="A8" t="s">
        <v>215</v>
      </c>
      <c r="B8" s="4" t="s">
        <v>7</v>
      </c>
      <c r="C8" s="4" t="s">
        <v>153</v>
      </c>
      <c r="D8" t="s">
        <v>216</v>
      </c>
      <c r="E8" s="5">
        <v>5</v>
      </c>
      <c r="F8" t="s">
        <v>217</v>
      </c>
      <c r="G8" t="s">
        <v>218</v>
      </c>
      <c r="H8" s="11">
        <v>100</v>
      </c>
      <c r="I8" t="str">
        <f t="shared" ref="I8:I14" si="0">IF(F8&lt;&gt;G8,"ALTO","BAJO")</f>
        <v>ALTO</v>
      </c>
      <c r="J8" t="str">
        <f t="shared" ref="J8:J14" si="1">IF(I8="ALTO","🔴 ERROR CUTOFF","✓ CORRECTO")</f>
        <v>🔴 ERROR CUTOFF</v>
      </c>
      <c r="K8" t="str">
        <f t="shared" ref="K8:K14" si="2">IF(F8&lt;&gt;G8,"Ajustar período","Ninguna")</f>
        <v>Ajustar período</v>
      </c>
    </row>
    <row r="9" spans="1:11" x14ac:dyDescent="0.25">
      <c r="A9" t="s">
        <v>219</v>
      </c>
      <c r="B9" s="4" t="s">
        <v>151</v>
      </c>
      <c r="C9" s="4" t="s">
        <v>151</v>
      </c>
      <c r="D9" t="s">
        <v>220</v>
      </c>
      <c r="E9" s="5">
        <v>8500000</v>
      </c>
      <c r="F9" t="s">
        <v>218</v>
      </c>
      <c r="G9" t="s">
        <v>218</v>
      </c>
      <c r="H9" s="11">
        <f t="shared" ref="H8:H14" si="3">C9-B9</f>
        <v>0</v>
      </c>
      <c r="I9" t="str">
        <f t="shared" si="0"/>
        <v>BAJO</v>
      </c>
      <c r="J9" t="str">
        <f t="shared" si="1"/>
        <v>✓ CORRECTO</v>
      </c>
      <c r="K9" t="str">
        <f t="shared" si="2"/>
        <v>Ninguna</v>
      </c>
    </row>
    <row r="10" spans="1:11" x14ac:dyDescent="0.25">
      <c r="A10" t="s">
        <v>221</v>
      </c>
      <c r="B10" s="4" t="s">
        <v>7</v>
      </c>
      <c r="C10" s="4" t="s">
        <v>160</v>
      </c>
      <c r="D10" t="s">
        <v>222</v>
      </c>
      <c r="E10" s="5">
        <v>22000000</v>
      </c>
      <c r="F10" t="s">
        <v>217</v>
      </c>
      <c r="G10" t="s">
        <v>218</v>
      </c>
      <c r="H10" s="11">
        <f t="shared" si="3"/>
        <v>4</v>
      </c>
      <c r="I10" t="str">
        <f t="shared" si="0"/>
        <v>ALTO</v>
      </c>
      <c r="J10" t="str">
        <f t="shared" si="1"/>
        <v>🔴 ERROR CUTOFF</v>
      </c>
      <c r="K10" t="str">
        <f t="shared" si="2"/>
        <v>Ajustar período</v>
      </c>
    </row>
    <row r="11" spans="1:11" x14ac:dyDescent="0.25">
      <c r="A11" t="s">
        <v>223</v>
      </c>
      <c r="B11" s="4" t="s">
        <v>158</v>
      </c>
      <c r="C11" s="4" t="s">
        <v>158</v>
      </c>
      <c r="D11" t="s">
        <v>224</v>
      </c>
      <c r="E11" s="5">
        <v>5300000</v>
      </c>
      <c r="F11" t="s">
        <v>218</v>
      </c>
      <c r="G11" t="s">
        <v>218</v>
      </c>
      <c r="H11" s="11">
        <f t="shared" si="3"/>
        <v>0</v>
      </c>
      <c r="I11" t="str">
        <f t="shared" si="0"/>
        <v>BAJO</v>
      </c>
      <c r="J11" t="str">
        <f t="shared" si="1"/>
        <v>✓ CORRECTO</v>
      </c>
      <c r="K11" t="str">
        <f t="shared" si="2"/>
        <v>Ninguna</v>
      </c>
    </row>
    <row r="12" spans="1:11" x14ac:dyDescent="0.25">
      <c r="A12" t="s">
        <v>225</v>
      </c>
      <c r="B12" s="4" t="s">
        <v>7</v>
      </c>
      <c r="C12" s="4" t="s">
        <v>7</v>
      </c>
      <c r="D12" t="s">
        <v>226</v>
      </c>
      <c r="E12" s="5">
        <v>12800000</v>
      </c>
      <c r="F12" t="s">
        <v>218</v>
      </c>
      <c r="G12" t="s">
        <v>218</v>
      </c>
      <c r="H12" s="11">
        <f t="shared" si="3"/>
        <v>0</v>
      </c>
      <c r="I12" t="str">
        <f t="shared" si="0"/>
        <v>BAJO</v>
      </c>
      <c r="J12" t="str">
        <f t="shared" si="1"/>
        <v>✓ CORRECTO</v>
      </c>
      <c r="K12" t="str">
        <f t="shared" si="2"/>
        <v>Ninguna</v>
      </c>
    </row>
    <row r="13" spans="1:11" x14ac:dyDescent="0.25">
      <c r="A13" t="s">
        <v>227</v>
      </c>
      <c r="B13" s="4" t="s">
        <v>146</v>
      </c>
      <c r="C13" s="4" t="s">
        <v>144</v>
      </c>
      <c r="D13" t="s">
        <v>228</v>
      </c>
      <c r="E13" s="5">
        <v>9700000</v>
      </c>
      <c r="F13" t="s">
        <v>217</v>
      </c>
      <c r="G13" t="s">
        <v>218</v>
      </c>
      <c r="H13" s="11">
        <f t="shared" si="3"/>
        <v>6</v>
      </c>
      <c r="I13" t="str">
        <f t="shared" si="0"/>
        <v>ALTO</v>
      </c>
      <c r="J13" t="str">
        <f t="shared" si="1"/>
        <v>🔴 ERROR CUTOFF</v>
      </c>
      <c r="K13" t="str">
        <f t="shared" si="2"/>
        <v>Ajustar período</v>
      </c>
    </row>
    <row r="14" spans="1:11" x14ac:dyDescent="0.25">
      <c r="A14" t="s">
        <v>229</v>
      </c>
      <c r="B14" s="4" t="s">
        <v>7</v>
      </c>
      <c r="C14" s="4" t="s">
        <v>149</v>
      </c>
      <c r="D14" t="s">
        <v>230</v>
      </c>
      <c r="E14" s="5">
        <v>18500000</v>
      </c>
      <c r="F14" t="s">
        <v>217</v>
      </c>
      <c r="G14" t="s">
        <v>218</v>
      </c>
      <c r="H14" s="11">
        <f t="shared" si="3"/>
        <v>5</v>
      </c>
      <c r="I14" t="str">
        <f t="shared" si="0"/>
        <v>ALTO</v>
      </c>
      <c r="J14" t="str">
        <f t="shared" si="1"/>
        <v>🔴 ERROR CUTOFF</v>
      </c>
      <c r="K14" t="str">
        <f t="shared" si="2"/>
        <v>Ajustar período</v>
      </c>
    </row>
    <row r="16" spans="1:11" x14ac:dyDescent="0.25">
      <c r="A16" s="23" t="s">
        <v>231</v>
      </c>
      <c r="B16" s="18"/>
      <c r="C16" s="18"/>
      <c r="D16" s="18"/>
      <c r="E16" s="18"/>
      <c r="F16" s="18"/>
      <c r="G16" s="18"/>
      <c r="H16" s="18"/>
      <c r="I16" s="18"/>
      <c r="J16" s="18"/>
      <c r="K16" s="18"/>
    </row>
    <row r="17" spans="1:10" x14ac:dyDescent="0.25">
      <c r="A17" t="s">
        <v>232</v>
      </c>
      <c r="B17">
        <f>COUNTA(A8:A14)</f>
        <v>7</v>
      </c>
    </row>
    <row r="18" spans="1:10" ht="15.75" x14ac:dyDescent="0.25">
      <c r="A18" t="s">
        <v>233</v>
      </c>
      <c r="B18" s="8">
        <f>COUNTIF(I8:I14,"ALTO")</f>
        <v>4</v>
      </c>
      <c r="I18" t="s">
        <v>94</v>
      </c>
      <c r="J18" s="7" t="str">
        <f>IF(B18&gt;2,"ALTO",IF(B18&gt;0,"MEDIO","BAJO"))</f>
        <v>ALTO</v>
      </c>
    </row>
    <row r="19" spans="1:10" x14ac:dyDescent="0.25">
      <c r="A19" t="s">
        <v>234</v>
      </c>
      <c r="B19" s="13">
        <f>SUMIF(I8:I14,"ALTO",E8:E14)</f>
        <v>50200005</v>
      </c>
    </row>
    <row r="20" spans="1:10" x14ac:dyDescent="0.25">
      <c r="A20" t="s">
        <v>235</v>
      </c>
      <c r="B20" s="12">
        <f>-B19</f>
        <v>-50200005</v>
      </c>
    </row>
    <row r="23" spans="1:10" x14ac:dyDescent="0.25">
      <c r="A23" t="s">
        <v>236</v>
      </c>
      <c r="B23">
        <f>B18</f>
        <v>4</v>
      </c>
      <c r="C23" t="s">
        <v>237</v>
      </c>
    </row>
    <row r="24" spans="1:10" x14ac:dyDescent="0.25">
      <c r="D24" s="3">
        <f>B19</f>
        <v>50200005</v>
      </c>
    </row>
  </sheetData>
  <mergeCells count="3">
    <mergeCell ref="A2:K2"/>
    <mergeCell ref="A16:K16"/>
    <mergeCell ref="A1:K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1" width="25" customWidth="1"/>
    <col min="2" max="9" width="16" customWidth="1"/>
    <col min="10" max="10" width="22" customWidth="1"/>
  </cols>
  <sheetData>
    <row r="1" spans="1:10" ht="18.75" x14ac:dyDescent="0.25">
      <c r="A1" s="21" t="s">
        <v>238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20" t="s">
        <v>239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t="s">
        <v>240</v>
      </c>
      <c r="B4" t="s">
        <v>7</v>
      </c>
    </row>
    <row r="7" spans="1:10" ht="25.5" x14ac:dyDescent="0.25">
      <c r="A7" s="14" t="s">
        <v>241</v>
      </c>
      <c r="B7" s="14" t="s">
        <v>242</v>
      </c>
      <c r="C7" s="14" t="s">
        <v>243</v>
      </c>
      <c r="D7" s="14" t="s">
        <v>244</v>
      </c>
      <c r="E7" s="14" t="s">
        <v>245</v>
      </c>
      <c r="F7" s="14" t="s">
        <v>246</v>
      </c>
      <c r="G7" s="14" t="s">
        <v>180</v>
      </c>
      <c r="H7" s="14" t="s">
        <v>67</v>
      </c>
      <c r="I7" s="14" t="s">
        <v>68</v>
      </c>
      <c r="J7" s="14" t="s">
        <v>214</v>
      </c>
    </row>
    <row r="8" spans="1:10" x14ac:dyDescent="0.25">
      <c r="A8" t="s">
        <v>247</v>
      </c>
      <c r="B8" s="5">
        <v>25000000</v>
      </c>
      <c r="C8" t="s">
        <v>248</v>
      </c>
      <c r="D8" t="s">
        <v>77</v>
      </c>
      <c r="E8" t="s">
        <v>249</v>
      </c>
      <c r="F8" t="s">
        <v>250</v>
      </c>
      <c r="G8" t="str">
        <f>IF(C8="Ninguna","N/A",IF(AND(D8="NO",C8&lt;&gt;"Ninguna"),"NO","SÍ"))</f>
        <v>NO</v>
      </c>
      <c r="H8" t="str">
        <f>IF(G8="NO","ALTO","BAJO")</f>
        <v>ALTO</v>
      </c>
      <c r="I8" t="str">
        <f>IF(H8="ALTO","🔴 NO REVELADO","✓ OK")</f>
        <v>🔴 NO REVELADO</v>
      </c>
      <c r="J8" t="str">
        <f>IF(G8="NO","Revelar en notas EEFF","Ninguna")</f>
        <v>Revelar en notas EEFF</v>
      </c>
    </row>
    <row r="9" spans="1:10" x14ac:dyDescent="0.25">
      <c r="A9" t="s">
        <v>251</v>
      </c>
      <c r="B9" s="5">
        <v>15000000</v>
      </c>
      <c r="C9" t="s">
        <v>252</v>
      </c>
      <c r="D9" t="s">
        <v>77</v>
      </c>
      <c r="E9" t="s">
        <v>253</v>
      </c>
      <c r="F9" t="s">
        <v>254</v>
      </c>
      <c r="G9" t="str">
        <f>IF(C9="Ninguna","N/A",IF(AND(D9="NO",C9&lt;&gt;"Ninguna"),"NO","SÍ"))</f>
        <v>NO</v>
      </c>
      <c r="H9" t="str">
        <f>IF(G9="NO","ALTO","BAJO")</f>
        <v>ALTO</v>
      </c>
      <c r="I9" t="str">
        <f>IF(H9="ALTO","🔴 NO REVELADO","✓ OK")</f>
        <v>🔴 NO REVELADO</v>
      </c>
      <c r="J9" t="str">
        <f>IF(G9="NO","Revelar en notas EEFF","Ninguna")</f>
        <v>Revelar en notas EEFF</v>
      </c>
    </row>
    <row r="10" spans="1:10" x14ac:dyDescent="0.25">
      <c r="A10" t="s">
        <v>255</v>
      </c>
      <c r="B10" s="5">
        <v>8500000</v>
      </c>
      <c r="C10" t="s">
        <v>256</v>
      </c>
      <c r="D10" t="s">
        <v>257</v>
      </c>
      <c r="E10" t="s">
        <v>258</v>
      </c>
      <c r="F10" t="s">
        <v>258</v>
      </c>
      <c r="G10" t="str">
        <f>IF(C10="Ninguna","N/A",IF(AND(D10="NO",C10&lt;&gt;"Ninguna"),"NO","SÍ"))</f>
        <v>N/A</v>
      </c>
      <c r="H10" t="str">
        <f>IF(G10="NO","ALTO","BAJO")</f>
        <v>BAJO</v>
      </c>
      <c r="I10" t="str">
        <f>IF(H10="ALTO","🔴 NO REVELADO","✓ OK")</f>
        <v>✓ OK</v>
      </c>
      <c r="J10" t="str">
        <f>IF(G10="NO","Revelar en notas EEFF","Ninguna")</f>
        <v>Ninguna</v>
      </c>
    </row>
    <row r="11" spans="1:10" x14ac:dyDescent="0.25">
      <c r="A11" t="s">
        <v>259</v>
      </c>
      <c r="B11" s="5">
        <v>42000000</v>
      </c>
      <c r="C11" t="s">
        <v>260</v>
      </c>
      <c r="D11" t="s">
        <v>77</v>
      </c>
      <c r="E11" t="s">
        <v>261</v>
      </c>
      <c r="F11" t="s">
        <v>262</v>
      </c>
      <c r="G11" t="str">
        <f>IF(C11="Ninguna","N/A",IF(AND(D11="NO",C11&lt;&gt;"Ninguna"),"NO","SÍ"))</f>
        <v>NO</v>
      </c>
      <c r="H11" t="str">
        <f>IF(G11="NO","ALTO","BAJO")</f>
        <v>ALTO</v>
      </c>
      <c r="I11" t="str">
        <f>IF(H11="ALTO","🔴 NO REVELADO","✓ OK")</f>
        <v>🔴 NO REVELADO</v>
      </c>
      <c r="J11" t="str">
        <f>IF(G11="NO","Revelar en notas EEFF","Ninguna")</f>
        <v>Revelar en notas EEFF</v>
      </c>
    </row>
    <row r="12" spans="1:10" x14ac:dyDescent="0.25">
      <c r="A12" t="s">
        <v>263</v>
      </c>
      <c r="B12" s="5">
        <v>12000000</v>
      </c>
      <c r="C12" t="s">
        <v>256</v>
      </c>
      <c r="D12" t="s">
        <v>257</v>
      </c>
      <c r="E12" t="s">
        <v>264</v>
      </c>
      <c r="F12" t="s">
        <v>264</v>
      </c>
      <c r="G12" t="str">
        <f>IF(C12="Ninguna","N/A",IF(AND(D12="NO",C12&lt;&gt;"Ninguna"),"NO","SÍ"))</f>
        <v>N/A</v>
      </c>
      <c r="H12" t="str">
        <f>IF(G12="NO","ALTO","BAJO")</f>
        <v>BAJO</v>
      </c>
      <c r="I12" t="str">
        <f>IF(H12="ALTO","🔴 NO REVELADO","✓ OK")</f>
        <v>✓ OK</v>
      </c>
      <c r="J12" t="str">
        <f>IF(G12="NO","Revelar en notas EEFF","Ninguna")</f>
        <v>Ninguna</v>
      </c>
    </row>
    <row r="14" spans="1:10" x14ac:dyDescent="0.25">
      <c r="A14" s="23" t="s">
        <v>265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x14ac:dyDescent="0.25">
      <c r="A15" t="s">
        <v>266</v>
      </c>
      <c r="B15">
        <f>COUNTIF(C8:C12,"&lt;&gt;Ninguna")</f>
        <v>3</v>
      </c>
    </row>
    <row r="16" spans="1:10" ht="15.75" x14ac:dyDescent="0.25">
      <c r="A16" t="s">
        <v>267</v>
      </c>
      <c r="B16" s="8">
        <f>COUNTIF(G8:G12,"NO")</f>
        <v>3</v>
      </c>
      <c r="H16" t="s">
        <v>94</v>
      </c>
      <c r="I16" s="7" t="str">
        <f>IF(B16&gt;0,"ALTO","BAJO")</f>
        <v>ALTO</v>
      </c>
    </row>
    <row r="17" spans="1:4" x14ac:dyDescent="0.25">
      <c r="A17" t="s">
        <v>268</v>
      </c>
      <c r="B17" s="13">
        <f>SUMIF(G8:G12,"NO",B8:B12)</f>
        <v>82000000</v>
      </c>
    </row>
    <row r="21" spans="1:4" x14ac:dyDescent="0.25">
      <c r="A21" t="s">
        <v>269</v>
      </c>
      <c r="B21">
        <f>B16</f>
        <v>3</v>
      </c>
      <c r="C21" t="s">
        <v>270</v>
      </c>
    </row>
    <row r="22" spans="1:4" x14ac:dyDescent="0.25">
      <c r="D22" s="3">
        <f>B17</f>
        <v>82000000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4"/>
  <sheetViews>
    <sheetView workbookViewId="0">
      <selection sqref="A1:K1"/>
    </sheetView>
  </sheetViews>
  <sheetFormatPr baseColWidth="10" defaultColWidth="9.140625" defaultRowHeight="15" x14ac:dyDescent="0.25"/>
  <cols>
    <col min="1" max="1" width="25" customWidth="1"/>
    <col min="2" max="10" width="13" customWidth="1"/>
    <col min="11" max="11" width="22" customWidth="1"/>
  </cols>
  <sheetData>
    <row r="1" spans="1:11" ht="18.75" x14ac:dyDescent="0.25">
      <c r="A1" s="21" t="s">
        <v>271</v>
      </c>
      <c r="B1" s="18"/>
      <c r="C1" s="18"/>
      <c r="D1" s="18"/>
      <c r="E1" s="18"/>
      <c r="F1" s="18"/>
      <c r="G1" s="18"/>
      <c r="H1" s="18"/>
      <c r="I1" s="18"/>
      <c r="J1" s="18"/>
      <c r="K1" s="18"/>
    </row>
    <row r="2" spans="1:11" x14ac:dyDescent="0.25">
      <c r="A2" s="18" t="s">
        <v>272</v>
      </c>
      <c r="B2" s="18"/>
      <c r="C2" s="18"/>
      <c r="D2" s="18"/>
      <c r="E2" s="18"/>
      <c r="F2" s="18"/>
      <c r="G2" s="18"/>
      <c r="H2" s="18"/>
      <c r="I2" s="18"/>
      <c r="J2" s="18"/>
      <c r="K2" s="18"/>
    </row>
    <row r="4" spans="1:11" x14ac:dyDescent="0.25">
      <c r="A4" t="s">
        <v>273</v>
      </c>
      <c r="B4" s="3">
        <v>850000000</v>
      </c>
    </row>
    <row r="7" spans="1:11" ht="25.5" x14ac:dyDescent="0.25">
      <c r="A7" s="14" t="s">
        <v>106</v>
      </c>
      <c r="B7" s="14" t="s">
        <v>274</v>
      </c>
      <c r="C7" s="14" t="s">
        <v>275</v>
      </c>
      <c r="D7" s="14" t="s">
        <v>276</v>
      </c>
      <c r="E7" s="14" t="s">
        <v>277</v>
      </c>
      <c r="F7" s="14" t="s">
        <v>114</v>
      </c>
      <c r="G7" s="14" t="s">
        <v>278</v>
      </c>
      <c r="H7" s="14" t="s">
        <v>279</v>
      </c>
      <c r="I7" s="14" t="s">
        <v>280</v>
      </c>
      <c r="J7" s="14" t="s">
        <v>68</v>
      </c>
      <c r="K7" s="14" t="s">
        <v>214</v>
      </c>
    </row>
    <row r="8" spans="1:11" x14ac:dyDescent="0.25">
      <c r="A8" t="s">
        <v>281</v>
      </c>
      <c r="B8" s="5">
        <v>255000000</v>
      </c>
      <c r="C8" s="6">
        <f t="shared" ref="C8:C15" si="0">B8/$B$4</f>
        <v>0.3</v>
      </c>
      <c r="D8" s="5">
        <v>65000000</v>
      </c>
      <c r="E8" s="6">
        <f t="shared" ref="E8:E15" si="1">D8/SUM($D$8:$D$15)</f>
        <v>0.33713692946058094</v>
      </c>
      <c r="F8" s="11">
        <v>85</v>
      </c>
      <c r="G8" t="str">
        <f t="shared" ref="G8:G15" si="2">IF(C8&gt;0.3,"MUY ALTO",IF(C8&gt;0.15,"ALTO",IF(C8&gt;0.1,"MEDIO","BAJO")))</f>
        <v>ALTO</v>
      </c>
      <c r="H8" t="str">
        <f t="shared" ref="H8:H15" si="3">IF(F8&gt;90,"ALTO",IF(F8&gt;60,"MEDIO","BAJO"))</f>
        <v>MEDIO</v>
      </c>
      <c r="I8" t="str">
        <f t="shared" ref="I8:I15" si="4">IF(OR(G8="MUY ALTO",AND(G8="ALTO",H8="ALTO")),"MUY ALTO",IF(G8="ALTO","ALTO",IF(OR(G8="MEDIO",H8="MEDIO"),"MEDIO","BAJO")))</f>
        <v>ALTO</v>
      </c>
      <c r="J8" t="str">
        <f t="shared" ref="J8:J15" si="5">IF(I8="MUY ALTO","🚨 CRÍTICO",IF(I8="ALTO","🔴 ALTO",IF(I8="MEDIO","⚠ MEDIO","✓ OK")))</f>
        <v>🔴 ALTO</v>
      </c>
      <c r="K8" t="str">
        <f t="shared" ref="K8:K15" si="6">IF(I8="MUY ALTO","Diversificar urgente",IF(I8="ALTO","Plan diversificación",IF(I8="MEDIO","Monitoreo estrecho","Seguimiento normal")))</f>
        <v>Plan diversificación</v>
      </c>
    </row>
    <row r="9" spans="1:11" x14ac:dyDescent="0.25">
      <c r="A9" t="s">
        <v>282</v>
      </c>
      <c r="B9" s="5">
        <v>127500000</v>
      </c>
      <c r="C9" s="6">
        <f t="shared" si="0"/>
        <v>0.15</v>
      </c>
      <c r="D9" s="5">
        <v>32000000</v>
      </c>
      <c r="E9" s="6">
        <f t="shared" si="1"/>
        <v>0.16597510373443983</v>
      </c>
      <c r="F9" s="11">
        <v>72</v>
      </c>
      <c r="G9" t="str">
        <f t="shared" si="2"/>
        <v>MEDIO</v>
      </c>
      <c r="H9" t="str">
        <f t="shared" si="3"/>
        <v>MEDIO</v>
      </c>
      <c r="I9" t="str">
        <f t="shared" si="4"/>
        <v>MEDIO</v>
      </c>
      <c r="J9" t="str">
        <f t="shared" si="5"/>
        <v>⚠ MEDIO</v>
      </c>
      <c r="K9" t="str">
        <f t="shared" si="6"/>
        <v>Monitoreo estrecho</v>
      </c>
    </row>
    <row r="10" spans="1:11" x14ac:dyDescent="0.25">
      <c r="A10" t="s">
        <v>283</v>
      </c>
      <c r="B10" s="5">
        <v>68000000</v>
      </c>
      <c r="C10" s="6">
        <f t="shared" si="0"/>
        <v>0.08</v>
      </c>
      <c r="D10" s="5">
        <v>18000000</v>
      </c>
      <c r="E10" s="6">
        <f t="shared" si="1"/>
        <v>9.3360995850622408E-2</v>
      </c>
      <c r="F10" s="11">
        <v>58</v>
      </c>
      <c r="G10" t="str">
        <f t="shared" si="2"/>
        <v>BAJO</v>
      </c>
      <c r="H10" t="str">
        <f t="shared" si="3"/>
        <v>BAJO</v>
      </c>
      <c r="I10" t="str">
        <f t="shared" si="4"/>
        <v>BAJO</v>
      </c>
      <c r="J10" t="str">
        <f t="shared" si="5"/>
        <v>✓ OK</v>
      </c>
      <c r="K10" t="str">
        <f t="shared" si="6"/>
        <v>Seguimiento normal</v>
      </c>
    </row>
    <row r="11" spans="1:11" x14ac:dyDescent="0.25">
      <c r="A11" t="s">
        <v>284</v>
      </c>
      <c r="B11" s="5">
        <v>42500000</v>
      </c>
      <c r="C11" s="6">
        <f t="shared" si="0"/>
        <v>0.05</v>
      </c>
      <c r="D11" s="5">
        <v>12000000</v>
      </c>
      <c r="E11" s="6">
        <f t="shared" si="1"/>
        <v>6.2240663900414939E-2</v>
      </c>
      <c r="F11" s="11">
        <v>45</v>
      </c>
      <c r="G11" t="str">
        <f t="shared" si="2"/>
        <v>BAJO</v>
      </c>
      <c r="H11" t="str">
        <f t="shared" si="3"/>
        <v>BAJO</v>
      </c>
      <c r="I11" t="str">
        <f t="shared" si="4"/>
        <v>BAJO</v>
      </c>
      <c r="J11" t="str">
        <f t="shared" si="5"/>
        <v>✓ OK</v>
      </c>
      <c r="K11" t="str">
        <f t="shared" si="6"/>
        <v>Seguimiento normal</v>
      </c>
    </row>
    <row r="12" spans="1:11" x14ac:dyDescent="0.25">
      <c r="A12" t="s">
        <v>285</v>
      </c>
      <c r="B12" s="5">
        <v>34000000</v>
      </c>
      <c r="C12" s="6">
        <f t="shared" si="0"/>
        <v>0.04</v>
      </c>
      <c r="D12" s="5">
        <v>9500000</v>
      </c>
      <c r="E12" s="6">
        <f t="shared" si="1"/>
        <v>4.9273858921161824E-2</v>
      </c>
      <c r="F12" s="11">
        <v>62</v>
      </c>
      <c r="G12" t="str">
        <f t="shared" si="2"/>
        <v>BAJO</v>
      </c>
      <c r="H12" t="str">
        <f t="shared" si="3"/>
        <v>MEDIO</v>
      </c>
      <c r="I12" t="str">
        <f t="shared" si="4"/>
        <v>MEDIO</v>
      </c>
      <c r="J12" t="str">
        <f t="shared" si="5"/>
        <v>⚠ MEDIO</v>
      </c>
      <c r="K12" t="str">
        <f t="shared" si="6"/>
        <v>Monitoreo estrecho</v>
      </c>
    </row>
    <row r="13" spans="1:11" x14ac:dyDescent="0.25">
      <c r="A13" t="s">
        <v>286</v>
      </c>
      <c r="B13" s="5">
        <v>25500000</v>
      </c>
      <c r="C13" s="6">
        <f t="shared" si="0"/>
        <v>0.03</v>
      </c>
      <c r="D13" s="5">
        <v>6800000</v>
      </c>
      <c r="E13" s="6">
        <f t="shared" si="1"/>
        <v>3.5269709543568464E-2</v>
      </c>
      <c r="F13" s="11">
        <v>38</v>
      </c>
      <c r="G13" t="str">
        <f t="shared" si="2"/>
        <v>BAJO</v>
      </c>
      <c r="H13" t="str">
        <f t="shared" si="3"/>
        <v>BAJO</v>
      </c>
      <c r="I13" t="str">
        <f t="shared" si="4"/>
        <v>BAJO</v>
      </c>
      <c r="J13" t="str">
        <f t="shared" si="5"/>
        <v>✓ OK</v>
      </c>
      <c r="K13" t="str">
        <f t="shared" si="6"/>
        <v>Seguimiento normal</v>
      </c>
    </row>
    <row r="14" spans="1:11" x14ac:dyDescent="0.25">
      <c r="A14" t="s">
        <v>287</v>
      </c>
      <c r="B14" s="5">
        <v>17000000</v>
      </c>
      <c r="C14" s="6">
        <f t="shared" si="0"/>
        <v>0.02</v>
      </c>
      <c r="D14" s="5">
        <v>4200000</v>
      </c>
      <c r="E14" s="6">
        <f t="shared" si="1"/>
        <v>2.1784232365145227E-2</v>
      </c>
      <c r="F14" s="11">
        <v>42</v>
      </c>
      <c r="G14" t="str">
        <f t="shared" si="2"/>
        <v>BAJO</v>
      </c>
      <c r="H14" t="str">
        <f t="shared" si="3"/>
        <v>BAJO</v>
      </c>
      <c r="I14" t="str">
        <f t="shared" si="4"/>
        <v>BAJO</v>
      </c>
      <c r="J14" t="str">
        <f t="shared" si="5"/>
        <v>✓ OK</v>
      </c>
      <c r="K14" t="str">
        <f t="shared" si="6"/>
        <v>Seguimiento normal</v>
      </c>
    </row>
    <row r="15" spans="1:11" x14ac:dyDescent="0.25">
      <c r="A15" t="s">
        <v>288</v>
      </c>
      <c r="B15" s="5">
        <v>280500000</v>
      </c>
      <c r="C15" s="6">
        <f t="shared" si="0"/>
        <v>0.33</v>
      </c>
      <c r="D15" s="5">
        <v>45300000</v>
      </c>
      <c r="E15" s="6">
        <f t="shared" si="1"/>
        <v>0.23495850622406639</v>
      </c>
      <c r="F15" s="11">
        <v>55</v>
      </c>
      <c r="G15" t="str">
        <f t="shared" si="2"/>
        <v>MUY ALTO</v>
      </c>
      <c r="H15" t="str">
        <f t="shared" si="3"/>
        <v>BAJO</v>
      </c>
      <c r="I15" t="str">
        <f t="shared" si="4"/>
        <v>MUY ALTO</v>
      </c>
      <c r="J15" t="str">
        <f t="shared" si="5"/>
        <v>🚨 CRÍTICO</v>
      </c>
      <c r="K15" t="str">
        <f t="shared" si="6"/>
        <v>Diversificar urgente</v>
      </c>
    </row>
    <row r="17" spans="1:11" x14ac:dyDescent="0.25">
      <c r="A17" s="23" t="s">
        <v>289</v>
      </c>
      <c r="B17" s="18"/>
      <c r="C17" s="18"/>
      <c r="D17" s="18"/>
      <c r="E17" s="18"/>
      <c r="F17" s="18"/>
      <c r="G17" s="18"/>
      <c r="H17" s="18"/>
      <c r="I17" s="18"/>
      <c r="J17" s="18"/>
      <c r="K17" s="18"/>
    </row>
    <row r="18" spans="1:11" ht="15.75" x14ac:dyDescent="0.25">
      <c r="A18" t="s">
        <v>290</v>
      </c>
      <c r="B18" s="15">
        <f>SUM(C8:C10)</f>
        <v>0.52999999999999992</v>
      </c>
      <c r="I18" t="s">
        <v>94</v>
      </c>
      <c r="J18" s="7" t="str">
        <f>IF(B18&gt;0.6,"CRÍTICO",IF(B18&gt;0.4,"ALTO",IF(B18&gt;0.3,"MEDIO","BAJO")))</f>
        <v>ALTO</v>
      </c>
    </row>
    <row r="19" spans="1:11" x14ac:dyDescent="0.25">
      <c r="A19" t="s">
        <v>291</v>
      </c>
      <c r="B19">
        <f>COUNTIF(I8:I15,"MUY ALTO")</f>
        <v>1</v>
      </c>
    </row>
    <row r="20" spans="1:11" x14ac:dyDescent="0.25">
      <c r="A20" t="s">
        <v>292</v>
      </c>
      <c r="B20" s="3">
        <f>SUMIF(I8:I15,"MUY ALTO",B8:B15)</f>
        <v>280500000</v>
      </c>
    </row>
    <row r="21" spans="1:11" x14ac:dyDescent="0.25">
      <c r="A21" t="s">
        <v>293</v>
      </c>
      <c r="B21" s="3">
        <f>SUMIF(G8:G15,"MUY ALTO",D8:D15)+SUMIF(G8:G15,"ALTO",D8:D15)</f>
        <v>110300000</v>
      </c>
    </row>
    <row r="23" spans="1:11" x14ac:dyDescent="0.25">
      <c r="A23" t="s">
        <v>294</v>
      </c>
      <c r="B23" t="str">
        <f>IF(B18&gt;0.5,"Dependencia crítica","Concentración moderada")</f>
        <v>Dependencia crítica</v>
      </c>
    </row>
    <row r="24" spans="1:11" x14ac:dyDescent="0.25">
      <c r="D24" s="3">
        <f>B20</f>
        <v>280500000</v>
      </c>
    </row>
  </sheetData>
  <mergeCells count="3">
    <mergeCell ref="A2:K2"/>
    <mergeCell ref="A1:K1"/>
    <mergeCell ref="A17:K17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1" width="25" customWidth="1"/>
    <col min="2" max="9" width="15" customWidth="1"/>
    <col min="10" max="10" width="22" customWidth="1"/>
  </cols>
  <sheetData>
    <row r="1" spans="1:10" ht="18.75" x14ac:dyDescent="0.25">
      <c r="A1" s="21" t="s">
        <v>295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 t="s">
        <v>296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t="s">
        <v>297</v>
      </c>
      <c r="B4" t="s">
        <v>7</v>
      </c>
    </row>
    <row r="7" spans="1:10" ht="25.5" x14ac:dyDescent="0.25">
      <c r="A7" s="14" t="s">
        <v>106</v>
      </c>
      <c r="B7" s="14" t="s">
        <v>276</v>
      </c>
      <c r="C7" s="14" t="s">
        <v>298</v>
      </c>
      <c r="D7" s="14" t="s">
        <v>299</v>
      </c>
      <c r="E7" s="14" t="s">
        <v>300</v>
      </c>
      <c r="F7" s="14" t="s">
        <v>301</v>
      </c>
      <c r="G7" s="14" t="s">
        <v>302</v>
      </c>
      <c r="H7" s="14" t="s">
        <v>67</v>
      </c>
      <c r="I7" s="14" t="s">
        <v>68</v>
      </c>
      <c r="J7" s="14" t="s">
        <v>214</v>
      </c>
    </row>
    <row r="8" spans="1:10" x14ac:dyDescent="0.25">
      <c r="A8" t="s">
        <v>281</v>
      </c>
      <c r="B8" s="5">
        <v>65000000</v>
      </c>
      <c r="C8" t="s">
        <v>303</v>
      </c>
      <c r="D8" s="5">
        <v>70000000</v>
      </c>
      <c r="E8" s="6">
        <f>IF(D8=0,0,D8/B8)</f>
        <v>1.0769230769230769</v>
      </c>
      <c r="F8" t="s">
        <v>304</v>
      </c>
      <c r="G8" t="str">
        <f>IF(F8="N/A","N/A",IF(F8&gt;$B$4,"SÍ","NO"))</f>
        <v>NO</v>
      </c>
      <c r="H8" t="str">
        <f>IF(C8="Ninguna","MUY ALTO",IF(G8="NO","ALTO",IF(E8&lt;0.8,"MEDIO","BAJO")))</f>
        <v>ALTO</v>
      </c>
      <c r="I8" t="str">
        <f>IF(H8="MUY ALTO","🚨 SIN GARANTÍA",IF(H8="ALTO","🔴 VENCIDA",IF(H8="MEDIO","⚠ INSUFICIENTE","✓ OK")))</f>
        <v>🔴 VENCIDA</v>
      </c>
      <c r="J8" t="str">
        <f>IF(C8="Ninguna","Exigir garantía",IF(G8="NO","Renovar urgente",IF(E8&lt;0.8,"Ampliar cobertura","Ninguna")))</f>
        <v>Renovar urgente</v>
      </c>
    </row>
    <row r="9" spans="1:10" x14ac:dyDescent="0.25">
      <c r="A9" t="s">
        <v>305</v>
      </c>
      <c r="B9" s="5">
        <v>32000000</v>
      </c>
      <c r="C9" t="s">
        <v>256</v>
      </c>
      <c r="D9" s="5">
        <v>0</v>
      </c>
      <c r="E9" s="6">
        <f>IF(D9=0,0,D9/B9)</f>
        <v>0</v>
      </c>
      <c r="F9" t="s">
        <v>257</v>
      </c>
      <c r="G9" t="str">
        <f>IF(F9="N/A","N/A",IF(F9&gt;$B$4,"SÍ","NO"))</f>
        <v>N/A</v>
      </c>
      <c r="H9" t="str">
        <f>IF(C9="Ninguna","MUY ALTO",IF(G9="NO","ALTO",IF(E9&lt;0.8,"MEDIO","BAJO")))</f>
        <v>MUY ALTO</v>
      </c>
      <c r="I9" t="str">
        <f>IF(H9="MUY ALTO","🚨 SIN GARANTÍA",IF(H9="ALTO","🔴 VENCIDA",IF(H9="MEDIO","⚠ INSUFICIENTE","✓ OK")))</f>
        <v>🚨 SIN GARANTÍA</v>
      </c>
      <c r="J9" t="str">
        <f>IF(C9="Ninguna","Exigir garantía",IF(G9="NO","Renovar urgente",IF(E9&lt;0.8,"Ampliar cobertura","Ninguna")))</f>
        <v>Exigir garantía</v>
      </c>
    </row>
    <row r="10" spans="1:10" x14ac:dyDescent="0.25">
      <c r="A10" t="s">
        <v>283</v>
      </c>
      <c r="B10" s="5">
        <v>18000000</v>
      </c>
      <c r="C10" t="s">
        <v>306</v>
      </c>
      <c r="D10" s="5">
        <v>25000000</v>
      </c>
      <c r="E10" s="6">
        <f>IF(D10=0,0,D10/B10)</f>
        <v>1.3888888888888888</v>
      </c>
      <c r="F10" t="s">
        <v>307</v>
      </c>
      <c r="G10" t="str">
        <f>IF(F10="N/A","N/A",IF(F10&gt;$B$4,"SÍ","NO"))</f>
        <v>NO</v>
      </c>
      <c r="H10" t="str">
        <f>IF(C10="Ninguna","MUY ALTO",IF(G10="NO","ALTO",IF(E10&lt;0.8,"MEDIO","BAJO")))</f>
        <v>ALTO</v>
      </c>
      <c r="I10" t="str">
        <f>IF(H10="MUY ALTO","🚨 SIN GARANTÍA",IF(H10="ALTO","🔴 VENCIDA",IF(H10="MEDIO","⚠ INSUFICIENTE","✓ OK")))</f>
        <v>🔴 VENCIDA</v>
      </c>
      <c r="J10" t="str">
        <f>IF(C10="Ninguna","Exigir garantía",IF(G10="NO","Renovar urgente",IF(E10&lt;0.8,"Ampliar cobertura","Ninguna")))</f>
        <v>Renovar urgente</v>
      </c>
    </row>
    <row r="11" spans="1:10" x14ac:dyDescent="0.25">
      <c r="A11" t="s">
        <v>284</v>
      </c>
      <c r="B11" s="5">
        <v>12000000</v>
      </c>
      <c r="C11" t="s">
        <v>308</v>
      </c>
      <c r="D11" s="5">
        <v>8000000</v>
      </c>
      <c r="E11" s="6">
        <f>IF(D11=0,0,D11/B11)</f>
        <v>0.66666666666666663</v>
      </c>
      <c r="F11" t="s">
        <v>309</v>
      </c>
      <c r="G11" t="str">
        <f>IF(F11="N/A","N/A",IF(F11&gt;$B$4,"SÍ","NO"))</f>
        <v>NO</v>
      </c>
      <c r="H11" t="str">
        <f>IF(C11="Ninguna","MUY ALTO",IF(G11="NO","ALTO",IF(E11&lt;0.8,"MEDIO","BAJO")))</f>
        <v>ALTO</v>
      </c>
      <c r="I11" t="str">
        <f>IF(H11="MUY ALTO","🚨 SIN GARANTÍA",IF(H11="ALTO","🔴 VENCIDA",IF(H11="MEDIO","⚠ INSUFICIENTE","✓ OK")))</f>
        <v>🔴 VENCIDA</v>
      </c>
      <c r="J11" t="str">
        <f>IF(C11="Ninguna","Exigir garantía",IF(G11="NO","Renovar urgente",IF(E11&lt;0.8,"Ampliar cobertura","Ninguna")))</f>
        <v>Renovar urgente</v>
      </c>
    </row>
    <row r="12" spans="1:10" x14ac:dyDescent="0.25">
      <c r="A12" t="s">
        <v>285</v>
      </c>
      <c r="B12" s="5">
        <v>9500000</v>
      </c>
      <c r="C12" t="s">
        <v>310</v>
      </c>
      <c r="D12" s="5">
        <v>10000000</v>
      </c>
      <c r="E12" s="6">
        <f>IF(D12=0,0,D12/B12)</f>
        <v>1.0526315789473684</v>
      </c>
      <c r="F12" t="s">
        <v>311</v>
      </c>
      <c r="G12" t="str">
        <f>IF(F12="N/A","N/A",IF(F12&gt;$B$4,"SÍ","NO"))</f>
        <v>NO</v>
      </c>
      <c r="H12" t="str">
        <f>IF(C12="Ninguna","MUY ALTO",IF(G12="NO","ALTO",IF(E12&lt;0.8,"MEDIO","BAJO")))</f>
        <v>ALTO</v>
      </c>
      <c r="I12" t="str">
        <f>IF(H12="MUY ALTO","🚨 SIN GARANTÍA",IF(H12="ALTO","🔴 VENCIDA",IF(H12="MEDIO","⚠ INSUFICIENTE","✓ OK")))</f>
        <v>🔴 VENCIDA</v>
      </c>
      <c r="J12" t="str">
        <f>IF(C12="Ninguna","Exigir garantía",IF(G12="NO","Renovar urgente",IF(E12&lt;0.8,"Ampliar cobertura","Ninguna")))</f>
        <v>Renovar urgente</v>
      </c>
    </row>
    <row r="14" spans="1:10" x14ac:dyDescent="0.25">
      <c r="A14" s="23" t="s">
        <v>312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x14ac:dyDescent="0.25">
      <c r="A15" t="s">
        <v>313</v>
      </c>
      <c r="B15" s="12">
        <f>SUMIF(C8:C12,"Ninguna",B8:B12)</f>
        <v>32000000</v>
      </c>
    </row>
    <row r="16" spans="1:10" ht="15.75" x14ac:dyDescent="0.25">
      <c r="A16" t="s">
        <v>314</v>
      </c>
      <c r="B16" s="16">
        <f>SUMIF(G8:G12,"NO",B8:B12)</f>
        <v>104500000</v>
      </c>
      <c r="H16" t="s">
        <v>94</v>
      </c>
      <c r="I16" s="7" t="str">
        <f>IF(B15/SUM(B8:B12)&gt;0.3,"MUY ALTO",IF(B16&gt;0,"ALTO","BAJO"))</f>
        <v>ALTO</v>
      </c>
    </row>
    <row r="17" spans="1:4" x14ac:dyDescent="0.25">
      <c r="A17" t="s">
        <v>315</v>
      </c>
      <c r="B17" s="13">
        <f>B15+B16</f>
        <v>136500000</v>
      </c>
    </row>
    <row r="21" spans="1:4" x14ac:dyDescent="0.25">
      <c r="A21" t="s">
        <v>316</v>
      </c>
      <c r="B21">
        <f>COUNTIF(H8:H12,"MUY ALTO")+COUNTIF(H8:H12,"ALTO")</f>
        <v>5</v>
      </c>
      <c r="C21" t="s">
        <v>317</v>
      </c>
    </row>
    <row r="22" spans="1:4" x14ac:dyDescent="0.25">
      <c r="D22" s="3">
        <f>B17</f>
        <v>136500000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1"/>
  <sheetViews>
    <sheetView workbookViewId="0">
      <selection sqref="A1:J1"/>
    </sheetView>
  </sheetViews>
  <sheetFormatPr baseColWidth="10" defaultColWidth="9.140625" defaultRowHeight="15" x14ac:dyDescent="0.25"/>
  <cols>
    <col min="1" max="1" width="22" customWidth="1"/>
    <col min="2" max="3" width="15" customWidth="1"/>
    <col min="4" max="4" width="25" customWidth="1"/>
    <col min="5" max="9" width="15" customWidth="1"/>
    <col min="10" max="10" width="28" customWidth="1"/>
  </cols>
  <sheetData>
    <row r="1" spans="1:10" ht="18.75" x14ac:dyDescent="0.25">
      <c r="A1" s="21" t="s">
        <v>318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 t="s">
        <v>319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t="s">
        <v>175</v>
      </c>
      <c r="B4" t="s">
        <v>218</v>
      </c>
    </row>
    <row r="7" spans="1:10" ht="25.5" x14ac:dyDescent="0.25">
      <c r="A7" s="14" t="s">
        <v>106</v>
      </c>
      <c r="B7" s="14" t="s">
        <v>320</v>
      </c>
      <c r="C7" s="14" t="s">
        <v>141</v>
      </c>
      <c r="D7" s="14" t="s">
        <v>321</v>
      </c>
      <c r="E7" s="14" t="s">
        <v>322</v>
      </c>
      <c r="F7" s="14" t="s">
        <v>323</v>
      </c>
      <c r="G7" s="14" t="s">
        <v>180</v>
      </c>
      <c r="H7" s="14" t="s">
        <v>67</v>
      </c>
      <c r="I7" s="14" t="s">
        <v>68</v>
      </c>
      <c r="J7" s="14" t="s">
        <v>214</v>
      </c>
    </row>
    <row r="8" spans="1:10" x14ac:dyDescent="0.25">
      <c r="A8" t="s">
        <v>324</v>
      </c>
      <c r="B8" t="s">
        <v>325</v>
      </c>
      <c r="C8" s="5">
        <v>45000000</v>
      </c>
      <c r="D8" t="s">
        <v>326</v>
      </c>
      <c r="E8" t="s">
        <v>77</v>
      </c>
      <c r="F8" t="s">
        <v>327</v>
      </c>
      <c r="G8" t="str">
        <f>IF(F8="Ninguno","SÍ",IF(E8="SÍ","SÍ","NO"))</f>
        <v>NO</v>
      </c>
      <c r="H8" t="str">
        <f>IF(G8="NO","CRÍTICO","BAJO")</f>
        <v>CRÍTICO</v>
      </c>
      <c r="I8" t="str">
        <f>IF(H8="CRÍTICO","⛔ SIDE-LETTER","✓ NORMAL")</f>
        <v>⛔ SIDE-LETTER</v>
      </c>
      <c r="J8" t="str">
        <f>IF(G8="NO","Ajustar reconocimiento ingreso","Ninguna")</f>
        <v>Ajustar reconocimiento ingreso</v>
      </c>
    </row>
    <row r="9" spans="1:10" x14ac:dyDescent="0.25">
      <c r="A9" t="s">
        <v>328</v>
      </c>
      <c r="B9" t="s">
        <v>329</v>
      </c>
      <c r="C9" s="5">
        <v>28000000</v>
      </c>
      <c r="D9" t="s">
        <v>330</v>
      </c>
      <c r="E9" t="s">
        <v>77</v>
      </c>
      <c r="F9" t="s">
        <v>331</v>
      </c>
      <c r="G9" t="str">
        <f>IF(F9="Ninguno","SÍ",IF(E9="SÍ","SÍ","NO"))</f>
        <v>NO</v>
      </c>
      <c r="H9" t="str">
        <f>IF(G9="NO","CRÍTICO","BAJO")</f>
        <v>CRÍTICO</v>
      </c>
      <c r="I9" t="str">
        <f>IF(H9="CRÍTICO","⛔ SIDE-LETTER","✓ NORMAL")</f>
        <v>⛔ SIDE-LETTER</v>
      </c>
      <c r="J9" t="str">
        <f>IF(G9="NO","Ajustar reconocimiento ingreso","Ninguna")</f>
        <v>Ajustar reconocimiento ingreso</v>
      </c>
    </row>
    <row r="10" spans="1:10" x14ac:dyDescent="0.25">
      <c r="A10" t="s">
        <v>332</v>
      </c>
      <c r="B10" t="s">
        <v>333</v>
      </c>
      <c r="C10" s="5">
        <v>15000000</v>
      </c>
      <c r="D10" t="s">
        <v>334</v>
      </c>
      <c r="E10" t="s">
        <v>72</v>
      </c>
      <c r="F10" t="s">
        <v>335</v>
      </c>
      <c r="G10" t="str">
        <f>IF(F10="Ninguno","SÍ",IF(E10="SÍ","SÍ","NO"))</f>
        <v>SÍ</v>
      </c>
      <c r="H10" t="str">
        <f>IF(G10="NO","CRÍTICO","BAJO")</f>
        <v>BAJO</v>
      </c>
      <c r="I10" t="str">
        <f>IF(H10="CRÍTICO","⛔ SIDE-LETTER","✓ NORMAL")</f>
        <v>✓ NORMAL</v>
      </c>
      <c r="J10" t="str">
        <f>IF(G10="NO","Ajustar reconocimiento ingreso","Ninguna")</f>
        <v>Ninguna</v>
      </c>
    </row>
    <row r="11" spans="1:10" x14ac:dyDescent="0.25">
      <c r="A11" t="s">
        <v>336</v>
      </c>
      <c r="B11" t="s">
        <v>337</v>
      </c>
      <c r="C11" s="5">
        <v>38000000</v>
      </c>
      <c r="D11" t="s">
        <v>338</v>
      </c>
      <c r="E11" t="s">
        <v>77</v>
      </c>
      <c r="F11" t="s">
        <v>327</v>
      </c>
      <c r="G11" t="str">
        <f>IF(F11="Ninguno","SÍ",IF(E11="SÍ","SÍ","NO"))</f>
        <v>NO</v>
      </c>
      <c r="H11" t="str">
        <f>IF(G11="NO","CRÍTICO","BAJO")</f>
        <v>CRÍTICO</v>
      </c>
      <c r="I11" t="str">
        <f>IF(H11="CRÍTICO","⛔ SIDE-LETTER","✓ NORMAL")</f>
        <v>⛔ SIDE-LETTER</v>
      </c>
      <c r="J11" t="str">
        <f>IF(G11="NO","Ajustar reconocimiento ingreso","Ninguna")</f>
        <v>Ajustar reconocimiento ingreso</v>
      </c>
    </row>
    <row r="13" spans="1:10" x14ac:dyDescent="0.25">
      <c r="A13" s="23" t="s">
        <v>339</v>
      </c>
      <c r="B13" s="18"/>
      <c r="C13" s="18"/>
      <c r="D13" s="18"/>
      <c r="E13" s="18"/>
      <c r="F13" s="18"/>
      <c r="G13" s="18"/>
      <c r="H13" s="18"/>
      <c r="I13" s="18"/>
      <c r="J13" s="18"/>
    </row>
    <row r="14" spans="1:10" ht="15.75" x14ac:dyDescent="0.25">
      <c r="A14" t="s">
        <v>340</v>
      </c>
      <c r="B14" s="8">
        <f>COUNTIF(G8:G11,"NO")</f>
        <v>3</v>
      </c>
      <c r="H14" t="s">
        <v>94</v>
      </c>
      <c r="I14" s="7" t="str">
        <f>IF(B14&gt;0,"CRÍTICO","BAJO")</f>
        <v>CRÍTICO</v>
      </c>
    </row>
    <row r="15" spans="1:10" x14ac:dyDescent="0.25">
      <c r="A15" t="s">
        <v>341</v>
      </c>
      <c r="B15" s="13">
        <f>SUMIF(G8:G11,"NO",C8:C11)</f>
        <v>111000000</v>
      </c>
    </row>
    <row r="18" spans="1:4" x14ac:dyDescent="0.25">
      <c r="A18" t="s">
        <v>100</v>
      </c>
      <c r="B18">
        <f>B14</f>
        <v>3</v>
      </c>
      <c r="C18" t="s">
        <v>342</v>
      </c>
    </row>
    <row r="20" spans="1:4" x14ac:dyDescent="0.25">
      <c r="A20" t="s">
        <v>343</v>
      </c>
      <c r="B20" s="3">
        <f>B15*0.3</f>
        <v>33300000</v>
      </c>
    </row>
    <row r="21" spans="1:4" x14ac:dyDescent="0.25">
      <c r="D21" s="3">
        <f>B15</f>
        <v>111000000</v>
      </c>
    </row>
  </sheetData>
  <mergeCells count="3">
    <mergeCell ref="A1:J1"/>
    <mergeCell ref="A13:J13"/>
    <mergeCell ref="A2:J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3" width="13" customWidth="1"/>
    <col min="4" max="4" width="18" customWidth="1"/>
    <col min="5" max="6" width="13" customWidth="1"/>
    <col min="7" max="7" width="20" customWidth="1"/>
    <col min="8" max="9" width="13" customWidth="1"/>
    <col min="10" max="10" width="22" customWidth="1"/>
  </cols>
  <sheetData>
    <row r="1" spans="1:10" ht="18.75" x14ac:dyDescent="0.25">
      <c r="A1" s="21" t="s">
        <v>344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 t="s">
        <v>345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t="s">
        <v>175</v>
      </c>
      <c r="B4" t="s">
        <v>346</v>
      </c>
    </row>
    <row r="7" spans="1:10" ht="25.5" x14ac:dyDescent="0.25">
      <c r="A7" s="14" t="s">
        <v>347</v>
      </c>
      <c r="B7" s="14" t="s">
        <v>209</v>
      </c>
      <c r="C7" s="14" t="s">
        <v>177</v>
      </c>
      <c r="D7" s="14" t="s">
        <v>106</v>
      </c>
      <c r="E7" s="14" t="s">
        <v>141</v>
      </c>
      <c r="F7" s="14" t="s">
        <v>348</v>
      </c>
      <c r="G7" s="14" t="s">
        <v>349</v>
      </c>
      <c r="H7" s="14" t="s">
        <v>67</v>
      </c>
      <c r="I7" s="14" t="s">
        <v>68</v>
      </c>
      <c r="J7" s="14" t="s">
        <v>214</v>
      </c>
    </row>
    <row r="8" spans="1:10" x14ac:dyDescent="0.25">
      <c r="A8" t="s">
        <v>350</v>
      </c>
      <c r="B8" t="s">
        <v>325</v>
      </c>
      <c r="C8" s="4" t="s">
        <v>351</v>
      </c>
      <c r="D8" t="s">
        <v>216</v>
      </c>
      <c r="E8" s="5">
        <v>8500000</v>
      </c>
      <c r="F8" t="s">
        <v>325</v>
      </c>
      <c r="H8" t="str">
        <f t="shared" ref="H8:H13" si="0">IF(A8="Duplicada","CRÍTICO",IF(A8="Salto","ALTO","BAJO"))</f>
        <v>CRÍTICO</v>
      </c>
      <c r="I8" t="str">
        <f t="shared" ref="I8:I13" si="1">IF(H8="CRÍTICO","⛔ DUPLICADA",IF(H8="ALTO","🔴 SALTO","✓ OK"))</f>
        <v>⛔ DUPLICADA</v>
      </c>
      <c r="J8" t="str">
        <f t="shared" ref="J8:J13" si="2">IF(A8="Duplicada","Investigar fraude",IF(A8="Salto","Verificar anuladas","Ninguna"))</f>
        <v>Investigar fraude</v>
      </c>
    </row>
    <row r="9" spans="1:10" x14ac:dyDescent="0.25">
      <c r="A9" t="s">
        <v>352</v>
      </c>
      <c r="B9" t="s">
        <v>353</v>
      </c>
      <c r="C9" s="4" t="s">
        <v>354</v>
      </c>
      <c r="D9" t="s">
        <v>220</v>
      </c>
      <c r="E9" s="5">
        <v>12000000</v>
      </c>
      <c r="G9" t="s">
        <v>355</v>
      </c>
      <c r="H9" t="str">
        <f t="shared" si="0"/>
        <v>ALTO</v>
      </c>
      <c r="I9" t="str">
        <f t="shared" si="1"/>
        <v>🔴 SALTO</v>
      </c>
      <c r="J9" t="str">
        <f t="shared" si="2"/>
        <v>Verificar anuladas</v>
      </c>
    </row>
    <row r="10" spans="1:10" x14ac:dyDescent="0.25">
      <c r="A10" t="s">
        <v>350</v>
      </c>
      <c r="B10" t="s">
        <v>356</v>
      </c>
      <c r="C10" s="4" t="s">
        <v>357</v>
      </c>
      <c r="D10" t="s">
        <v>222</v>
      </c>
      <c r="E10" s="5">
        <v>15000000</v>
      </c>
      <c r="F10" t="s">
        <v>356</v>
      </c>
      <c r="H10" t="str">
        <f t="shared" si="0"/>
        <v>CRÍTICO</v>
      </c>
      <c r="I10" t="str">
        <f t="shared" si="1"/>
        <v>⛔ DUPLICADA</v>
      </c>
      <c r="J10" t="str">
        <f t="shared" si="2"/>
        <v>Investigar fraude</v>
      </c>
    </row>
    <row r="11" spans="1:10" x14ac:dyDescent="0.25">
      <c r="A11" t="s">
        <v>358</v>
      </c>
      <c r="B11" t="s">
        <v>359</v>
      </c>
      <c r="C11" s="4" t="s">
        <v>357</v>
      </c>
      <c r="D11" t="s">
        <v>224</v>
      </c>
      <c r="E11" s="5">
        <v>6200000</v>
      </c>
      <c r="H11" t="str">
        <f t="shared" si="0"/>
        <v>BAJO</v>
      </c>
      <c r="I11" t="str">
        <f t="shared" si="1"/>
        <v>✓ OK</v>
      </c>
      <c r="J11" t="str">
        <f t="shared" si="2"/>
        <v>Ninguna</v>
      </c>
    </row>
    <row r="12" spans="1:10" x14ac:dyDescent="0.25">
      <c r="A12" t="s">
        <v>352</v>
      </c>
      <c r="B12" t="s">
        <v>360</v>
      </c>
      <c r="C12" s="4" t="s">
        <v>361</v>
      </c>
      <c r="D12" t="s">
        <v>226</v>
      </c>
      <c r="E12" s="5">
        <v>9800000</v>
      </c>
      <c r="G12" t="s">
        <v>362</v>
      </c>
      <c r="H12" t="str">
        <f t="shared" si="0"/>
        <v>ALTO</v>
      </c>
      <c r="I12" t="str">
        <f t="shared" si="1"/>
        <v>🔴 SALTO</v>
      </c>
      <c r="J12" t="str">
        <f t="shared" si="2"/>
        <v>Verificar anuladas</v>
      </c>
    </row>
    <row r="13" spans="1:10" x14ac:dyDescent="0.25">
      <c r="A13" t="s">
        <v>350</v>
      </c>
      <c r="B13" t="s">
        <v>363</v>
      </c>
      <c r="C13" s="4" t="s">
        <v>364</v>
      </c>
      <c r="D13" t="s">
        <v>228</v>
      </c>
      <c r="E13" s="5">
        <v>22000000</v>
      </c>
      <c r="F13" t="s">
        <v>363</v>
      </c>
      <c r="H13" t="str">
        <f t="shared" si="0"/>
        <v>CRÍTICO</v>
      </c>
      <c r="I13" t="str">
        <f t="shared" si="1"/>
        <v>⛔ DUPLICADA</v>
      </c>
      <c r="J13" t="str">
        <f t="shared" si="2"/>
        <v>Investigar fraude</v>
      </c>
    </row>
    <row r="15" spans="1:10" x14ac:dyDescent="0.25">
      <c r="A15" s="23" t="s">
        <v>365</v>
      </c>
      <c r="B15" s="18"/>
      <c r="C15" s="18"/>
      <c r="D15" s="18"/>
      <c r="E15" s="18"/>
      <c r="F15" s="18"/>
      <c r="G15" s="18"/>
      <c r="H15" s="18"/>
      <c r="I15" s="18"/>
      <c r="J15" s="18"/>
    </row>
    <row r="16" spans="1:10" ht="15.75" x14ac:dyDescent="0.25">
      <c r="A16" t="s">
        <v>366</v>
      </c>
      <c r="B16" s="8">
        <f>COUNTIF(A8:A13,"Duplicada")</f>
        <v>3</v>
      </c>
      <c r="H16" t="s">
        <v>94</v>
      </c>
      <c r="I16" s="7" t="str">
        <f>IF(B16&gt;0,"CRÍTICO",IF(B17&gt;1,"ALTO","BAJO"))</f>
        <v>CRÍTICO</v>
      </c>
    </row>
    <row r="17" spans="1:4" x14ac:dyDescent="0.25">
      <c r="A17" t="s">
        <v>367</v>
      </c>
      <c r="B17">
        <f>COUNTIF(A8:A13,"Salto")</f>
        <v>2</v>
      </c>
    </row>
    <row r="18" spans="1:4" x14ac:dyDescent="0.25">
      <c r="A18" t="s">
        <v>368</v>
      </c>
      <c r="B18" s="13">
        <f>SUMIF(A8:A13,"Duplicada",E8:E13)</f>
        <v>45500000</v>
      </c>
    </row>
    <row r="21" spans="1:4" x14ac:dyDescent="0.25">
      <c r="A21" t="s">
        <v>316</v>
      </c>
      <c r="B21">
        <f>B16</f>
        <v>3</v>
      </c>
      <c r="C21" t="s">
        <v>369</v>
      </c>
    </row>
    <row r="22" spans="1:4" x14ac:dyDescent="0.25">
      <c r="D22" s="3">
        <f>B18</f>
        <v>45500000</v>
      </c>
    </row>
  </sheetData>
  <mergeCells count="3">
    <mergeCell ref="A15:J15"/>
    <mergeCell ref="A1:J1"/>
    <mergeCell ref="A2:J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2"/>
  <sheetViews>
    <sheetView workbookViewId="0">
      <selection sqref="A1:J1"/>
    </sheetView>
  </sheetViews>
  <sheetFormatPr baseColWidth="10" defaultColWidth="9.140625" defaultRowHeight="15" x14ac:dyDescent="0.25"/>
  <cols>
    <col min="1" max="2" width="13" customWidth="1"/>
    <col min="3" max="3" width="22" customWidth="1"/>
    <col min="4" max="6" width="13" customWidth="1"/>
    <col min="7" max="7" width="22" customWidth="1"/>
    <col min="8" max="9" width="13" customWidth="1"/>
    <col min="10" max="10" width="25" customWidth="1"/>
  </cols>
  <sheetData>
    <row r="1" spans="1:10" ht="18.75" x14ac:dyDescent="0.25">
      <c r="A1" s="21" t="s">
        <v>370</v>
      </c>
      <c r="B1" s="18"/>
      <c r="C1" s="18"/>
      <c r="D1" s="18"/>
      <c r="E1" s="18"/>
      <c r="F1" s="18"/>
      <c r="G1" s="18"/>
      <c r="H1" s="18"/>
      <c r="I1" s="18"/>
      <c r="J1" s="18"/>
    </row>
    <row r="2" spans="1:10" x14ac:dyDescent="0.25">
      <c r="A2" s="18" t="s">
        <v>371</v>
      </c>
      <c r="B2" s="18"/>
      <c r="C2" s="18"/>
      <c r="D2" s="18"/>
      <c r="E2" s="18"/>
      <c r="F2" s="18"/>
      <c r="G2" s="18"/>
      <c r="H2" s="18"/>
      <c r="I2" s="18"/>
      <c r="J2" s="18"/>
    </row>
    <row r="4" spans="1:10" x14ac:dyDescent="0.25">
      <c r="A4" t="s">
        <v>136</v>
      </c>
      <c r="B4" s="4" t="s">
        <v>7</v>
      </c>
    </row>
    <row r="7" spans="1:10" ht="25.5" x14ac:dyDescent="0.25">
      <c r="A7" s="14" t="s">
        <v>176</v>
      </c>
      <c r="B7" s="14" t="s">
        <v>177</v>
      </c>
      <c r="C7" s="14" t="s">
        <v>106</v>
      </c>
      <c r="D7" s="14" t="s">
        <v>141</v>
      </c>
      <c r="E7" s="14" t="s">
        <v>372</v>
      </c>
      <c r="F7" s="14" t="s">
        <v>373</v>
      </c>
      <c r="G7" s="14" t="s">
        <v>374</v>
      </c>
      <c r="H7" s="14" t="s">
        <v>67</v>
      </c>
      <c r="I7" s="14" t="s">
        <v>68</v>
      </c>
      <c r="J7" s="14" t="s">
        <v>214</v>
      </c>
    </row>
    <row r="8" spans="1:10" x14ac:dyDescent="0.25">
      <c r="A8" t="s">
        <v>375</v>
      </c>
      <c r="B8" s="4" t="s">
        <v>146</v>
      </c>
      <c r="C8" t="s">
        <v>183</v>
      </c>
      <c r="D8" s="5">
        <v>18500000</v>
      </c>
      <c r="E8" s="11">
        <f>$B$4-B8</f>
        <v>3</v>
      </c>
      <c r="F8" s="11">
        <v>245</v>
      </c>
      <c r="G8" t="s">
        <v>376</v>
      </c>
      <c r="H8" t="str">
        <f>IF(AND(E8&lt;=3,F8&lt;180),"MUY ALTO",IF(E8&lt;=5,"ALTO",IF(E8&lt;=10,"MEDIO","BAJO")))</f>
        <v>ALTO</v>
      </c>
      <c r="I8" t="str">
        <f>IF(H8="MUY ALTO","🚨 SOSPECHOSO",IF(H8="ALTO","🔴 REVISAR",IF(H8="MEDIO","⚠ VERIFICAR","✓ NORMAL")))</f>
        <v>🔴 REVISAR</v>
      </c>
      <c r="J8" t="str">
        <f>IF(H8="MUY ALTO","Investigar motivación",IF(H8="ALTO","Verificar justificación","Revisar documentación"))</f>
        <v>Verificar justificación</v>
      </c>
    </row>
    <row r="9" spans="1:10" x14ac:dyDescent="0.25">
      <c r="A9" t="s">
        <v>377</v>
      </c>
      <c r="B9" s="4" t="s">
        <v>151</v>
      </c>
      <c r="C9" t="s">
        <v>378</v>
      </c>
      <c r="D9" s="5">
        <v>8200000</v>
      </c>
      <c r="E9" s="11">
        <f>$B$4-B9</f>
        <v>1</v>
      </c>
      <c r="F9" s="11">
        <v>125</v>
      </c>
      <c r="G9" t="s">
        <v>379</v>
      </c>
      <c r="H9" t="str">
        <f>IF(AND(E9&lt;=3,F9&lt;180),"MUY ALTO",IF(E9&lt;=5,"ALTO",IF(E9&lt;=10,"MEDIO","BAJO")))</f>
        <v>MUY ALTO</v>
      </c>
      <c r="I9" t="str">
        <f>IF(H9="MUY ALTO","🚨 SOSPECHOSO",IF(H9="ALTO","🔴 REVISAR",IF(H9="MEDIO","⚠ VERIFICAR","✓ NORMAL")))</f>
        <v>🚨 SOSPECHOSO</v>
      </c>
      <c r="J9" t="str">
        <f>IF(H9="MUY ALTO","Investigar motivación",IF(H9="ALTO","Verificar justificación","Revisar documentación"))</f>
        <v>Investigar motivación</v>
      </c>
    </row>
    <row r="10" spans="1:10" x14ac:dyDescent="0.25">
      <c r="A10" t="s">
        <v>380</v>
      </c>
      <c r="B10" s="4" t="s">
        <v>7</v>
      </c>
      <c r="C10" t="s">
        <v>381</v>
      </c>
      <c r="D10" s="5">
        <v>12000000</v>
      </c>
      <c r="E10" s="11">
        <f>$B$4-B10</f>
        <v>0</v>
      </c>
      <c r="F10" s="11">
        <v>520</v>
      </c>
      <c r="G10" t="s">
        <v>382</v>
      </c>
      <c r="H10" t="str">
        <f>IF(AND(E10&lt;=3,F10&lt;180),"MUY ALTO",IF(E10&lt;=5,"ALTO",IF(E10&lt;=10,"MEDIO","BAJO")))</f>
        <v>ALTO</v>
      </c>
      <c r="I10" t="str">
        <f>IF(H10="MUY ALTO","🚨 SOSPECHOSO",IF(H10="ALTO","🔴 REVISAR",IF(H10="MEDIO","⚠ VERIFICAR","✓ NORMAL")))</f>
        <v>🔴 REVISAR</v>
      </c>
      <c r="J10" t="str">
        <f>IF(H10="MUY ALTO","Investigar motivación",IF(H10="ALTO","Verificar justificación","Revisar documentación"))</f>
        <v>Verificar justificación</v>
      </c>
    </row>
    <row r="11" spans="1:10" x14ac:dyDescent="0.25">
      <c r="A11" t="s">
        <v>383</v>
      </c>
      <c r="B11" s="4" t="s">
        <v>151</v>
      </c>
      <c r="C11" t="s">
        <v>384</v>
      </c>
      <c r="D11" s="5">
        <v>15800000</v>
      </c>
      <c r="E11" s="11">
        <f>$B$4-B11</f>
        <v>1</v>
      </c>
      <c r="F11" s="11">
        <v>85</v>
      </c>
      <c r="G11" t="s">
        <v>385</v>
      </c>
      <c r="H11" t="str">
        <f>IF(AND(E11&lt;=3,F11&lt;180),"MUY ALTO",IF(E11&lt;=5,"ALTO",IF(E11&lt;=10,"MEDIO","BAJO")))</f>
        <v>MUY ALTO</v>
      </c>
      <c r="I11" t="str">
        <f>IF(H11="MUY ALTO","🚨 SOSPECHOSO",IF(H11="ALTO","🔴 REVISAR",IF(H11="MEDIO","⚠ VERIFICAR","✓ NORMAL")))</f>
        <v>🚨 SOSPECHOSO</v>
      </c>
      <c r="J11" t="str">
        <f>IF(H11="MUY ALTO","Investigar motivación",IF(H11="ALTO","Verificar justificación","Revisar documentación"))</f>
        <v>Investigar motivación</v>
      </c>
    </row>
    <row r="12" spans="1:10" x14ac:dyDescent="0.25">
      <c r="A12" t="s">
        <v>386</v>
      </c>
      <c r="B12" s="4" t="s">
        <v>7</v>
      </c>
      <c r="C12" t="s">
        <v>199</v>
      </c>
      <c r="D12" s="5">
        <v>9500000</v>
      </c>
      <c r="E12" s="11">
        <f>$B$4-B12</f>
        <v>0</v>
      </c>
      <c r="F12" s="11">
        <v>720</v>
      </c>
      <c r="G12" t="s">
        <v>387</v>
      </c>
      <c r="H12" t="str">
        <f>IF(AND(E12&lt;=3,F12&lt;180),"MUY ALTO",IF(E12&lt;=5,"ALTO",IF(E12&lt;=10,"MEDIO","BAJO")))</f>
        <v>ALTO</v>
      </c>
      <c r="I12" t="str">
        <f>IF(H12="MUY ALTO","🚨 SOSPECHOSO",IF(H12="ALTO","🔴 REVISAR",IF(H12="MEDIO","⚠ VERIFICAR","✓ NORMAL")))</f>
        <v>🔴 REVISAR</v>
      </c>
      <c r="J12" t="str">
        <f>IF(H12="MUY ALTO","Investigar motivación",IF(H12="ALTO","Verificar justificación","Revisar documentación"))</f>
        <v>Verificar justificación</v>
      </c>
    </row>
    <row r="14" spans="1:10" x14ac:dyDescent="0.25">
      <c r="A14" s="23" t="s">
        <v>388</v>
      </c>
      <c r="B14" s="18"/>
      <c r="C14" s="18"/>
      <c r="D14" s="18"/>
      <c r="E14" s="18"/>
      <c r="F14" s="18"/>
      <c r="G14" s="18"/>
      <c r="H14" s="18"/>
      <c r="I14" s="18"/>
      <c r="J14" s="18"/>
    </row>
    <row r="15" spans="1:10" x14ac:dyDescent="0.25">
      <c r="A15" t="s">
        <v>389</v>
      </c>
      <c r="B15" s="8">
        <f>COUNTIF(E8:E12,"&lt;=3")</f>
        <v>5</v>
      </c>
    </row>
    <row r="16" spans="1:10" ht="15.75" x14ac:dyDescent="0.25">
      <c r="A16" t="s">
        <v>390</v>
      </c>
      <c r="B16">
        <f>COUNTIF(H8:H12,"MUY ALTO")</f>
        <v>2</v>
      </c>
      <c r="H16" t="s">
        <v>94</v>
      </c>
      <c r="I16" s="7" t="str">
        <f>IF(B15&gt;2,"CRÍTICO",IF(B16&gt;0,"ALTO",IF(B15&gt;0,"MEDIO","BAJO")))</f>
        <v>CRÍTICO</v>
      </c>
    </row>
    <row r="17" spans="1:4" x14ac:dyDescent="0.25">
      <c r="A17" t="s">
        <v>391</v>
      </c>
      <c r="B17" s="10">
        <f>SUM(D8:D12)</f>
        <v>64000000</v>
      </c>
    </row>
    <row r="18" spans="1:4" x14ac:dyDescent="0.25">
      <c r="A18" t="s">
        <v>392</v>
      </c>
      <c r="B18" s="12">
        <f>SUMIF(H8:H12,"MUY ALTO",D8:D12)</f>
        <v>24000000</v>
      </c>
    </row>
    <row r="21" spans="1:4" x14ac:dyDescent="0.25">
      <c r="A21" t="s">
        <v>171</v>
      </c>
      <c r="B21">
        <f>COUNTIF(H8:H12,"MUY ALTO")+COUNTIF(H8:H12,"ALTO")</f>
        <v>5</v>
      </c>
      <c r="C21" t="s">
        <v>393</v>
      </c>
    </row>
    <row r="22" spans="1:4" x14ac:dyDescent="0.25">
      <c r="D22" s="3">
        <f>B18</f>
        <v>24000000</v>
      </c>
    </row>
  </sheetData>
  <mergeCells count="3">
    <mergeCell ref="A1:J1"/>
    <mergeCell ref="A14:J14"/>
    <mergeCell ref="A2:J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12</vt:i4>
      </vt:variant>
    </vt:vector>
  </HeadingPairs>
  <TitlesOfParts>
    <vt:vector size="12" baseType="lpstr">
      <vt:lpstr>ÍNDICE_GENERAL</vt:lpstr>
      <vt:lpstr>PT_B.1_Confirmaciones</vt:lpstr>
      <vt:lpstr>PT_B.2_Antiguedad</vt:lpstr>
      <vt:lpstr>PT_B.3_NC_PostCierre</vt:lpstr>
      <vt:lpstr>PT_B.4_Autorizaciones</vt:lpstr>
      <vt:lpstr>PT_B.5_CutOff</vt:lpstr>
      <vt:lpstr>PT_B.6_PartesRel</vt:lpstr>
      <vt:lpstr>PT_B.7_Concentracion</vt:lpstr>
      <vt:lpstr>PT_B.8_Colateral</vt:lpstr>
      <vt:lpstr>PT_B.9_SideLetter</vt:lpstr>
      <vt:lpstr>PT_B.11_Duplicadas</vt:lpstr>
      <vt:lpstr>PT_B.12_WriteOffs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</cp:lastModifiedBy>
  <dcterms:created xsi:type="dcterms:W3CDTF">2025-11-17T15:27:06Z</dcterms:created>
  <dcterms:modified xsi:type="dcterms:W3CDTF">2025-11-17T15:36:57Z</dcterms:modified>
</cp:coreProperties>
</file>