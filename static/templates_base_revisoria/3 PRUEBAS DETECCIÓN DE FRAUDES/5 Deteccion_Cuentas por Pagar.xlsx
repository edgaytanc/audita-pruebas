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" sheetId="1" r:id="rId1"/>
    <sheet name="PT F.1 - Confirmaciones" sheetId="2" r:id="rId2"/>
    <sheet name="PT F.2 - Pasivos No Regist" sheetId="3" r:id="rId3"/>
    <sheet name="PT F.3 - Conciliaciones" sheetId="4" r:id="rId4"/>
    <sheet name="PT F.4 - Pagos Duplicados" sheetId="5" r:id="rId5"/>
    <sheet name="PT F.5 - Prov Ficticios" sheetId="6" r:id="rId6"/>
    <sheet name="PT F.6 - Cut-Off Compras" sheetId="7" r:id="rId7"/>
    <sheet name="PT F.7 - ND Post-Cierre" sheetId="8" r:id="rId8"/>
    <sheet name="PT F.8 - Estimaciones" sheetId="9" r:id="rId9"/>
    <sheet name="PT F.9 - Pasivos Conting" sheetId="10" r:id="rId10"/>
    <sheet name="PT F.10 - Autorizaciones" sheetId="11" r:id="rId11"/>
    <sheet name="PT F.11 - Benford" sheetId="12" r:id="rId12"/>
    <sheet name="PT F.12 - Cruces Empleados" sheetId="13" r:id="rId13"/>
    <sheet name="PT F.13 - Prov No Habituals" sheetId="14" r:id="rId14"/>
  </sheets>
  <calcPr calcId="162913"/>
</workbook>
</file>

<file path=xl/calcChain.xml><?xml version="1.0" encoding="utf-8"?>
<calcChain xmlns="http://schemas.openxmlformats.org/spreadsheetml/2006/main">
  <c r="B25" i="14" l="1"/>
  <c r="B22" i="14"/>
  <c r="J10" i="14"/>
  <c r="L10" i="14" s="1"/>
  <c r="J9" i="14"/>
  <c r="L9" i="14" s="1"/>
  <c r="L8" i="14"/>
  <c r="J8" i="14"/>
  <c r="J7" i="14"/>
  <c r="L7" i="14" s="1"/>
  <c r="B13" i="13"/>
  <c r="L9" i="13"/>
  <c r="J9" i="13"/>
  <c r="L8" i="13"/>
  <c r="J8" i="13"/>
  <c r="L7" i="13"/>
  <c r="B15" i="13" s="1"/>
  <c r="J7" i="13"/>
  <c r="E15" i="12"/>
  <c r="D15" i="12"/>
  <c r="F15" i="12" s="1"/>
  <c r="G15" i="12" s="1"/>
  <c r="E14" i="12"/>
  <c r="D14" i="12"/>
  <c r="F14" i="12" s="1"/>
  <c r="G14" i="12" s="1"/>
  <c r="E13" i="12"/>
  <c r="D13" i="12"/>
  <c r="F13" i="12" s="1"/>
  <c r="G13" i="12" s="1"/>
  <c r="E12" i="12"/>
  <c r="D12" i="12"/>
  <c r="F12" i="12" s="1"/>
  <c r="G12" i="12" s="1"/>
  <c r="E11" i="12"/>
  <c r="D11" i="12"/>
  <c r="F11" i="12" s="1"/>
  <c r="G11" i="12" s="1"/>
  <c r="E10" i="12"/>
  <c r="D10" i="12"/>
  <c r="F10" i="12" s="1"/>
  <c r="G10" i="12" s="1"/>
  <c r="E9" i="12"/>
  <c r="D9" i="12"/>
  <c r="F9" i="12" s="1"/>
  <c r="G9" i="12" s="1"/>
  <c r="E8" i="12"/>
  <c r="D8" i="12"/>
  <c r="F8" i="12" s="1"/>
  <c r="G8" i="12" s="1"/>
  <c r="E7" i="12"/>
  <c r="D7" i="12"/>
  <c r="F7" i="12" s="1"/>
  <c r="B14" i="11"/>
  <c r="J10" i="11"/>
  <c r="K10" i="11" s="1"/>
  <c r="J9" i="11"/>
  <c r="K9" i="11" s="1"/>
  <c r="J8" i="11"/>
  <c r="K8" i="11" s="1"/>
  <c r="J7" i="11"/>
  <c r="B15" i="11" s="1"/>
  <c r="I10" i="10"/>
  <c r="H10" i="10"/>
  <c r="I9" i="10"/>
  <c r="H9" i="10"/>
  <c r="I8" i="10"/>
  <c r="H8" i="10"/>
  <c r="I7" i="10"/>
  <c r="H7" i="10"/>
  <c r="B15" i="10" s="1"/>
  <c r="B16" i="9"/>
  <c r="B15" i="9"/>
  <c r="B14" i="9"/>
  <c r="J10" i="9"/>
  <c r="I10" i="9"/>
  <c r="H10" i="9"/>
  <c r="J9" i="9"/>
  <c r="H9" i="9"/>
  <c r="I9" i="9" s="1"/>
  <c r="I8" i="9"/>
  <c r="J8" i="9" s="1"/>
  <c r="H8" i="9"/>
  <c r="H7" i="9"/>
  <c r="I7" i="9" s="1"/>
  <c r="J7" i="9" s="1"/>
  <c r="B17" i="9" s="1"/>
  <c r="J9" i="8"/>
  <c r="I9" i="8"/>
  <c r="J8" i="8"/>
  <c r="I8" i="8"/>
  <c r="J7" i="8"/>
  <c r="G12" i="8" s="1"/>
  <c r="I7" i="8"/>
  <c r="K11" i="7"/>
  <c r="J11" i="7"/>
  <c r="I11" i="7"/>
  <c r="H11" i="7"/>
  <c r="K10" i="7"/>
  <c r="J10" i="7"/>
  <c r="I10" i="7"/>
  <c r="H10" i="7"/>
  <c r="K9" i="7"/>
  <c r="J9" i="7"/>
  <c r="I9" i="7"/>
  <c r="H9" i="7"/>
  <c r="K8" i="7"/>
  <c r="J8" i="7"/>
  <c r="I8" i="7"/>
  <c r="H8" i="7"/>
  <c r="K7" i="7"/>
  <c r="B16" i="7" s="1"/>
  <c r="J7" i="7"/>
  <c r="I7" i="7"/>
  <c r="H7" i="7"/>
  <c r="M9" i="6"/>
  <c r="N9" i="6" s="1"/>
  <c r="M8" i="6"/>
  <c r="N8" i="6" s="1"/>
  <c r="M7" i="6"/>
  <c r="N7" i="6" s="1"/>
  <c r="K10" i="5"/>
  <c r="J10" i="5"/>
  <c r="L10" i="5" s="1"/>
  <c r="J9" i="5"/>
  <c r="L9" i="5" s="1"/>
  <c r="L8" i="5"/>
  <c r="K8" i="5"/>
  <c r="J8" i="5"/>
  <c r="L7" i="5"/>
  <c r="J7" i="5"/>
  <c r="K7" i="5" s="1"/>
  <c r="H10" i="4"/>
  <c r="F10" i="4"/>
  <c r="I10" i="4" s="1"/>
  <c r="J10" i="4" s="1"/>
  <c r="H9" i="4"/>
  <c r="F9" i="4"/>
  <c r="I9" i="4" s="1"/>
  <c r="J9" i="4" s="1"/>
  <c r="H8" i="4"/>
  <c r="F8" i="4"/>
  <c r="I8" i="4" s="1"/>
  <c r="J8" i="4" s="1"/>
  <c r="H7" i="4"/>
  <c r="B15" i="4" s="1"/>
  <c r="F7" i="4"/>
  <c r="B14" i="4" s="1"/>
  <c r="A13" i="3"/>
  <c r="I9" i="3"/>
  <c r="J9" i="3" s="1"/>
  <c r="I8" i="3"/>
  <c r="J8" i="3" s="1"/>
  <c r="I7" i="3"/>
  <c r="J7" i="3" s="1"/>
  <c r="B15" i="2"/>
  <c r="G11" i="2"/>
  <c r="I11" i="2" s="1"/>
  <c r="F11" i="2"/>
  <c r="H11" i="2" s="1"/>
  <c r="G10" i="2"/>
  <c r="I10" i="2" s="1"/>
  <c r="F10" i="2"/>
  <c r="H10" i="2" s="1"/>
  <c r="I9" i="2"/>
  <c r="H9" i="2"/>
  <c r="G9" i="2"/>
  <c r="F9" i="2"/>
  <c r="G8" i="2"/>
  <c r="I8" i="2" s="1"/>
  <c r="F8" i="2"/>
  <c r="H8" i="2" s="1"/>
  <c r="G7" i="2"/>
  <c r="I7" i="2" s="1"/>
  <c r="B19" i="2" s="1"/>
  <c r="F7" i="2"/>
  <c r="H7" i="2" s="1"/>
  <c r="B14" i="6" l="1"/>
  <c r="B13" i="6"/>
  <c r="B15" i="6"/>
  <c r="B24" i="14"/>
  <c r="B23" i="14"/>
  <c r="G7" i="12"/>
  <c r="B21" i="12"/>
  <c r="B16" i="2"/>
  <c r="B18" i="2"/>
  <c r="B17" i="2"/>
  <c r="I7" i="4"/>
  <c r="J7" i="4" s="1"/>
  <c r="B16" i="4" s="1"/>
  <c r="K9" i="5"/>
  <c r="B14" i="5" s="1"/>
  <c r="B15" i="7"/>
  <c r="K7" i="11"/>
  <c r="B16" i="11" s="1"/>
  <c r="B13" i="5"/>
  <c r="B14" i="10"/>
  <c r="B14" i="13"/>
  <c r="B19" i="12" l="1"/>
  <c r="A24" i="12" s="1"/>
  <c r="B20" i="12"/>
</calcChain>
</file>

<file path=xl/sharedStrings.xml><?xml version="1.0" encoding="utf-8"?>
<sst xmlns="http://schemas.openxmlformats.org/spreadsheetml/2006/main" count="703" uniqueCount="417">
  <si>
    <t>PROGRAMA DE AUDITORÍA</t>
  </si>
  <si>
    <t>DETECCIÓN DE FRAUDES EN CUENTAS POR PAGAR Y PASIVOS ACUMULADOS</t>
  </si>
  <si>
    <t>REF.</t>
  </si>
  <si>
    <t>PAPEL DE TRABAJO</t>
  </si>
  <si>
    <t>NIA/MARCO</t>
  </si>
  <si>
    <t>OBJETIVO</t>
  </si>
  <si>
    <t>PT F.1</t>
  </si>
  <si>
    <t>Confirmación con Proveedores Principales</t>
  </si>
  <si>
    <t>NIA 505</t>
  </si>
  <si>
    <t>Verificar existencia y exactitud de saldos</t>
  </si>
  <si>
    <t>PT F.2</t>
  </si>
  <si>
    <t>Búsqueda de Pasivos No Registrados</t>
  </si>
  <si>
    <t>NIA 330</t>
  </si>
  <si>
    <t>Detectar pasivos omitidos</t>
  </si>
  <si>
    <t>PT F.3</t>
  </si>
  <si>
    <t>Conciliaciones de Proveedores - Diferencias</t>
  </si>
  <si>
    <t>Identificar diferencias y errores</t>
  </si>
  <si>
    <t>PT F.4</t>
  </si>
  <si>
    <t>Análisis de Pagos Duplicados</t>
  </si>
  <si>
    <t>NIA 240</t>
  </si>
  <si>
    <t>Detectar pagos duplicados fraudulentos</t>
  </si>
  <si>
    <t>PT F.5</t>
  </si>
  <si>
    <t>Proveedores Ficticios</t>
  </si>
  <si>
    <t>Identificar proveedores inexistentes</t>
  </si>
  <si>
    <t>PT F.6</t>
  </si>
  <si>
    <t>Cut-Off de Compras</t>
  </si>
  <si>
    <t>Verificar registro en período correcto</t>
  </si>
  <si>
    <t>PT F.7</t>
  </si>
  <si>
    <t>Notas Débito Recibidas Post-Cierre</t>
  </si>
  <si>
    <t>NIA 560</t>
  </si>
  <si>
    <t>Eventos posteriores al cierre</t>
  </si>
  <si>
    <t>PT F.8</t>
  </si>
  <si>
    <t>Estimaciones de Pasivos</t>
  </si>
  <si>
    <t>NIA 540</t>
  </si>
  <si>
    <t>Evaluar razonabilidad de estimaciones</t>
  </si>
  <si>
    <t>PT F.9</t>
  </si>
  <si>
    <t>Pasivos Contingentes No Revelados</t>
  </si>
  <si>
    <t>NIA 501</t>
  </si>
  <si>
    <t>Verificar revelaciones adecuadas</t>
  </si>
  <si>
    <t>PT F.10</t>
  </si>
  <si>
    <t>Autorizaciones de Nuevos Proveedores</t>
  </si>
  <si>
    <t>NIA 315</t>
  </si>
  <si>
    <t>Control interno - altas de proveedores</t>
  </si>
  <si>
    <t>PT F.11</t>
  </si>
  <si>
    <t>Análisis de Benford en Facturas</t>
  </si>
  <si>
    <t>Detectar manipulación de cifras</t>
  </si>
  <si>
    <t>PT F.12</t>
  </si>
  <si>
    <t>Proveedores/Empleados - Misma Dirección</t>
  </si>
  <si>
    <t>NIA 550</t>
  </si>
  <si>
    <t>Identificar partes relacionadas</t>
  </si>
  <si>
    <t>PT F.13</t>
  </si>
  <si>
    <t>Pagos a Proveedores No Habituales</t>
  </si>
  <si>
    <t>Detectar transacciones inusuales</t>
  </si>
  <si>
    <t>NOTAS IMPORTANTES:</t>
  </si>
  <si>
    <t>• Este programa está diseñado conforme a NIAs y mejores prácticas de Revisoría Fiscal en Colombia</t>
  </si>
  <si>
    <t>• Los campos en AMARILLO requieren ingreso manual de datos</t>
  </si>
  <si>
    <t>• Las fórmulas calculan automáticamente riesgos y alertas</t>
  </si>
  <si>
    <t>• Revise los indicadores ROJOS (Alto Riesgo) prioritariamente</t>
  </si>
  <si>
    <t>• Documente todas las observaciones en la columna correspondiente</t>
  </si>
  <si>
    <t>• Mantenga evidencia de respaldo para cada hallazgo</t>
  </si>
  <si>
    <t>PT F.1 - CONFIRMACIÓN CON PROVEEDORES PRINCIPALES (NIA 505)</t>
  </si>
  <si>
    <t>CLIENTE:</t>
  </si>
  <si>
    <t>[Nombre del Cliente]</t>
  </si>
  <si>
    <t>PERÍODO:</t>
  </si>
  <si>
    <t>[AAAA]</t>
  </si>
  <si>
    <t>AUDITOR:</t>
  </si>
  <si>
    <t>[Nombre Auditor]</t>
  </si>
  <si>
    <t>FECHA:</t>
  </si>
  <si>
    <t>17/11/2025</t>
  </si>
  <si>
    <t>REF:</t>
  </si>
  <si>
    <t>PT F.1 - Confirmaciones</t>
  </si>
  <si>
    <t>No.</t>
  </si>
  <si>
    <t>PROVEEDOR</t>
  </si>
  <si>
    <t>NIT</t>
  </si>
  <si>
    <t>SALDO SEGÚN LIBROS</t>
  </si>
  <si>
    <t>SALDO CONFIRMADO</t>
  </si>
  <si>
    <t>DIFERENCIA</t>
  </si>
  <si>
    <t>% DIFERENCIA</t>
  </si>
  <si>
    <t>ESTADO CONFIRMACIÓN</t>
  </si>
  <si>
    <t>TIPO RIESGO</t>
  </si>
  <si>
    <t>OBSERVACIONES</t>
  </si>
  <si>
    <t>1</t>
  </si>
  <si>
    <t>Proveedor XYZ S.A.S.</t>
  </si>
  <si>
    <t>900123456-1</t>
  </si>
  <si>
    <t>2</t>
  </si>
  <si>
    <t>Distribuidora ABC Ltda</t>
  </si>
  <si>
    <t>800234567-2</t>
  </si>
  <si>
    <t>3</t>
  </si>
  <si>
    <t>Importaciones DEF S.A.</t>
  </si>
  <si>
    <t>900345678-3</t>
  </si>
  <si>
    <t>4</t>
  </si>
  <si>
    <t>Suministros GHI</t>
  </si>
  <si>
    <t>800456789-4</t>
  </si>
  <si>
    <t>5</t>
  </si>
  <si>
    <t>Comercial JKL</t>
  </si>
  <si>
    <t>900567890-5</t>
  </si>
  <si>
    <t>RESUMEN DE CONFIRMACIONES</t>
  </si>
  <si>
    <t>Total Enviadas:</t>
  </si>
  <si>
    <t>Recibidas Conformes:</t>
  </si>
  <si>
    <t>Con Diferencias:</t>
  </si>
  <si>
    <t>No Recibidas:</t>
  </si>
  <si>
    <t>Riesgo Alto:</t>
  </si>
  <si>
    <t>PT F.2 - BÚSQUEDA DE PASIVOS NO REGISTRADOS</t>
  </si>
  <si>
    <t>PT F.2 - Pasivos No Regist</t>
  </si>
  <si>
    <t>FACTURA/DOC</t>
  </si>
  <si>
    <t>FECHA FACTURA</t>
  </si>
  <si>
    <t>CONCEPTO</t>
  </si>
  <si>
    <t>VALOR</t>
  </si>
  <si>
    <t>FECHA RECEPCIÓN</t>
  </si>
  <si>
    <t>REGISTRADO EN CIERRE</t>
  </si>
  <si>
    <t>DÍAS DIFERENCIA</t>
  </si>
  <si>
    <t>RIESGO</t>
  </si>
  <si>
    <t>FV-2024-12345</t>
  </si>
  <si>
    <t>2024-12-28</t>
  </si>
  <si>
    <t>Proveedor A</t>
  </si>
  <si>
    <t>Mercancía</t>
  </si>
  <si>
    <t>2025-01-05</t>
  </si>
  <si>
    <t>NO</t>
  </si>
  <si>
    <t>FV-2024-12346</t>
  </si>
  <si>
    <t>2024-12-30</t>
  </si>
  <si>
    <t>Proveedor B</t>
  </si>
  <si>
    <t>Servicios</t>
  </si>
  <si>
    <t>2025-01-03</t>
  </si>
  <si>
    <t>FV-2024-12347</t>
  </si>
  <si>
    <t>2024-12-29</t>
  </si>
  <si>
    <t>Proveedor C</t>
  </si>
  <si>
    <t>Suministros</t>
  </si>
  <si>
    <t>2024-12-31</t>
  </si>
  <si>
    <t>CONCLUSIÓN AUDITORÍA:</t>
  </si>
  <si>
    <t>PT F.3 - CONCILIACIONES DE PROVEEDORES - DIFERENCIAS</t>
  </si>
  <si>
    <t>PT F.3 - Conciliaciones</t>
  </si>
  <si>
    <t>SALDO SEGÚN EMPRESA</t>
  </si>
  <si>
    <t>SALDO SEGÚN PROVEEDOR</t>
  </si>
  <si>
    <t>CAUSA DIFERENCIA</t>
  </si>
  <si>
    <t>AJUSTE REQUERIDO</t>
  </si>
  <si>
    <t>MATERIALIDAD</t>
  </si>
  <si>
    <t>Proveedor XYZ</t>
  </si>
  <si>
    <t>900123456</t>
  </si>
  <si>
    <t>Factura en tránsito</t>
  </si>
  <si>
    <t>Proveedor ABC</t>
  </si>
  <si>
    <t>800234567</t>
  </si>
  <si>
    <t>Conforme</t>
  </si>
  <si>
    <t>Proveedor DEF</t>
  </si>
  <si>
    <t>900345678</t>
  </si>
  <si>
    <t>NC no aplicada</t>
  </si>
  <si>
    <t>Proveedor GHI</t>
  </si>
  <si>
    <t>800456789</t>
  </si>
  <si>
    <t>Diferencia en tipo cambio</t>
  </si>
  <si>
    <t>RESUMEN DE DIFERENCIAS</t>
  </si>
  <si>
    <t>Total Diferencias:</t>
  </si>
  <si>
    <t>Ajustes Requeridos:</t>
  </si>
  <si>
    <t>Diferencias Materiales:</t>
  </si>
  <si>
    <t>PT F.4 - ANÁLISIS DE PAGOS DUPLICADOS</t>
  </si>
  <si>
    <t>PT F.4 - Pagos Duplicados</t>
  </si>
  <si>
    <t>FACTURA</t>
  </si>
  <si>
    <t>VALOR FACTURA</t>
  </si>
  <si>
    <t>PAGO 1 FECHA</t>
  </si>
  <si>
    <t>PAGO 1 VALOR</t>
  </si>
  <si>
    <t>PAGO 2 FECHA</t>
  </si>
  <si>
    <t>PAGO 2 VALOR</t>
  </si>
  <si>
    <t>DUPLICADO</t>
  </si>
  <si>
    <t>VALOR DUPLICADO</t>
  </si>
  <si>
    <t>ESTADO</t>
  </si>
  <si>
    <t>FV-2024-001</t>
  </si>
  <si>
    <t>2024-11-15</t>
  </si>
  <si>
    <t>2024-11-20</t>
  </si>
  <si>
    <t>2024-11-25</t>
  </si>
  <si>
    <t>FV-2024-002</t>
  </si>
  <si>
    <t>2024-11-18</t>
  </si>
  <si>
    <t>2024-11-22</t>
  </si>
  <si>
    <t>FV-2024-003</t>
  </si>
  <si>
    <t>2024-11-23</t>
  </si>
  <si>
    <t>2024-11-28</t>
  </si>
  <si>
    <t>FV-2024-004</t>
  </si>
  <si>
    <t>Proveedor D</t>
  </si>
  <si>
    <t>2024-11-30</t>
  </si>
  <si>
    <t>TOTAL PAGOS DUPLICADOS:</t>
  </si>
  <si>
    <t>VALOR A RECUPERAR:</t>
  </si>
  <si>
    <t>PT F.5 - DETECCIÓN DE PROVEEDORES FICTICIOS</t>
  </si>
  <si>
    <t>PT F.5 - Prov Ficticios</t>
  </si>
  <si>
    <t>DIRECCIÓN</t>
  </si>
  <si>
    <t>TELÉFONO</t>
  </si>
  <si>
    <t>EMAIL</t>
  </si>
  <si>
    <t>TOTAL COMPRAS AÑO</t>
  </si>
  <si>
    <t>No. FACTURAS</t>
  </si>
  <si>
    <t>VERIFICACIÓN RUT</t>
  </si>
  <si>
    <t>VERIFICACIÓN CÁMARA COMERCIO</t>
  </si>
  <si>
    <t>PÁGINA WEB</t>
  </si>
  <si>
    <t>REFERENCIAS</t>
  </si>
  <si>
    <t>PUNTUACIÓN RIESGO</t>
  </si>
  <si>
    <t>CLASIFICACIÓN</t>
  </si>
  <si>
    <t>Comercial Rápido SAS</t>
  </si>
  <si>
    <t>900111222</t>
  </si>
  <si>
    <t>Calle Falsa 123</t>
  </si>
  <si>
    <t>3001234567</t>
  </si>
  <si>
    <t>info@rapido.co</t>
  </si>
  <si>
    <t>VERIFICADO</t>
  </si>
  <si>
    <t>SÍ</t>
  </si>
  <si>
    <t>Distribuciones Express</t>
  </si>
  <si>
    <t>800222333</t>
  </si>
  <si>
    <t>N/A</t>
  </si>
  <si>
    <t>sin@email.com</t>
  </si>
  <si>
    <t>NO EXISTE</t>
  </si>
  <si>
    <t>NO REGISTRADO</t>
  </si>
  <si>
    <t>Suministros Globales</t>
  </si>
  <si>
    <t>900333444</t>
  </si>
  <si>
    <t>Carrera 7 #45-67</t>
  </si>
  <si>
    <t>3107654321</t>
  </si>
  <si>
    <t>ventas@globales.co</t>
  </si>
  <si>
    <t>RESUMEN DE RIESGOS</t>
  </si>
  <si>
    <t>Alto Riesgo:</t>
  </si>
  <si>
    <t>Riesgo Medio:</t>
  </si>
  <si>
    <t>Valor Compras Alto Riesgo:</t>
  </si>
  <si>
    <t>PT F.6 - ANÁLISIS CUT-OFF DE COMPRAS</t>
  </si>
  <si>
    <t>PT F.6 - Cut-Off Compras</t>
  </si>
  <si>
    <t>FECHA RECEPCIÓN MERCANCÍA</t>
  </si>
  <si>
    <t>FECHA REGISTRO CONTABLE</t>
  </si>
  <si>
    <t>PERÍODO CORRECTO</t>
  </si>
  <si>
    <t>DIFERENCIA DÍAS</t>
  </si>
  <si>
    <t>RIESGO CUT-OFF</t>
  </si>
  <si>
    <t>FV-2024-9950</t>
  </si>
  <si>
    <t>FV-2024-9951</t>
  </si>
  <si>
    <t>FV-2024-9952</t>
  </si>
  <si>
    <t>2025-01-02</t>
  </si>
  <si>
    <t>2025-01-08</t>
  </si>
  <si>
    <t>FV-2025-0001</t>
  </si>
  <si>
    <t>2025-01-10</t>
  </si>
  <si>
    <t>FV-2024-9953</t>
  </si>
  <si>
    <t>Proveedor E</t>
  </si>
  <si>
    <t>RESUMEN CUT-OFF</t>
  </si>
  <si>
    <t>Errores de Cut-Off:</t>
  </si>
  <si>
    <t>Valor Ajustes Requeridos:</t>
  </si>
  <si>
    <t>PT F.7 - NOTAS DÉBITO RECIBIDAS POST-CIERRE</t>
  </si>
  <si>
    <t>PT F.7 - ND Post-Cierre</t>
  </si>
  <si>
    <t>NOTA DÉBITO</t>
  </si>
  <si>
    <t>FECHA EMISIÓN</t>
  </si>
  <si>
    <t>FACTURA ORIGINAL</t>
  </si>
  <si>
    <t>RELACIONADO CON 2024</t>
  </si>
  <si>
    <t>IMPACTO EE.FF.</t>
  </si>
  <si>
    <t>ND-2025-0001</t>
  </si>
  <si>
    <t>Proveedor X</t>
  </si>
  <si>
    <t>FV-2024-8850</t>
  </si>
  <si>
    <t>Ajuste precio</t>
  </si>
  <si>
    <t>ND-2025-0002</t>
  </si>
  <si>
    <t>Proveedor Y</t>
  </si>
  <si>
    <t>FV-2025-0015</t>
  </si>
  <si>
    <t>Devolución</t>
  </si>
  <si>
    <t>ND-2025-0003</t>
  </si>
  <si>
    <t>Proveedor Z</t>
  </si>
  <si>
    <t>FV-2024-9102</t>
  </si>
  <si>
    <t>Diferencia cantidad</t>
  </si>
  <si>
    <t>TOTAL IMPACTO EN ESTADOS FINANCIEROS 2024:</t>
  </si>
  <si>
    <t>PT F.8 - ESTIMACIONES DE PASIVOS (GARANTÍAS, LITIGIOS)</t>
  </si>
  <si>
    <t>PT F.8 - Estimaciones</t>
  </si>
  <si>
    <t>TIPO PASIVO</t>
  </si>
  <si>
    <t>DESCRIPCIÓN</t>
  </si>
  <si>
    <t>CASO/REFERENCIA</t>
  </si>
  <si>
    <t>PROBABILIDAD</t>
  </si>
  <si>
    <t>VALOR ESTIMADO EMPRESA</t>
  </si>
  <si>
    <t>VALOR SEGÚN ABOGADO/EXPERTO</t>
  </si>
  <si>
    <t>PROVISIÓN ADECUADA</t>
  </si>
  <si>
    <t>Litigio Laboral</t>
  </si>
  <si>
    <t>Demanda exmpleado</t>
  </si>
  <si>
    <t>EXP-2024-001</t>
  </si>
  <si>
    <t>PROBABLE</t>
  </si>
  <si>
    <t>Garantía Productos</t>
  </si>
  <si>
    <t>Garantía año 2024</t>
  </si>
  <si>
    <t>Litigio Fiscal</t>
  </si>
  <si>
    <t>Impuesto renta 2022</t>
  </si>
  <si>
    <t>EXP-2023-155</t>
  </si>
  <si>
    <t>POSIBLE</t>
  </si>
  <si>
    <t>Multa Ambiental</t>
  </si>
  <si>
    <t>Sanción CAR</t>
  </si>
  <si>
    <t>RES-2024-088</t>
  </si>
  <si>
    <t>REMOTA</t>
  </si>
  <si>
    <t>ANÁLISIS DE PROVISIONES</t>
  </si>
  <si>
    <t>Total Provisiones Registradas:</t>
  </si>
  <si>
    <t>Total Según Expertos:</t>
  </si>
  <si>
    <t>Diferencia Total:</t>
  </si>
  <si>
    <t>Provisiones a Revisar:</t>
  </si>
  <si>
    <t>PT F.9 - PASIVOS CONTINGENTES NO REVELADOS</t>
  </si>
  <si>
    <t>PT F.9 - Pasivos Conting</t>
  </si>
  <si>
    <t>TIPO CONTINGENCIA</t>
  </si>
  <si>
    <t>PARTE DEMANDANTE</t>
  </si>
  <si>
    <t>CUANTÍA</t>
  </si>
  <si>
    <t>PROBABILIDAD PÉRDIDA</t>
  </si>
  <si>
    <t>REVELADO EN NOTAS</t>
  </si>
  <si>
    <t>REQUIERE REVELACIÓN</t>
  </si>
  <si>
    <t>IMPACTO POTENCIAL</t>
  </si>
  <si>
    <t>ESTADO LEGAL</t>
  </si>
  <si>
    <t>Demanda Civil</t>
  </si>
  <si>
    <t>Incumplimiento contrato</t>
  </si>
  <si>
    <t>Cliente ABC S.A.</t>
  </si>
  <si>
    <t>Pendiente respuesta</t>
  </si>
  <si>
    <t>Fiscalización</t>
  </si>
  <si>
    <t>Retención en la fuente</t>
  </si>
  <si>
    <t>DIAN</t>
  </si>
  <si>
    <t>En trámite</t>
  </si>
  <si>
    <t>Demanda Laboral</t>
  </si>
  <si>
    <t>Horas extras no pagadas</t>
  </si>
  <si>
    <t>Ex-empleado Juan Pérez</t>
  </si>
  <si>
    <t>Litigio Comercial</t>
  </si>
  <si>
    <t>Garantías incumplidas</t>
  </si>
  <si>
    <t>Proveedor DEF Ltda</t>
  </si>
  <si>
    <t>HALLAZGOS DE REVELACIÓN</t>
  </si>
  <si>
    <t>Contingencias sin Revelar:</t>
  </si>
  <si>
    <t>Valor Expuesto No Revelado:</t>
  </si>
  <si>
    <t>PT F.10 - AUTORIZACIONES DE NUEVOS PROVEEDORES</t>
  </si>
  <si>
    <t>PT F.10 - Autorizaciones</t>
  </si>
  <si>
    <t>FECHA CREACIÓN</t>
  </si>
  <si>
    <t>SOLICITANTE</t>
  </si>
  <si>
    <t>APROBADOR</t>
  </si>
  <si>
    <t>VERIFICACIÓN DOCUMTOS</t>
  </si>
  <si>
    <t>ESTUDIO CREDITICIO</t>
  </si>
  <si>
    <t>REFERENCIAS VERIFICADAS</t>
  </si>
  <si>
    <t>CUMPLE POLÍTICAS</t>
  </si>
  <si>
    <t>Nuevo Proveedor A</t>
  </si>
  <si>
    <t>900555666</t>
  </si>
  <si>
    <t>Compras</t>
  </si>
  <si>
    <t>Gerente Financiero</t>
  </si>
  <si>
    <t>Nuevo Proveedor B</t>
  </si>
  <si>
    <t>800666777</t>
  </si>
  <si>
    <t>Operaciones</t>
  </si>
  <si>
    <t>Nuevo Proveedor C</t>
  </si>
  <si>
    <t>900777888</t>
  </si>
  <si>
    <t>2024-12-01</t>
  </si>
  <si>
    <t>Gerente General</t>
  </si>
  <si>
    <t>Nuevo Proveedor D</t>
  </si>
  <si>
    <t>800888999</t>
  </si>
  <si>
    <t>2024-12-10</t>
  </si>
  <si>
    <t>Producción</t>
  </si>
  <si>
    <t>Jefe Compras</t>
  </si>
  <si>
    <t>CONTROL DE AUTORIZACIONES</t>
  </si>
  <si>
    <t>Total Nuevos Proveedores:</t>
  </si>
  <si>
    <t>No Cumplen Políticas:</t>
  </si>
  <si>
    <t>PT F.11 - ANÁLISIS LEY DE BENFORD - FACTURAS PROVEEDORES</t>
  </si>
  <si>
    <t>PT F.11 - Benford</t>
  </si>
  <si>
    <t>PRIMER DÍGITO</t>
  </si>
  <si>
    <t>FRECUENCIA OBSERVADA</t>
  </si>
  <si>
    <t>FRECUENCIA ESPERADA (BENFORD)</t>
  </si>
  <si>
    <t>DESVIACIÓN</t>
  </si>
  <si>
    <t>ANÁLISIS DE DESVIACIONES</t>
  </si>
  <si>
    <t>Dígitos Anómalos:</t>
  </si>
  <si>
    <t>Dígitos a Revisar:</t>
  </si>
  <si>
    <t>Desviación Promedio:</t>
  </si>
  <si>
    <t>INTERPRETACIÓN:</t>
  </si>
  <si>
    <t>PT F.12 - PROVEEDORES CON COINCIDENCIAS CON EMPLEADOS</t>
  </si>
  <si>
    <t>PT F.12 - Cruces Empleados</t>
  </si>
  <si>
    <t>NIT PROVEEDOR</t>
  </si>
  <si>
    <t>DIRECCIÓN PROVEEDOR</t>
  </si>
  <si>
    <t>CUENTA BANCARIA PROVEEDOR</t>
  </si>
  <si>
    <t>EMPLEADO COINCIDENTE</t>
  </si>
  <si>
    <t>CÉDULA EMPLEADO</t>
  </si>
  <si>
    <t>DIRECCIÓN EMPLEADO</t>
  </si>
  <si>
    <t>CUENTA BANCARIA EMPLEADO</t>
  </si>
  <si>
    <t>TIPO COINCIDENCIA</t>
  </si>
  <si>
    <t>TOTAL PAGADO</t>
  </si>
  <si>
    <t>Consultoría Rápida SAS</t>
  </si>
  <si>
    <t>Calle 50 #23-45 Apto 301</t>
  </si>
  <si>
    <t>1234567890-Bancolombia</t>
  </si>
  <si>
    <t>María Rodríguez</t>
  </si>
  <si>
    <t>52123456</t>
  </si>
  <si>
    <t>Servicios Técnicos Ltda</t>
  </si>
  <si>
    <t>Carrera 15 #80-22</t>
  </si>
  <si>
    <t>9876543210-Davivienda</t>
  </si>
  <si>
    <t>Carlos Gómez</t>
  </si>
  <si>
    <t>79654321</t>
  </si>
  <si>
    <t>Carrera 10 #70-15</t>
  </si>
  <si>
    <t>Asesorías JM</t>
  </si>
  <si>
    <t>Calle 100 #15-30</t>
  </si>
  <si>
    <t>5555666677-Banco Bogotá</t>
  </si>
  <si>
    <t>Juan Martínez</t>
  </si>
  <si>
    <t>1023456789</t>
  </si>
  <si>
    <t>HALLAZGOS CRÍTICOS</t>
  </si>
  <si>
    <t>Coincidencias Detectadas:</t>
  </si>
  <si>
    <t>Riesgo Muy Alto:</t>
  </si>
  <si>
    <t>Valor Total Pagado (Riesgo Alto):</t>
  </si>
  <si>
    <t>ACCIÓN REQUERIDA:</t>
  </si>
  <si>
    <t>Investigar relación empleado-proveedor. Verificar conflicto de interés. Evaluar necesidad de reportar a alta dirección y comité de auditoría.</t>
  </si>
  <si>
    <t>PT F.13 - PAGOS A PROVEEDORES NO HABITUALES</t>
  </si>
  <si>
    <t>PT F.13 - Prov No Habituals</t>
  </si>
  <si>
    <t>FECHA PAGO</t>
  </si>
  <si>
    <t>No. FACTURA</t>
  </si>
  <si>
    <t>VALOR PAGO</t>
  </si>
  <si>
    <t>TRANSACCIONES HISTÓRICAS</t>
  </si>
  <si>
    <t>FECHA ÚLTIMA TRANSACCIÓN</t>
  </si>
  <si>
    <t>MESES INACTIVIDAD</t>
  </si>
  <si>
    <t>Servicios Esporádicos SAS</t>
  </si>
  <si>
    <t>FV-2024-0001</t>
  </si>
  <si>
    <t>Asesoría especial</t>
  </si>
  <si>
    <t>2022-03-10</t>
  </si>
  <si>
    <t>Consultoría Temporal Ltda</t>
  </si>
  <si>
    <t>2024-12-20</t>
  </si>
  <si>
    <t>FV-2024-0045</t>
  </si>
  <si>
    <t>Capacitación</t>
  </si>
  <si>
    <t>Proveedor Ocasional</t>
  </si>
  <si>
    <t>2024-12-05</t>
  </si>
  <si>
    <t>FV-2024-0030</t>
  </si>
  <si>
    <t>Mantenimiento</t>
  </si>
  <si>
    <t>2023-06-15</t>
  </si>
  <si>
    <t>Importaciones Únicas</t>
  </si>
  <si>
    <t>800444555</t>
  </si>
  <si>
    <t>FV-2024-0025</t>
  </si>
  <si>
    <t>Equipo especial</t>
  </si>
  <si>
    <t>2021-08-20</t>
  </si>
  <si>
    <t>PROCEDIMIENTOS DE VERIFICACIÓN REQUERIDOS:</t>
  </si>
  <si>
    <t>1. Verificar aprobación por nivel jerárquico adecuado</t>
  </si>
  <si>
    <t>2. Confirmar existencia legal del proveedor (RUT, Cámara Comercio)</t>
  </si>
  <si>
    <t>3. Validar servicios/productos efectivamente recibidos</t>
  </si>
  <si>
    <t>4. Revisar si hay relación con partes relacionadas</t>
  </si>
  <si>
    <t>5. Verificar forma de pago y cuenta bancaria</t>
  </si>
  <si>
    <t>6. Confirmar precios de mercado</t>
  </si>
  <si>
    <t>RESUMEN DE HALLAZGOS</t>
  </si>
  <si>
    <t>Total Proveedores No Habituales:</t>
  </si>
  <si>
    <t>Valor Total Riesgo Alto:</t>
  </si>
  <si>
    <t>Proveedores Nuevos: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</si>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</sst>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\$#,##0"/>
    <numFmt numFmtId="166" formatCode="0.0&quot;%&quot;"/>
    <numFmt numFmtId="167" formatCode="0.0%"/>
    <numFmt numFmtId="168" formatCode="0.00&quot;%&quot;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name val="Calibri"/>
      <family val="2"/>
    </font>
    <font>
      <b/>
      <sz val="11"/>
      <color rgb="FFFFFFFF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6"/>
      <color rgb="FFFFFFFF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66CC"/>
        <bgColor rgb="FF0066CC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165" fontId="2" fillId="6" borderId="0" xfId="0" applyNumberFormat="1" applyFont="1" applyFill="1"/>
    <xf numFmtId="0" fontId="7" fillId="0" borderId="0" xfId="0" applyFont="1"/>
    <xf numFmtId="165" fontId="7" fillId="0" borderId="0" xfId="0" applyNumberFormat="1" applyFon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8" fillId="0" borderId="0" xfId="0" applyNumberFormat="1" applyFont="1"/>
    <xf numFmtId="0" fontId="9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10" fillId="0" borderId="0" xfId="0" applyFont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4" borderId="0" xfId="0" applyFont="1" applyFill="1"/>
    <xf numFmtId="0" fontId="5" fillId="4" borderId="0" xfId="0" applyFont="1" applyFill="1"/>
    <xf numFmtId="0" fontId="5" fillId="5" borderId="0" xfId="0" applyFont="1" applyFill="1"/>
    <xf numFmtId="0" fontId="2" fillId="0" borderId="0" xfId="0" applyFont="1"/>
    <xf numFmtId="0" fontId="6" fillId="7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I18" sqref="I18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5" customWidth="1"/>
    <col min="4" max="4" width="40" customWidth="1"/>
  </cols>
  <sheetData>
    <row r="1" spans="1:4" ht="30" customHeight="1" x14ac:dyDescent="0.25">
      <c r="A1" s="20" t="s">
        <v>0</v>
      </c>
      <c r="B1" s="21"/>
      <c r="C1" s="21"/>
      <c r="D1" s="21"/>
    </row>
    <row r="2" spans="1:4" ht="15.75" x14ac:dyDescent="0.25">
      <c r="A2" s="24" t="s">
        <v>1</v>
      </c>
      <c r="B2" s="21"/>
      <c r="C2" s="21"/>
      <c r="D2" s="21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30" x14ac:dyDescent="0.25">
      <c r="A5" s="2" t="s">
        <v>6</v>
      </c>
      <c r="B5" s="3" t="s">
        <v>7</v>
      </c>
      <c r="C5" s="3" t="s">
        <v>8</v>
      </c>
      <c r="D5" s="3" t="s">
        <v>9</v>
      </c>
    </row>
    <row r="6" spans="1:4" x14ac:dyDescent="0.25">
      <c r="A6" s="2" t="s">
        <v>10</v>
      </c>
      <c r="B6" s="3" t="s">
        <v>11</v>
      </c>
      <c r="C6" s="3" t="s">
        <v>12</v>
      </c>
      <c r="D6" s="3" t="s">
        <v>13</v>
      </c>
    </row>
    <row r="7" spans="1:4" ht="30" x14ac:dyDescent="0.25">
      <c r="A7" s="2" t="s">
        <v>14</v>
      </c>
      <c r="B7" s="3" t="s">
        <v>15</v>
      </c>
      <c r="C7" s="3" t="s">
        <v>12</v>
      </c>
      <c r="D7" s="3" t="s">
        <v>16</v>
      </c>
    </row>
    <row r="8" spans="1:4" x14ac:dyDescent="0.25">
      <c r="A8" s="2" t="s">
        <v>17</v>
      </c>
      <c r="B8" s="3" t="s">
        <v>18</v>
      </c>
      <c r="C8" s="3" t="s">
        <v>19</v>
      </c>
      <c r="D8" s="3" t="s">
        <v>20</v>
      </c>
    </row>
    <row r="9" spans="1:4" x14ac:dyDescent="0.25">
      <c r="A9" s="2" t="s">
        <v>21</v>
      </c>
      <c r="B9" s="3" t="s">
        <v>22</v>
      </c>
      <c r="C9" s="3" t="s">
        <v>19</v>
      </c>
      <c r="D9" s="3" t="s">
        <v>23</v>
      </c>
    </row>
    <row r="10" spans="1:4" x14ac:dyDescent="0.25">
      <c r="A10" s="2" t="s">
        <v>24</v>
      </c>
      <c r="B10" s="3" t="s">
        <v>25</v>
      </c>
      <c r="C10" s="3" t="s">
        <v>12</v>
      </c>
      <c r="D10" s="3" t="s">
        <v>26</v>
      </c>
    </row>
    <row r="11" spans="1:4" x14ac:dyDescent="0.25">
      <c r="A11" s="2" t="s">
        <v>27</v>
      </c>
      <c r="B11" s="3" t="s">
        <v>28</v>
      </c>
      <c r="C11" s="3" t="s">
        <v>29</v>
      </c>
      <c r="D11" s="3" t="s">
        <v>30</v>
      </c>
    </row>
    <row r="12" spans="1:4" x14ac:dyDescent="0.25">
      <c r="A12" s="2" t="s">
        <v>31</v>
      </c>
      <c r="B12" s="3" t="s">
        <v>32</v>
      </c>
      <c r="C12" s="3" t="s">
        <v>33</v>
      </c>
      <c r="D12" s="3" t="s">
        <v>34</v>
      </c>
    </row>
    <row r="13" spans="1:4" x14ac:dyDescent="0.25">
      <c r="A13" s="2" t="s">
        <v>35</v>
      </c>
      <c r="B13" s="3" t="s">
        <v>36</v>
      </c>
      <c r="C13" s="3" t="s">
        <v>37</v>
      </c>
      <c r="D13" s="3" t="s">
        <v>38</v>
      </c>
    </row>
    <row r="14" spans="1:4" ht="30" x14ac:dyDescent="0.25">
      <c r="A14" s="2" t="s">
        <v>39</v>
      </c>
      <c r="B14" s="3" t="s">
        <v>40</v>
      </c>
      <c r="C14" s="3" t="s">
        <v>41</v>
      </c>
      <c r="D14" s="3" t="s">
        <v>42</v>
      </c>
    </row>
    <row r="15" spans="1:4" x14ac:dyDescent="0.25">
      <c r="A15" s="2" t="s">
        <v>43</v>
      </c>
      <c r="B15" s="3" t="s">
        <v>44</v>
      </c>
      <c r="C15" s="3" t="s">
        <v>19</v>
      </c>
      <c r="D15" s="3" t="s">
        <v>45</v>
      </c>
    </row>
    <row r="16" spans="1:4" ht="30" x14ac:dyDescent="0.25">
      <c r="A16" s="2" t="s">
        <v>46</v>
      </c>
      <c r="B16" s="3" t="s">
        <v>47</v>
      </c>
      <c r="C16" s="3" t="s">
        <v>48</v>
      </c>
      <c r="D16" s="3" t="s">
        <v>49</v>
      </c>
    </row>
    <row r="17" spans="1:4" x14ac:dyDescent="0.25">
      <c r="A17" s="2" t="s">
        <v>50</v>
      </c>
      <c r="B17" s="3" t="s">
        <v>51</v>
      </c>
      <c r="C17" s="3" t="s">
        <v>19</v>
      </c>
      <c r="D17" s="3" t="s">
        <v>52</v>
      </c>
    </row>
    <row r="20" spans="1:4" x14ac:dyDescent="0.25">
      <c r="A20" s="23" t="s">
        <v>53</v>
      </c>
      <c r="B20" s="21"/>
      <c r="C20" s="21"/>
      <c r="D20" s="21"/>
    </row>
    <row r="21" spans="1:4" x14ac:dyDescent="0.25">
      <c r="A21" s="22" t="s">
        <v>54</v>
      </c>
      <c r="B21" s="21"/>
      <c r="C21" s="21"/>
      <c r="D21" s="21"/>
    </row>
    <row r="22" spans="1:4" x14ac:dyDescent="0.25">
      <c r="A22" s="22" t="s">
        <v>55</v>
      </c>
      <c r="B22" s="21"/>
      <c r="C22" s="21"/>
      <c r="D22" s="21"/>
    </row>
    <row r="23" spans="1:4" x14ac:dyDescent="0.25">
      <c r="A23" s="22" t="s">
        <v>56</v>
      </c>
      <c r="B23" s="21"/>
      <c r="C23" s="21"/>
      <c r="D23" s="21"/>
    </row>
    <row r="24" spans="1:4" x14ac:dyDescent="0.25">
      <c r="A24" s="22" t="s">
        <v>57</v>
      </c>
      <c r="B24" s="21"/>
      <c r="C24" s="21"/>
      <c r="D24" s="21"/>
    </row>
    <row r="25" spans="1:4" x14ac:dyDescent="0.25">
      <c r="A25" s="22" t="s">
        <v>58</v>
      </c>
      <c r="B25" s="21"/>
      <c r="C25" s="21"/>
      <c r="D25" s="21"/>
    </row>
    <row r="26" spans="1:4" x14ac:dyDescent="0.25">
      <c r="A26" s="22" t="s">
        <v>59</v>
      </c>
      <c r="B26" s="21"/>
      <c r="C26" s="21"/>
      <c r="D26" s="21"/>
    </row>
  </sheetData>
  <mergeCells count="9">
    <mergeCell ref="A26:D26"/>
    <mergeCell ref="A25:D25"/>
    <mergeCell ref="A24:D24"/>
    <mergeCell ref="A2:D2"/>
    <mergeCell ref="A1:D1"/>
    <mergeCell ref="A23:D23"/>
    <mergeCell ref="A22:D22"/>
    <mergeCell ref="A20:D20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:G1"/>
    </sheetView>
  </sheetViews>
  <sheetFormatPr baseColWidth="10" defaultColWidth="9.140625" defaultRowHeight="15" x14ac:dyDescent="0.25"/>
  <cols>
    <col min="1" max="1" width="6" customWidth="1"/>
    <col min="2" max="2" width="30" customWidth="1"/>
    <col min="3" max="3" width="15" customWidth="1"/>
    <col min="4" max="5" width="18" customWidth="1"/>
    <col min="6" max="6" width="15" customWidth="1"/>
    <col min="7" max="7" width="13" customWidth="1"/>
    <col min="8" max="8" width="20" customWidth="1"/>
    <col min="9" max="9" width="15" customWidth="1"/>
    <col min="10" max="10" width="30" customWidth="1"/>
  </cols>
  <sheetData>
    <row r="1" spans="1:10" ht="18" x14ac:dyDescent="0.25">
      <c r="A1" s="26" t="s">
        <v>60</v>
      </c>
      <c r="B1" s="21"/>
      <c r="C1" s="21"/>
      <c r="D1" s="21"/>
      <c r="E1" s="21"/>
      <c r="F1" s="21"/>
      <c r="G1" s="21"/>
    </row>
    <row r="2" spans="1:10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0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0" x14ac:dyDescent="0.25">
      <c r="A4" s="4" t="s">
        <v>69</v>
      </c>
      <c r="B4" t="s">
        <v>70</v>
      </c>
      <c r="E4" s="4"/>
    </row>
    <row r="6" spans="1:10" ht="45" x14ac:dyDescent="0.25">
      <c r="A6" s="5" t="s">
        <v>71</v>
      </c>
      <c r="B6" s="5" t="s">
        <v>72</v>
      </c>
      <c r="C6" s="5" t="s">
        <v>73</v>
      </c>
      <c r="D6" s="5" t="s">
        <v>74</v>
      </c>
      <c r="E6" s="5" t="s">
        <v>75</v>
      </c>
      <c r="F6" s="5" t="s">
        <v>76</v>
      </c>
      <c r="G6" s="5" t="s">
        <v>77</v>
      </c>
      <c r="H6" s="5" t="s">
        <v>78</v>
      </c>
      <c r="I6" s="5" t="s">
        <v>79</v>
      </c>
      <c r="J6" s="5" t="s">
        <v>80</v>
      </c>
    </row>
    <row r="7" spans="1:10" x14ac:dyDescent="0.25">
      <c r="A7" t="s">
        <v>81</v>
      </c>
      <c r="B7" t="s">
        <v>82</v>
      </c>
      <c r="C7" t="s">
        <v>83</v>
      </c>
      <c r="D7" s="6">
        <v>150000000</v>
      </c>
      <c r="E7" s="6">
        <v>150000000</v>
      </c>
      <c r="F7" s="6">
        <f>E7-D7</f>
        <v>0</v>
      </c>
      <c r="G7" s="7">
        <f>IF(D7=0,"N/A",ABS(F7/D7))</f>
        <v>0</v>
      </c>
      <c r="H7" t="str">
        <f>IF(E7=0,"NO RECIBIDA",IF(F7=0,"CONFORME","CON DIFERENCIA"))</f>
        <v>CONFORME</v>
      </c>
      <c r="I7" t="str">
        <f>IF(E7=0,"ALTO",IF(G7&gt;0.05,"ALTO",IF(G7&gt;0.02,"MEDIO","BAJO")))</f>
        <v>BAJO</v>
      </c>
    </row>
    <row r="8" spans="1:10" x14ac:dyDescent="0.25">
      <c r="A8" t="s">
        <v>84</v>
      </c>
      <c r="B8" t="s">
        <v>85</v>
      </c>
      <c r="C8" t="s">
        <v>86</v>
      </c>
      <c r="D8" s="6">
        <v>85000000</v>
      </c>
      <c r="E8" s="6">
        <v>83000000</v>
      </c>
      <c r="F8" s="6">
        <f>E8-D8</f>
        <v>-2000000</v>
      </c>
      <c r="G8" s="7">
        <f>IF(D8=0,"N/A",ABS(F8/D8))</f>
        <v>2.3529411764705882E-2</v>
      </c>
      <c r="H8" t="str">
        <f>IF(E8=0,"NO RECIBIDA",IF(F8=0,"CONFORME","CON DIFERENCIA"))</f>
        <v>CON DIFERENCIA</v>
      </c>
      <c r="I8" t="str">
        <f>IF(E8=0,"ALTO",IF(G8&gt;0.05,"ALTO",IF(G8&gt;0.02,"MEDIO","BAJO")))</f>
        <v>MEDIO</v>
      </c>
    </row>
    <row r="9" spans="1:10" x14ac:dyDescent="0.25">
      <c r="A9" t="s">
        <v>87</v>
      </c>
      <c r="B9" t="s">
        <v>88</v>
      </c>
      <c r="C9" t="s">
        <v>89</v>
      </c>
      <c r="D9" s="6">
        <v>120000000</v>
      </c>
      <c r="E9" s="6">
        <v>0</v>
      </c>
      <c r="F9" s="6">
        <f>E9-D9</f>
        <v>-120000000</v>
      </c>
      <c r="G9" s="7">
        <f>IF(D9=0,"N/A",ABS(F9/D9))</f>
        <v>1</v>
      </c>
      <c r="H9" t="str">
        <f>IF(E9=0,"NO RECIBIDA",IF(F9=0,"CONFORME","CON DIFERENCIA"))</f>
        <v>NO RECIBIDA</v>
      </c>
      <c r="I9" t="str">
        <f>IF(E9=0,"ALTO",IF(G9&gt;0.05,"ALTO",IF(G9&gt;0.02,"MEDIO","BAJO")))</f>
        <v>ALTO</v>
      </c>
    </row>
    <row r="10" spans="1:10" x14ac:dyDescent="0.25">
      <c r="A10" t="s">
        <v>90</v>
      </c>
      <c r="B10" t="s">
        <v>91</v>
      </c>
      <c r="C10" t="s">
        <v>92</v>
      </c>
      <c r="D10" s="6">
        <v>95000000</v>
      </c>
      <c r="E10" s="6">
        <v>95000000</v>
      </c>
      <c r="F10" s="6">
        <f>E10-D10</f>
        <v>0</v>
      </c>
      <c r="G10" s="7">
        <f>IF(D10=0,"N/A",ABS(F10/D10))</f>
        <v>0</v>
      </c>
      <c r="H10" t="str">
        <f>IF(E10=0,"NO RECIBIDA",IF(F10=0,"CONFORME","CON DIFERENCIA"))</f>
        <v>CONFORME</v>
      </c>
      <c r="I10" t="str">
        <f>IF(E10=0,"ALTO",IF(G10&gt;0.05,"ALTO",IF(G10&gt;0.02,"MEDIO","BAJO")))</f>
        <v>BAJO</v>
      </c>
    </row>
    <row r="11" spans="1:10" x14ac:dyDescent="0.25">
      <c r="A11" t="s">
        <v>93</v>
      </c>
      <c r="B11" t="s">
        <v>94</v>
      </c>
      <c r="C11" t="s">
        <v>95</v>
      </c>
      <c r="D11" s="6">
        <v>200000000</v>
      </c>
      <c r="E11" s="6">
        <v>205000000</v>
      </c>
      <c r="F11" s="6">
        <f>E11-D11</f>
        <v>5000000</v>
      </c>
      <c r="G11" s="7">
        <f>IF(D11=0,"N/A",ABS(F11/D11))</f>
        <v>2.5000000000000001E-2</v>
      </c>
      <c r="H11" t="str">
        <f>IF(E11=0,"NO RECIBIDA",IF(F11=0,"CONFORME","CON DIFERENCIA"))</f>
        <v>CON DIFERENCIA</v>
      </c>
      <c r="I11" t="str">
        <f>IF(E11=0,"ALTO",IF(G11&gt;0.05,"ALTO",IF(G11&gt;0.02,"MEDIO","BAJO")))</f>
        <v>MEDIO</v>
      </c>
    </row>
    <row r="14" spans="1:10" ht="15.75" x14ac:dyDescent="0.25">
      <c r="A14" s="25" t="s">
        <v>96</v>
      </c>
      <c r="B14" s="21"/>
      <c r="C14" s="21"/>
    </row>
    <row r="15" spans="1:10" x14ac:dyDescent="0.25">
      <c r="A15" t="s">
        <v>97</v>
      </c>
      <c r="B15">
        <f>COUNTA(A7:A11)</f>
        <v>5</v>
      </c>
    </row>
    <row r="16" spans="1:10" x14ac:dyDescent="0.25">
      <c r="A16" t="s">
        <v>98</v>
      </c>
      <c r="B16">
        <f>COUNTIF(H7:H11,"CONFORME")</f>
        <v>2</v>
      </c>
    </row>
    <row r="17" spans="1:2" x14ac:dyDescent="0.25">
      <c r="A17" t="s">
        <v>99</v>
      </c>
      <c r="B17">
        <f>COUNTIF(H7:H11,"CON DIFERENCIA")</f>
        <v>2</v>
      </c>
    </row>
    <row r="18" spans="1:2" x14ac:dyDescent="0.25">
      <c r="A18" t="s">
        <v>100</v>
      </c>
      <c r="B18">
        <f>COUNTIF(H7:H11,"NO RECIBIDA")</f>
        <v>1</v>
      </c>
    </row>
    <row r="19" spans="1:2" x14ac:dyDescent="0.25">
      <c r="A19" t="s">
        <v>101</v>
      </c>
      <c r="B19">
        <f>COUNTIF(I7:I11,"ALTO")</f>
        <v>1</v>
      </c>
    </row>
  </sheetData>
  <mergeCells count="2">
    <mergeCell ref="A14:C1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H21" sqref="H21"/>
    </sheetView>
  </sheetViews>
  <sheetFormatPr baseColWidth="10" defaultColWidth="9.140625" defaultRowHeight="15" x14ac:dyDescent="0.25"/>
  <cols>
    <col min="1" max="1" width="6" customWidth="1"/>
    <col min="2" max="2" width="18" customWidth="1"/>
    <col min="3" max="3" width="15" customWidth="1"/>
    <col min="4" max="5" width="25" customWidth="1"/>
    <col min="6" max="6" width="15" customWidth="1"/>
    <col min="7" max="7" width="18" customWidth="1"/>
    <col min="8" max="8" width="20" customWidth="1"/>
    <col min="9" max="9" width="15" customWidth="1"/>
    <col min="10" max="10" width="12" customWidth="1"/>
  </cols>
  <sheetData>
    <row r="1" spans="1:10" ht="18" x14ac:dyDescent="0.25">
      <c r="A1" s="26" t="s">
        <v>102</v>
      </c>
      <c r="B1" s="21"/>
      <c r="C1" s="21"/>
      <c r="D1" s="21"/>
      <c r="E1" s="21"/>
      <c r="F1" s="21"/>
      <c r="G1" s="21"/>
    </row>
    <row r="2" spans="1:10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0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0" x14ac:dyDescent="0.25">
      <c r="A4" s="4" t="s">
        <v>69</v>
      </c>
      <c r="B4" t="s">
        <v>103</v>
      </c>
      <c r="E4" s="4"/>
    </row>
    <row r="6" spans="1:10" ht="30" x14ac:dyDescent="0.25">
      <c r="A6" s="5" t="s">
        <v>71</v>
      </c>
      <c r="B6" s="5" t="s">
        <v>104</v>
      </c>
      <c r="C6" s="5" t="s">
        <v>105</v>
      </c>
      <c r="D6" s="5" t="s">
        <v>72</v>
      </c>
      <c r="E6" s="5" t="s">
        <v>106</v>
      </c>
      <c r="F6" s="5" t="s">
        <v>107</v>
      </c>
      <c r="G6" s="5" t="s">
        <v>108</v>
      </c>
      <c r="H6" s="5" t="s">
        <v>109</v>
      </c>
      <c r="I6" s="5" t="s">
        <v>110</v>
      </c>
      <c r="J6" s="5" t="s">
        <v>111</v>
      </c>
    </row>
    <row r="7" spans="1:10" x14ac:dyDescent="0.25">
      <c r="A7" t="s">
        <v>81</v>
      </c>
      <c r="B7" t="s">
        <v>112</v>
      </c>
      <c r="C7" s="8" t="s">
        <v>113</v>
      </c>
      <c r="D7" t="s">
        <v>114</v>
      </c>
      <c r="E7" t="s">
        <v>115</v>
      </c>
      <c r="F7" s="6">
        <v>25000000</v>
      </c>
      <c r="G7" s="8" t="s">
        <v>116</v>
      </c>
      <c r="H7" t="s">
        <v>416</v>
      </c>
      <c r="I7" s="9">
        <f>G7-C7</f>
        <v>8</v>
      </c>
      <c r="J7" t="str">
        <f>IF(H7="NO",IF(I7&gt;5,"ALTO",IF(I7&gt;2,"MEDIO","BAJO")),"OK")</f>
        <v>OK</v>
      </c>
    </row>
    <row r="8" spans="1:10" x14ac:dyDescent="0.25">
      <c r="A8" t="s">
        <v>84</v>
      </c>
      <c r="B8" t="s">
        <v>118</v>
      </c>
      <c r="C8" s="8" t="s">
        <v>119</v>
      </c>
      <c r="D8" t="s">
        <v>120</v>
      </c>
      <c r="E8" t="s">
        <v>121</v>
      </c>
      <c r="F8" s="6">
        <v>15000000</v>
      </c>
      <c r="G8" s="8" t="s">
        <v>122</v>
      </c>
      <c r="H8" t="s">
        <v>117</v>
      </c>
      <c r="I8" s="9">
        <f>G8-C8</f>
        <v>4</v>
      </c>
      <c r="J8" t="str">
        <f>IF(H8="NO",IF(I8&gt;5,"ALTO",IF(I8&gt;2,"MEDIO","BAJO")),"OK")</f>
        <v>MEDIO</v>
      </c>
    </row>
    <row r="9" spans="1:10" x14ac:dyDescent="0.25">
      <c r="A9" t="s">
        <v>87</v>
      </c>
      <c r="B9" t="s">
        <v>123</v>
      </c>
      <c r="C9" s="8" t="s">
        <v>124</v>
      </c>
      <c r="D9" t="s">
        <v>125</v>
      </c>
      <c r="E9" t="s">
        <v>126</v>
      </c>
      <c r="F9" s="6">
        <v>8000000</v>
      </c>
      <c r="G9" s="8" t="s">
        <v>127</v>
      </c>
      <c r="H9" t="s">
        <v>117</v>
      </c>
      <c r="I9" s="9">
        <f>G9-C9</f>
        <v>2</v>
      </c>
      <c r="J9" t="str">
        <f>IF(H9="NO",IF(I9&gt;5,"ALTO",IF(I9&gt;2,"MEDIO","BAJO")),"OK")</f>
        <v>BAJO</v>
      </c>
    </row>
    <row r="12" spans="1:10" x14ac:dyDescent="0.25">
      <c r="A12" s="27" t="s">
        <v>128</v>
      </c>
      <c r="B12" s="21"/>
      <c r="C12" s="21"/>
      <c r="D12" s="21"/>
      <c r="E12" s="21"/>
      <c r="F12" s="21"/>
      <c r="G12" s="21"/>
      <c r="H12" s="21"/>
      <c r="I12" s="21"/>
      <c r="J12" s="21"/>
    </row>
    <row r="13" spans="1:10" x14ac:dyDescent="0.25">
      <c r="A13" s="22" t="str">
        <f>IF(COUNTIF(H7:H9,"NO")&gt;0,"Se identificaron " &amp; COUNTIF(H7:H9,"NO") &amp; " pasivos no registrados por valor de " &amp; TEXT(SUMIF(H7:H9,"NO",F7:F9),"$#,##0") &amp; ". REQUIERE AJUSTE.","No se detectaron pasivos sin registrar. SATISFACTORIO.")</f>
        <v>Se identificaron 2 pasivos no registrados por valor de $23,000,000. REQUIERE AJUSTE.</v>
      </c>
      <c r="B13" s="21"/>
      <c r="C13" s="21"/>
      <c r="D13" s="21"/>
      <c r="E13" s="21"/>
      <c r="F13" s="21"/>
      <c r="G13" s="21"/>
      <c r="H13" s="21"/>
      <c r="I13" s="21"/>
      <c r="J13" s="21"/>
    </row>
  </sheetData>
  <mergeCells count="3">
    <mergeCell ref="A12:J12"/>
    <mergeCell ref="A1:G1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baseColWidth="10" defaultColWidth="9.140625" defaultRowHeight="15" x14ac:dyDescent="0.25"/>
  <cols>
    <col min="1" max="1" width="6" customWidth="1"/>
    <col min="2" max="2" width="28" customWidth="1"/>
    <col min="3" max="3" width="15" customWidth="1"/>
    <col min="4" max="5" width="20" customWidth="1"/>
    <col min="6" max="6" width="15" customWidth="1"/>
    <col min="7" max="7" width="25" customWidth="1"/>
    <col min="8" max="8" width="18" customWidth="1"/>
    <col min="9" max="10" width="15" customWidth="1"/>
  </cols>
  <sheetData>
    <row r="1" spans="1:10" ht="18" x14ac:dyDescent="0.25">
      <c r="A1" s="26" t="s">
        <v>129</v>
      </c>
      <c r="B1" s="21"/>
      <c r="C1" s="21"/>
      <c r="D1" s="21"/>
      <c r="E1" s="21"/>
      <c r="F1" s="21"/>
      <c r="G1" s="21"/>
    </row>
    <row r="2" spans="1:10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0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0" x14ac:dyDescent="0.25">
      <c r="A4" s="4" t="s">
        <v>69</v>
      </c>
      <c r="B4" t="s">
        <v>130</v>
      </c>
      <c r="E4" s="4"/>
    </row>
    <row r="6" spans="1:10" ht="30" x14ac:dyDescent="0.25">
      <c r="A6" s="5" t="s">
        <v>71</v>
      </c>
      <c r="B6" s="5" t="s">
        <v>72</v>
      </c>
      <c r="C6" s="5" t="s">
        <v>73</v>
      </c>
      <c r="D6" s="5" t="s">
        <v>131</v>
      </c>
      <c r="E6" s="5" t="s">
        <v>132</v>
      </c>
      <c r="F6" s="5" t="s">
        <v>76</v>
      </c>
      <c r="G6" s="5" t="s">
        <v>133</v>
      </c>
      <c r="H6" s="5" t="s">
        <v>134</v>
      </c>
      <c r="I6" s="5" t="s">
        <v>77</v>
      </c>
      <c r="J6" s="5" t="s">
        <v>135</v>
      </c>
    </row>
    <row r="7" spans="1:10" x14ac:dyDescent="0.25">
      <c r="A7" t="s">
        <v>81</v>
      </c>
      <c r="B7" t="s">
        <v>136</v>
      </c>
      <c r="C7" t="s">
        <v>137</v>
      </c>
      <c r="D7" s="6">
        <v>50000000</v>
      </c>
      <c r="E7" s="6">
        <v>52000000</v>
      </c>
      <c r="F7" s="6">
        <f>E7-D7</f>
        <v>2000000</v>
      </c>
      <c r="G7" t="s">
        <v>138</v>
      </c>
      <c r="H7" t="str">
        <f>IF(ABS(F7)&gt;1000000,"SÍ","NO")</f>
        <v>SÍ</v>
      </c>
      <c r="I7" s="7">
        <f>IF(D7=0,0,ABS(F7/D7))</f>
        <v>0.04</v>
      </c>
      <c r="J7" t="str">
        <f>IF(I7&gt;0.05,"MATERIAL",IF(I7&gt;0.01,"MODERADA","INMATERIAL"))</f>
        <v>MODERADA</v>
      </c>
    </row>
    <row r="8" spans="1:10" x14ac:dyDescent="0.25">
      <c r="A8" t="s">
        <v>84</v>
      </c>
      <c r="B8" t="s">
        <v>139</v>
      </c>
      <c r="C8" t="s">
        <v>140</v>
      </c>
      <c r="D8" s="6">
        <v>30000000</v>
      </c>
      <c r="E8" s="6">
        <v>30000000</v>
      </c>
      <c r="F8" s="6">
        <f>E8-D8</f>
        <v>0</v>
      </c>
      <c r="G8" t="s">
        <v>141</v>
      </c>
      <c r="H8" t="str">
        <f>IF(ABS(F8)&gt;1000000,"SÍ","NO")</f>
        <v>NO</v>
      </c>
      <c r="I8" s="7">
        <f>IF(D8=0,0,ABS(F8/D8))</f>
        <v>0</v>
      </c>
      <c r="J8" t="str">
        <f>IF(I8&gt;0.05,"MATERIAL",IF(I8&gt;0.01,"MODERADA","INMATERIAL"))</f>
        <v>INMATERIAL</v>
      </c>
    </row>
    <row r="9" spans="1:10" x14ac:dyDescent="0.25">
      <c r="A9" t="s">
        <v>87</v>
      </c>
      <c r="B9" t="s">
        <v>142</v>
      </c>
      <c r="C9" t="s">
        <v>143</v>
      </c>
      <c r="D9" s="6">
        <v>75000000</v>
      </c>
      <c r="E9" s="6">
        <v>70000000</v>
      </c>
      <c r="F9" s="6">
        <f>E9-D9</f>
        <v>-5000000</v>
      </c>
      <c r="G9" t="s">
        <v>144</v>
      </c>
      <c r="H9" t="str">
        <f>IF(ABS(F9)&gt;1000000,"SÍ","NO")</f>
        <v>SÍ</v>
      </c>
      <c r="I9" s="7">
        <f>IF(D9=0,0,ABS(F9/D9))</f>
        <v>6.6666666666666666E-2</v>
      </c>
      <c r="J9" t="str">
        <f>IF(I9&gt;0.05,"MATERIAL",IF(I9&gt;0.01,"MODERADA","INMATERIAL"))</f>
        <v>MATERIAL</v>
      </c>
    </row>
    <row r="10" spans="1:10" x14ac:dyDescent="0.25">
      <c r="A10" t="s">
        <v>90</v>
      </c>
      <c r="B10" t="s">
        <v>145</v>
      </c>
      <c r="C10" t="s">
        <v>146</v>
      </c>
      <c r="D10" s="6">
        <v>40000000</v>
      </c>
      <c r="E10" s="6">
        <v>40500000</v>
      </c>
      <c r="F10" s="6">
        <f>E10-D10</f>
        <v>500000</v>
      </c>
      <c r="G10" t="s">
        <v>147</v>
      </c>
      <c r="H10" t="str">
        <f>IF(ABS(F10)&gt;1000000,"SÍ","NO")</f>
        <v>NO</v>
      </c>
      <c r="I10" s="7">
        <f>IF(D10=0,0,ABS(F10/D10))</f>
        <v>1.2500000000000001E-2</v>
      </c>
      <c r="J10" t="str">
        <f>IF(I10&gt;0.05,"MATERIAL",IF(I10&gt;0.01,"MODERADA","INMATERIAL"))</f>
        <v>MODERADA</v>
      </c>
    </row>
    <row r="13" spans="1:10" x14ac:dyDescent="0.25">
      <c r="A13" s="28" t="s">
        <v>148</v>
      </c>
      <c r="B13" s="21"/>
      <c r="C13" s="21"/>
    </row>
    <row r="14" spans="1:10" x14ac:dyDescent="0.25">
      <c r="A14" t="s">
        <v>149</v>
      </c>
      <c r="B14" s="6">
        <f>SUM(F7:F10)</f>
        <v>-2500000</v>
      </c>
    </row>
    <row r="15" spans="1:10" x14ac:dyDescent="0.25">
      <c r="A15" t="s">
        <v>150</v>
      </c>
      <c r="B15">
        <f>COUNTIF(H7:H10,"SÍ")</f>
        <v>2</v>
      </c>
    </row>
    <row r="16" spans="1:10" x14ac:dyDescent="0.25">
      <c r="A16" t="s">
        <v>151</v>
      </c>
      <c r="B16">
        <f>COUNTIF(J7:J10,"MATERIAL")</f>
        <v>1</v>
      </c>
    </row>
  </sheetData>
  <mergeCells count="2">
    <mergeCell ref="A13:C1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H33" sqref="H33"/>
    </sheetView>
  </sheetViews>
  <sheetFormatPr baseColWidth="10" defaultColWidth="9.140625" defaultRowHeight="15" x14ac:dyDescent="0.25"/>
  <cols>
    <col min="1" max="12" width="16" customWidth="1"/>
  </cols>
  <sheetData>
    <row r="1" spans="1:12" ht="18" x14ac:dyDescent="0.25">
      <c r="A1" s="26" t="s">
        <v>152</v>
      </c>
      <c r="B1" s="21"/>
      <c r="C1" s="21"/>
      <c r="D1" s="21"/>
      <c r="E1" s="21"/>
      <c r="F1" s="21"/>
      <c r="G1" s="21"/>
    </row>
    <row r="2" spans="1:12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2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2" x14ac:dyDescent="0.25">
      <c r="A4" s="4" t="s">
        <v>69</v>
      </c>
      <c r="B4" t="s">
        <v>153</v>
      </c>
      <c r="E4" s="4"/>
    </row>
    <row r="6" spans="1:12" ht="30" x14ac:dyDescent="0.25">
      <c r="A6" s="5" t="s">
        <v>71</v>
      </c>
      <c r="B6" s="5" t="s">
        <v>154</v>
      </c>
      <c r="C6" s="5" t="s">
        <v>105</v>
      </c>
      <c r="D6" s="5" t="s">
        <v>72</v>
      </c>
      <c r="E6" s="5" t="s">
        <v>155</v>
      </c>
      <c r="F6" s="5" t="s">
        <v>156</v>
      </c>
      <c r="G6" s="5" t="s">
        <v>157</v>
      </c>
      <c r="H6" s="5" t="s">
        <v>158</v>
      </c>
      <c r="I6" s="5" t="s">
        <v>159</v>
      </c>
      <c r="J6" s="5" t="s">
        <v>160</v>
      </c>
      <c r="K6" s="5" t="s">
        <v>161</v>
      </c>
      <c r="L6" s="5" t="s">
        <v>162</v>
      </c>
    </row>
    <row r="7" spans="1:12" x14ac:dyDescent="0.25">
      <c r="A7" t="s">
        <v>81</v>
      </c>
      <c r="B7" t="s">
        <v>163</v>
      </c>
      <c r="C7" s="8" t="s">
        <v>164</v>
      </c>
      <c r="D7" t="s">
        <v>114</v>
      </c>
      <c r="E7" s="6">
        <v>10000000</v>
      </c>
      <c r="F7" s="8" t="s">
        <v>165</v>
      </c>
      <c r="G7" s="6">
        <v>10000000</v>
      </c>
      <c r="H7" s="8" t="s">
        <v>166</v>
      </c>
      <c r="I7" s="6">
        <v>10000000</v>
      </c>
      <c r="J7" t="str">
        <f>IF(AND(I7&lt;&gt;"",I7=G7),"SÍ","NO")</f>
        <v>SÍ</v>
      </c>
      <c r="K7" s="6">
        <f>IF(J7="SÍ",I7,0)</f>
        <v>10000000</v>
      </c>
      <c r="L7" t="str">
        <f>IF(J7="SÍ","REQUIERE RECUPERACIÓN","OK")</f>
        <v>REQUIERE RECUPERACIÓN</v>
      </c>
    </row>
    <row r="8" spans="1:12" x14ac:dyDescent="0.25">
      <c r="A8" t="s">
        <v>84</v>
      </c>
      <c r="B8" t="s">
        <v>167</v>
      </c>
      <c r="C8" s="8" t="s">
        <v>168</v>
      </c>
      <c r="D8" t="s">
        <v>120</v>
      </c>
      <c r="E8" s="6">
        <v>15000000</v>
      </c>
      <c r="F8" s="8" t="s">
        <v>169</v>
      </c>
      <c r="G8" s="6">
        <v>15000000</v>
      </c>
      <c r="I8" s="6"/>
      <c r="J8" t="str">
        <f>IF(AND(I8&lt;&gt;"",I8=G8),"SÍ","NO")</f>
        <v>NO</v>
      </c>
      <c r="K8" s="6">
        <f>IF(J8="SÍ",I8,0)</f>
        <v>0</v>
      </c>
      <c r="L8" t="str">
        <f>IF(J8="SÍ","REQUIERE RECUPERACIÓN","OK")</f>
        <v>OK</v>
      </c>
    </row>
    <row r="9" spans="1:12" x14ac:dyDescent="0.25">
      <c r="A9" t="s">
        <v>87</v>
      </c>
      <c r="B9" t="s">
        <v>170</v>
      </c>
      <c r="C9" s="8" t="s">
        <v>165</v>
      </c>
      <c r="D9" t="s">
        <v>125</v>
      </c>
      <c r="E9" s="6">
        <v>8000000</v>
      </c>
      <c r="F9" s="8" t="s">
        <v>171</v>
      </c>
      <c r="G9" s="6">
        <v>8000000</v>
      </c>
      <c r="H9" s="8" t="s">
        <v>172</v>
      </c>
      <c r="I9" s="6">
        <v>8000000</v>
      </c>
      <c r="J9" t="str">
        <f>IF(AND(I9&lt;&gt;"",I9=G9),"SÍ","NO")</f>
        <v>SÍ</v>
      </c>
      <c r="K9" s="6">
        <f>IF(J9="SÍ",I9,0)</f>
        <v>8000000</v>
      </c>
      <c r="L9" t="str">
        <f>IF(J9="SÍ","REQUIERE RECUPERACIÓN","OK")</f>
        <v>REQUIERE RECUPERACIÓN</v>
      </c>
    </row>
    <row r="10" spans="1:12" x14ac:dyDescent="0.25">
      <c r="A10" t="s">
        <v>90</v>
      </c>
      <c r="B10" t="s">
        <v>173</v>
      </c>
      <c r="C10" s="8" t="s">
        <v>166</v>
      </c>
      <c r="D10" t="s">
        <v>174</v>
      </c>
      <c r="E10" s="6">
        <v>12000000</v>
      </c>
      <c r="F10" s="8" t="s">
        <v>175</v>
      </c>
      <c r="G10" s="6">
        <v>12000000</v>
      </c>
      <c r="I10" s="6"/>
      <c r="J10" t="str">
        <f>IF(AND(I10&lt;&gt;"",I10=G10),"SÍ","NO")</f>
        <v>NO</v>
      </c>
      <c r="K10" s="6">
        <f>IF(J10="SÍ",I10,0)</f>
        <v>0</v>
      </c>
      <c r="L10" t="str">
        <f>IF(J10="SÍ","REQUIERE RECUPERACIÓN","OK")</f>
        <v>OK</v>
      </c>
    </row>
    <row r="13" spans="1:12" x14ac:dyDescent="0.25">
      <c r="A13" s="4" t="s">
        <v>176</v>
      </c>
      <c r="B13" s="4">
        <f>COUNTIF(J7:J10,"SÍ")</f>
        <v>2</v>
      </c>
    </row>
    <row r="14" spans="1:12" x14ac:dyDescent="0.25">
      <c r="A14" s="4" t="s">
        <v>177</v>
      </c>
      <c r="B14" s="10">
        <f>SUM(K7:K10)</f>
        <v>18000000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G1"/>
    </sheetView>
  </sheetViews>
  <sheetFormatPr baseColWidth="10" defaultColWidth="9.140625" defaultRowHeight="15" x14ac:dyDescent="0.25"/>
  <cols>
    <col min="1" max="3" width="14" customWidth="1"/>
    <col min="4" max="14" width="18" customWidth="1"/>
  </cols>
  <sheetData>
    <row r="1" spans="1:14" ht="18" x14ac:dyDescent="0.25">
      <c r="A1" s="26" t="s">
        <v>178</v>
      </c>
      <c r="B1" s="21"/>
      <c r="C1" s="21"/>
      <c r="D1" s="21"/>
      <c r="E1" s="21"/>
      <c r="F1" s="21"/>
      <c r="G1" s="21"/>
    </row>
    <row r="2" spans="1:14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4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4" x14ac:dyDescent="0.25">
      <c r="A4" s="4" t="s">
        <v>69</v>
      </c>
      <c r="B4" t="s">
        <v>179</v>
      </c>
      <c r="E4" s="4"/>
    </row>
    <row r="6" spans="1:14" ht="45" x14ac:dyDescent="0.25">
      <c r="A6" s="5" t="s">
        <v>71</v>
      </c>
      <c r="B6" s="5" t="s">
        <v>72</v>
      </c>
      <c r="C6" s="5" t="s">
        <v>73</v>
      </c>
      <c r="D6" s="5" t="s">
        <v>180</v>
      </c>
      <c r="E6" s="5" t="s">
        <v>181</v>
      </c>
      <c r="F6" s="5" t="s">
        <v>182</v>
      </c>
      <c r="G6" s="5" t="s">
        <v>183</v>
      </c>
      <c r="H6" s="5" t="s">
        <v>184</v>
      </c>
      <c r="I6" s="5" t="s">
        <v>185</v>
      </c>
      <c r="J6" s="5" t="s">
        <v>186</v>
      </c>
      <c r="K6" s="5" t="s">
        <v>187</v>
      </c>
      <c r="L6" s="5" t="s">
        <v>188</v>
      </c>
      <c r="M6" s="5" t="s">
        <v>189</v>
      </c>
      <c r="N6" s="5" t="s">
        <v>190</v>
      </c>
    </row>
    <row r="7" spans="1:14" x14ac:dyDescent="0.25">
      <c r="A7" t="s">
        <v>81</v>
      </c>
      <c r="B7" t="s">
        <v>191</v>
      </c>
      <c r="C7" t="s">
        <v>192</v>
      </c>
      <c r="D7" t="s">
        <v>193</v>
      </c>
      <c r="E7" t="s">
        <v>194</v>
      </c>
      <c r="F7" t="s">
        <v>195</v>
      </c>
      <c r="G7" s="6">
        <v>50000000</v>
      </c>
      <c r="H7">
        <v>15</v>
      </c>
      <c r="I7" t="s">
        <v>196</v>
      </c>
      <c r="J7" t="s">
        <v>196</v>
      </c>
      <c r="K7" t="s">
        <v>197</v>
      </c>
      <c r="L7" t="s">
        <v>197</v>
      </c>
      <c r="M7">
        <f>(IF(I7="NO EXISTE",30,0))+(IF(J7="NO REGISTRADO",30,0))+(IF(K7="NO",15,0))+(IF(L7="NO",10,0))+(IF(E7="N/A",10,0))+(IF(D7="N/A",5,0))</f>
        <v>0</v>
      </c>
      <c r="N7" t="str">
        <f>IF(M7&gt;=50,"ALTO RIESGO - POSIBLE FICTICIO",IF(M7&gt;=30,"RIESGO MEDIO - VERIFICAR",IF(M7&gt;=15,"RIESGO BAJO - SEGUIMIENTO","RIESGO MÍNIMO")))</f>
        <v>RIESGO MÍNIMO</v>
      </c>
    </row>
    <row r="8" spans="1:14" x14ac:dyDescent="0.25">
      <c r="A8" t="s">
        <v>84</v>
      </c>
      <c r="B8" t="s">
        <v>198</v>
      </c>
      <c r="C8" t="s">
        <v>199</v>
      </c>
      <c r="D8" t="s">
        <v>200</v>
      </c>
      <c r="E8" t="s">
        <v>200</v>
      </c>
      <c r="F8" t="s">
        <v>201</v>
      </c>
      <c r="G8" s="6">
        <v>120000000</v>
      </c>
      <c r="H8">
        <v>45</v>
      </c>
      <c r="I8" t="s">
        <v>202</v>
      </c>
      <c r="J8" t="s">
        <v>203</v>
      </c>
      <c r="K8" t="s">
        <v>117</v>
      </c>
      <c r="L8" t="s">
        <v>117</v>
      </c>
      <c r="M8">
        <f>(IF(I8="NO EXISTE",30,0))+(IF(J8="NO REGISTRADO",30,0))+(IF(K8="NO",15,0))+(IF(L8="NO",10,0))+(IF(E8="N/A",10,0))+(IF(D8="N/A",5,0))</f>
        <v>100</v>
      </c>
      <c r="N8" t="str">
        <f>IF(M8&gt;=50,"ALTO RIESGO - POSIBLE FICTICIO",IF(M8&gt;=30,"RIESGO MEDIO - VERIFICAR",IF(M8&gt;=15,"RIESGO BAJO - SEGUIMIENTO","RIESGO MÍNIMO")))</f>
        <v>ALTO RIESGO - POSIBLE FICTICIO</v>
      </c>
    </row>
    <row r="9" spans="1:14" x14ac:dyDescent="0.25">
      <c r="A9" t="s">
        <v>87</v>
      </c>
      <c r="B9" t="s">
        <v>204</v>
      </c>
      <c r="C9" t="s">
        <v>205</v>
      </c>
      <c r="D9" t="s">
        <v>206</v>
      </c>
      <c r="E9" t="s">
        <v>207</v>
      </c>
      <c r="F9" t="s">
        <v>208</v>
      </c>
      <c r="G9" s="6">
        <v>30000000</v>
      </c>
      <c r="H9">
        <v>8</v>
      </c>
      <c r="I9" t="s">
        <v>196</v>
      </c>
      <c r="J9" t="s">
        <v>196</v>
      </c>
      <c r="K9" t="s">
        <v>197</v>
      </c>
      <c r="L9" t="s">
        <v>197</v>
      </c>
      <c r="M9">
        <f>(IF(I9="NO EXISTE",30,0))+(IF(J9="NO REGISTRADO",30,0))+(IF(K9="NO",15,0))+(IF(L9="NO",10,0))+(IF(E9="N/A",10,0))+(IF(D9="N/A",5,0))</f>
        <v>0</v>
      </c>
      <c r="N9" t="str">
        <f>IF(M9&gt;=50,"ALTO RIESGO - POSIBLE FICTICIO",IF(M9&gt;=30,"RIESGO MEDIO - VERIFICAR",IF(M9&gt;=15,"RIESGO BAJO - SEGUIMIENTO","RIESGO MÍNIMO")))</f>
        <v>RIESGO MÍNIMO</v>
      </c>
    </row>
    <row r="12" spans="1:14" x14ac:dyDescent="0.25">
      <c r="A12" s="29" t="s">
        <v>209</v>
      </c>
      <c r="B12" s="21"/>
      <c r="C12" s="21"/>
      <c r="D12" s="21"/>
    </row>
    <row r="13" spans="1:14" x14ac:dyDescent="0.25">
      <c r="A13" t="s">
        <v>210</v>
      </c>
      <c r="B13">
        <f>COUNTIF(N7:N9,"ALTO RIESGO*")</f>
        <v>1</v>
      </c>
    </row>
    <row r="14" spans="1:14" x14ac:dyDescent="0.25">
      <c r="A14" t="s">
        <v>211</v>
      </c>
      <c r="B14">
        <f>COUNTIF(N7:N9,"RIESGO MEDIO*")</f>
        <v>0</v>
      </c>
    </row>
    <row r="15" spans="1:14" x14ac:dyDescent="0.25">
      <c r="A15" t="s">
        <v>212</v>
      </c>
      <c r="B15" s="11">
        <f>SUMIF(N7:N9,"ALTO RIESGO*",G7:G9)</f>
        <v>120000000</v>
      </c>
    </row>
  </sheetData>
  <mergeCells count="2">
    <mergeCell ref="A12:D1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sqref="A1:G1"/>
    </sheetView>
  </sheetViews>
  <sheetFormatPr baseColWidth="10" defaultColWidth="9.140625" defaultRowHeight="15" x14ac:dyDescent="0.25"/>
  <cols>
    <col min="1" max="1" width="12" customWidth="1"/>
    <col min="2" max="11" width="20" customWidth="1"/>
  </cols>
  <sheetData>
    <row r="1" spans="1:11" ht="18" x14ac:dyDescent="0.25">
      <c r="A1" s="26" t="s">
        <v>213</v>
      </c>
      <c r="B1" s="21"/>
      <c r="C1" s="21"/>
      <c r="D1" s="21"/>
      <c r="E1" s="21"/>
      <c r="F1" s="21"/>
      <c r="G1" s="21"/>
    </row>
    <row r="2" spans="1:11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1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1" x14ac:dyDescent="0.25">
      <c r="A4" s="4" t="s">
        <v>69</v>
      </c>
      <c r="B4" t="s">
        <v>214</v>
      </c>
      <c r="E4" s="4"/>
    </row>
    <row r="6" spans="1:11" ht="45" x14ac:dyDescent="0.25">
      <c r="A6" s="5" t="s">
        <v>71</v>
      </c>
      <c r="B6" s="5" t="s">
        <v>154</v>
      </c>
      <c r="C6" s="5" t="s">
        <v>105</v>
      </c>
      <c r="D6" s="5" t="s">
        <v>215</v>
      </c>
      <c r="E6" s="5" t="s">
        <v>216</v>
      </c>
      <c r="F6" s="5" t="s">
        <v>72</v>
      </c>
      <c r="G6" s="5" t="s">
        <v>107</v>
      </c>
      <c r="H6" s="5" t="s">
        <v>217</v>
      </c>
      <c r="I6" s="5" t="s">
        <v>218</v>
      </c>
      <c r="J6" s="5" t="s">
        <v>219</v>
      </c>
      <c r="K6" s="5" t="s">
        <v>134</v>
      </c>
    </row>
    <row r="7" spans="1:11" x14ac:dyDescent="0.25">
      <c r="A7" t="s">
        <v>81</v>
      </c>
      <c r="B7" t="s">
        <v>220</v>
      </c>
      <c r="C7" s="8" t="s">
        <v>113</v>
      </c>
      <c r="D7" s="8" t="s">
        <v>124</v>
      </c>
      <c r="E7" s="8" t="s">
        <v>116</v>
      </c>
      <c r="F7" t="s">
        <v>114</v>
      </c>
      <c r="G7" s="6">
        <v>35000000</v>
      </c>
      <c r="H7" t="str">
        <f>IF(D7&lt;=DATE(2024,12,31),"2024","2025")</f>
        <v>2025</v>
      </c>
      <c r="I7" s="9">
        <f>E7-D7</f>
        <v>7</v>
      </c>
      <c r="J7" t="str">
        <f>IF(AND(D7&lt;=DATE(2024,12,31),E7&gt;DATE(2024,12,31)),"ALTO - Mercancía 2024 registrada 2025",IF(AND(D7&gt;DATE(2024,12,31),E7&lt;=DATE(2024,12,31)),"ALTO - Mercancía 2025 registrada 2024","OK"))</f>
        <v>OK</v>
      </c>
      <c r="K7" t="str">
        <f>IF(LEFT(J7,4)="ALTO","SÍ","NO")</f>
        <v>NO</v>
      </c>
    </row>
    <row r="8" spans="1:11" x14ac:dyDescent="0.25">
      <c r="A8" t="s">
        <v>84</v>
      </c>
      <c r="B8" t="s">
        <v>221</v>
      </c>
      <c r="C8" s="8" t="s">
        <v>119</v>
      </c>
      <c r="D8" s="8" t="s">
        <v>119</v>
      </c>
      <c r="E8" s="8" t="s">
        <v>127</v>
      </c>
      <c r="F8" t="s">
        <v>120</v>
      </c>
      <c r="G8" s="6">
        <v>18000000</v>
      </c>
      <c r="H8" t="str">
        <f>IF(D8&lt;=DATE(2024,12,31),"2024","2025")</f>
        <v>2025</v>
      </c>
      <c r="I8" s="9">
        <f>E8-D8</f>
        <v>1</v>
      </c>
      <c r="J8" t="str">
        <f>IF(AND(D8&lt;=DATE(2024,12,31),E8&gt;DATE(2024,12,31)),"ALTO - Mercancía 2024 registrada 2025",IF(AND(D8&gt;DATE(2024,12,31),E8&lt;=DATE(2024,12,31)),"ALTO - Mercancía 2025 registrada 2024","OK"))</f>
        <v>OK</v>
      </c>
      <c r="K8" t="str">
        <f>IF(LEFT(J8,4)="ALTO","SÍ","NO")</f>
        <v>NO</v>
      </c>
    </row>
    <row r="9" spans="1:11" x14ac:dyDescent="0.25">
      <c r="A9" t="s">
        <v>87</v>
      </c>
      <c r="B9" t="s">
        <v>222</v>
      </c>
      <c r="C9" s="8" t="s">
        <v>127</v>
      </c>
      <c r="D9" s="8" t="s">
        <v>223</v>
      </c>
      <c r="E9" s="8" t="s">
        <v>224</v>
      </c>
      <c r="F9" t="s">
        <v>125</v>
      </c>
      <c r="G9" s="6">
        <v>42000000</v>
      </c>
      <c r="H9" t="str">
        <f>IF(D9&lt;=DATE(2024,12,31),"2024","2025")</f>
        <v>2025</v>
      </c>
      <c r="I9" s="9">
        <f>E9-D9</f>
        <v>6</v>
      </c>
      <c r="J9" t="str">
        <f>IF(AND(D9&lt;=DATE(2024,12,31),E9&gt;DATE(2024,12,31)),"ALTO - Mercancía 2024 registrada 2025",IF(AND(D9&gt;DATE(2024,12,31),E9&lt;=DATE(2024,12,31)),"ALTO - Mercancía 2025 registrada 2024","OK"))</f>
        <v>OK</v>
      </c>
      <c r="K9" t="str">
        <f>IF(LEFT(J9,4)="ALTO","SÍ","NO")</f>
        <v>NO</v>
      </c>
    </row>
    <row r="10" spans="1:11" x14ac:dyDescent="0.25">
      <c r="A10" t="s">
        <v>90</v>
      </c>
      <c r="B10" t="s">
        <v>225</v>
      </c>
      <c r="C10" s="8" t="s">
        <v>223</v>
      </c>
      <c r="D10" s="8" t="s">
        <v>122</v>
      </c>
      <c r="E10" s="8" t="s">
        <v>226</v>
      </c>
      <c r="F10" t="s">
        <v>174</v>
      </c>
      <c r="G10" s="6">
        <v>28000000</v>
      </c>
      <c r="H10" t="str">
        <f>IF(D10&lt;=DATE(2024,12,31),"2024","2025")</f>
        <v>2025</v>
      </c>
      <c r="I10" s="9">
        <f>E10-D10</f>
        <v>7</v>
      </c>
      <c r="J10" t="str">
        <f>IF(AND(D10&lt;=DATE(2024,12,31),E10&gt;DATE(2024,12,31)),"ALTO - Mercancía 2024 registrada 2025",IF(AND(D10&gt;DATE(2024,12,31),E10&lt;=DATE(2024,12,31)),"ALTO - Mercancía 2025 registrada 2024","OK"))</f>
        <v>OK</v>
      </c>
      <c r="K10" t="str">
        <f>IF(LEFT(J10,4)="ALTO","SÍ","NO")</f>
        <v>NO</v>
      </c>
    </row>
    <row r="11" spans="1:11" x14ac:dyDescent="0.25">
      <c r="A11" t="s">
        <v>93</v>
      </c>
      <c r="B11" t="s">
        <v>227</v>
      </c>
      <c r="C11" s="8" t="s">
        <v>124</v>
      </c>
      <c r="D11" s="8" t="s">
        <v>124</v>
      </c>
      <c r="E11" s="8" t="s">
        <v>119</v>
      </c>
      <c r="F11" t="s">
        <v>228</v>
      </c>
      <c r="G11" s="6">
        <v>15000000</v>
      </c>
      <c r="H11" t="str">
        <f>IF(D11&lt;=DATE(2024,12,31),"2024","2025")</f>
        <v>2025</v>
      </c>
      <c r="I11" s="9">
        <f>E11-D11</f>
        <v>1</v>
      </c>
      <c r="J11" t="str">
        <f>IF(AND(D11&lt;=DATE(2024,12,31),E11&gt;DATE(2024,12,31)),"ALTO - Mercancía 2024 registrada 2025",IF(AND(D11&gt;DATE(2024,12,31),E11&lt;=DATE(2024,12,31)),"ALTO - Mercancía 2025 registrada 2024","OK"))</f>
        <v>OK</v>
      </c>
      <c r="K11" t="str">
        <f>IF(LEFT(J11,4)="ALTO","SÍ","NO")</f>
        <v>NO</v>
      </c>
    </row>
    <row r="14" spans="1:11" x14ac:dyDescent="0.25">
      <c r="A14" s="27" t="s">
        <v>229</v>
      </c>
      <c r="B14" s="21"/>
      <c r="C14" s="21"/>
    </row>
    <row r="15" spans="1:11" x14ac:dyDescent="0.25">
      <c r="A15" t="s">
        <v>230</v>
      </c>
      <c r="B15">
        <f>COUNTIF(K7:K11,"SÍ")</f>
        <v>0</v>
      </c>
    </row>
    <row r="16" spans="1:11" x14ac:dyDescent="0.25">
      <c r="A16" t="s">
        <v>231</v>
      </c>
      <c r="B16" s="11">
        <f>SUMIF(K7:K11,"SÍ",G7:G11)</f>
        <v>0</v>
      </c>
    </row>
  </sheetData>
  <mergeCells count="2">
    <mergeCell ref="A14:C1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G1"/>
    </sheetView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26" t="s">
        <v>232</v>
      </c>
      <c r="B1" s="21"/>
      <c r="C1" s="21"/>
      <c r="D1" s="21"/>
      <c r="E1" s="21"/>
      <c r="F1" s="21"/>
      <c r="G1" s="21"/>
    </row>
    <row r="2" spans="1:10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0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0" x14ac:dyDescent="0.25">
      <c r="A4" s="4" t="s">
        <v>69</v>
      </c>
      <c r="B4" t="s">
        <v>233</v>
      </c>
      <c r="E4" s="4"/>
    </row>
    <row r="6" spans="1:10" ht="30" x14ac:dyDescent="0.25">
      <c r="A6" s="5" t="s">
        <v>71</v>
      </c>
      <c r="B6" s="5" t="s">
        <v>234</v>
      </c>
      <c r="C6" s="5" t="s">
        <v>235</v>
      </c>
      <c r="D6" s="5" t="s">
        <v>72</v>
      </c>
      <c r="E6" s="5" t="s">
        <v>236</v>
      </c>
      <c r="F6" s="5" t="s">
        <v>106</v>
      </c>
      <c r="G6" s="5" t="s">
        <v>107</v>
      </c>
      <c r="H6" s="5" t="s">
        <v>237</v>
      </c>
      <c r="I6" s="5" t="s">
        <v>134</v>
      </c>
      <c r="J6" s="5" t="s">
        <v>238</v>
      </c>
    </row>
    <row r="7" spans="1:10" x14ac:dyDescent="0.25">
      <c r="A7" t="s">
        <v>81</v>
      </c>
      <c r="B7" t="s">
        <v>239</v>
      </c>
      <c r="C7" s="8" t="s">
        <v>116</v>
      </c>
      <c r="D7" t="s">
        <v>240</v>
      </c>
      <c r="E7" t="s">
        <v>241</v>
      </c>
      <c r="F7" t="s">
        <v>242</v>
      </c>
      <c r="G7" s="6">
        <v>5000000</v>
      </c>
      <c r="H7" t="s">
        <v>197</v>
      </c>
      <c r="I7" t="str">
        <f>IF(H7="SÍ","AJUSTAR SALDOS 2024","NO APLICA")</f>
        <v>AJUSTAR SALDOS 2024</v>
      </c>
      <c r="J7" s="6">
        <f>IF(H7="SÍ",G7,0)</f>
        <v>5000000</v>
      </c>
    </row>
    <row r="8" spans="1:10" x14ac:dyDescent="0.25">
      <c r="A8" t="s">
        <v>84</v>
      </c>
      <c r="B8" t="s">
        <v>243</v>
      </c>
      <c r="C8" s="8" t="s">
        <v>226</v>
      </c>
      <c r="D8" t="s">
        <v>244</v>
      </c>
      <c r="E8" t="s">
        <v>245</v>
      </c>
      <c r="F8" t="s">
        <v>246</v>
      </c>
      <c r="G8" s="6">
        <v>3000000</v>
      </c>
      <c r="H8" t="s">
        <v>117</v>
      </c>
      <c r="I8" t="str">
        <f>IF(H8="SÍ","AJUSTAR SALDOS 2024","NO APLICA")</f>
        <v>NO APLICA</v>
      </c>
      <c r="J8" s="6">
        <f>IF(H8="SÍ",G8,0)</f>
        <v>0</v>
      </c>
    </row>
    <row r="9" spans="1:10" x14ac:dyDescent="0.25">
      <c r="A9" t="s">
        <v>87</v>
      </c>
      <c r="B9" t="s">
        <v>247</v>
      </c>
      <c r="C9" s="8" t="s">
        <v>224</v>
      </c>
      <c r="D9" t="s">
        <v>248</v>
      </c>
      <c r="E9" t="s">
        <v>249</v>
      </c>
      <c r="F9" t="s">
        <v>250</v>
      </c>
      <c r="G9" s="6">
        <v>8500000</v>
      </c>
      <c r="H9" t="s">
        <v>197</v>
      </c>
      <c r="I9" t="str">
        <f>IF(H9="SÍ","AJUSTAR SALDOS 2024","NO APLICA")</f>
        <v>AJUSTAR SALDOS 2024</v>
      </c>
      <c r="J9" s="6">
        <f>IF(H9="SÍ",G9,0)</f>
        <v>8500000</v>
      </c>
    </row>
    <row r="12" spans="1:10" x14ac:dyDescent="0.25">
      <c r="A12" s="30" t="s">
        <v>251</v>
      </c>
      <c r="B12" s="21"/>
      <c r="C12" s="21"/>
      <c r="D12" s="21"/>
      <c r="E12" s="21"/>
      <c r="F12" s="21"/>
      <c r="G12" s="12">
        <f>SUM(J7:J9)</f>
        <v>13500000</v>
      </c>
    </row>
  </sheetData>
  <mergeCells count="2">
    <mergeCell ref="A1:G1"/>
    <mergeCell ref="A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sqref="A1:G1"/>
    </sheetView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6" t="s">
        <v>252</v>
      </c>
      <c r="B1" s="21"/>
      <c r="C1" s="21"/>
      <c r="D1" s="21"/>
      <c r="E1" s="21"/>
      <c r="F1" s="21"/>
      <c r="G1" s="21"/>
    </row>
    <row r="2" spans="1:11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1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1" x14ac:dyDescent="0.25">
      <c r="A4" s="4" t="s">
        <v>69</v>
      </c>
      <c r="B4" t="s">
        <v>253</v>
      </c>
      <c r="E4" s="4"/>
    </row>
    <row r="6" spans="1:11" ht="45" x14ac:dyDescent="0.25">
      <c r="A6" s="5" t="s">
        <v>71</v>
      </c>
      <c r="B6" s="5" t="s">
        <v>254</v>
      </c>
      <c r="C6" s="5" t="s">
        <v>255</v>
      </c>
      <c r="D6" s="5" t="s">
        <v>256</v>
      </c>
      <c r="E6" s="5" t="s">
        <v>257</v>
      </c>
      <c r="F6" s="5" t="s">
        <v>258</v>
      </c>
      <c r="G6" s="5" t="s">
        <v>259</v>
      </c>
      <c r="H6" s="5" t="s">
        <v>76</v>
      </c>
      <c r="I6" s="5" t="s">
        <v>77</v>
      </c>
      <c r="J6" s="5" t="s">
        <v>260</v>
      </c>
      <c r="K6" s="5" t="s">
        <v>80</v>
      </c>
    </row>
    <row r="7" spans="1:11" x14ac:dyDescent="0.25">
      <c r="A7" t="s">
        <v>81</v>
      </c>
      <c r="B7" t="s">
        <v>261</v>
      </c>
      <c r="C7" t="s">
        <v>262</v>
      </c>
      <c r="D7" t="s">
        <v>263</v>
      </c>
      <c r="E7" t="s">
        <v>264</v>
      </c>
      <c r="F7" s="6">
        <v>45000000</v>
      </c>
      <c r="G7" s="6">
        <v>60000000</v>
      </c>
      <c r="H7" s="6">
        <f>G7-F7</f>
        <v>15000000</v>
      </c>
      <c r="I7" s="7">
        <f>IF(F7=0,0,H7/F7)</f>
        <v>0.33333333333333331</v>
      </c>
      <c r="J7" t="str">
        <f>IF(E7="PROBABLE",IF(ABS(I7)&lt;=0.1,"ADECUADA","REVISAR"),IF(E7="POSIBLE","EVALUAR REVELACIÓN","NO REQUIERE PROVISIÓN"))</f>
        <v>REVISAR</v>
      </c>
    </row>
    <row r="8" spans="1:11" x14ac:dyDescent="0.25">
      <c r="A8" t="s">
        <v>84</v>
      </c>
      <c r="B8" t="s">
        <v>265</v>
      </c>
      <c r="C8" t="s">
        <v>266</v>
      </c>
      <c r="D8" t="s">
        <v>200</v>
      </c>
      <c r="E8" t="s">
        <v>264</v>
      </c>
      <c r="F8" s="6">
        <v>25000000</v>
      </c>
      <c r="G8" s="6">
        <v>25000000</v>
      </c>
      <c r="H8" s="6">
        <f>G8-F8</f>
        <v>0</v>
      </c>
      <c r="I8" s="7">
        <f>IF(F8=0,0,H8/F8)</f>
        <v>0</v>
      </c>
      <c r="J8" t="str">
        <f>IF(E8="PROBABLE",IF(ABS(I8)&lt;=0.1,"ADECUADA","REVISAR"),IF(E8="POSIBLE","EVALUAR REVELACIÓN","NO REQUIERE PROVISIÓN"))</f>
        <v>ADECUADA</v>
      </c>
    </row>
    <row r="9" spans="1:11" x14ac:dyDescent="0.25">
      <c r="A9" t="s">
        <v>87</v>
      </c>
      <c r="B9" t="s">
        <v>267</v>
      </c>
      <c r="C9" t="s">
        <v>268</v>
      </c>
      <c r="D9" t="s">
        <v>269</v>
      </c>
      <c r="E9" t="s">
        <v>270</v>
      </c>
      <c r="F9" s="6">
        <v>80000000</v>
      </c>
      <c r="G9" s="6">
        <v>120000000</v>
      </c>
      <c r="H9" s="6">
        <f>G9-F9</f>
        <v>40000000</v>
      </c>
      <c r="I9" s="7">
        <f>IF(F9=0,0,H9/F9)</f>
        <v>0.5</v>
      </c>
      <c r="J9" t="str">
        <f>IF(E9="PROBABLE",IF(ABS(I9)&lt;=0.1,"ADECUADA","REVISAR"),IF(E9="POSIBLE","EVALUAR REVELACIÓN","NO REQUIERE PROVISIÓN"))</f>
        <v>EVALUAR REVELACIÓN</v>
      </c>
    </row>
    <row r="10" spans="1:11" x14ac:dyDescent="0.25">
      <c r="A10" t="s">
        <v>90</v>
      </c>
      <c r="B10" t="s">
        <v>271</v>
      </c>
      <c r="C10" t="s">
        <v>272</v>
      </c>
      <c r="D10" t="s">
        <v>273</v>
      </c>
      <c r="E10" t="s">
        <v>274</v>
      </c>
      <c r="F10" s="6">
        <v>15000000</v>
      </c>
      <c r="G10" s="6">
        <v>10000000</v>
      </c>
      <c r="H10" s="6">
        <f>G10-F10</f>
        <v>-5000000</v>
      </c>
      <c r="I10" s="7">
        <f>IF(F10=0,0,H10/F10)</f>
        <v>-0.33333333333333331</v>
      </c>
      <c r="J10" t="str">
        <f>IF(E10="PROBABLE",IF(ABS(I10)&lt;=0.1,"ADECUADA","REVISAR"),IF(E10="POSIBLE","EVALUAR REVELACIÓN","NO REQUIERE PROVISIÓN"))</f>
        <v>NO REQUIERE PROVISIÓN</v>
      </c>
    </row>
    <row r="13" spans="1:11" x14ac:dyDescent="0.25">
      <c r="A13" s="27" t="s">
        <v>275</v>
      </c>
      <c r="B13" s="21"/>
      <c r="C13" s="21"/>
      <c r="D13" s="21"/>
    </row>
    <row r="14" spans="1:11" x14ac:dyDescent="0.25">
      <c r="A14" t="s">
        <v>276</v>
      </c>
      <c r="B14" s="11">
        <f>SUMIF(E7:E10,"PROBABLE",F7:F10)</f>
        <v>70000000</v>
      </c>
    </row>
    <row r="15" spans="1:11" x14ac:dyDescent="0.25">
      <c r="A15" t="s">
        <v>277</v>
      </c>
      <c r="B15" s="11">
        <f>SUMIF(E7:E10,"PROBABLE",G7:G10)</f>
        <v>85000000</v>
      </c>
    </row>
    <row r="16" spans="1:11" x14ac:dyDescent="0.25">
      <c r="A16" t="s">
        <v>278</v>
      </c>
      <c r="B16" s="10">
        <f>B15-B14</f>
        <v>15000000</v>
      </c>
    </row>
    <row r="17" spans="1:2" x14ac:dyDescent="0.25">
      <c r="A17" t="s">
        <v>279</v>
      </c>
      <c r="B17">
        <f>COUNTIF(J7:J10,"REVISAR")</f>
        <v>1</v>
      </c>
    </row>
  </sheetData>
  <mergeCells count="2">
    <mergeCell ref="A13:D13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G1"/>
    </sheetView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26" t="s">
        <v>280</v>
      </c>
      <c r="B1" s="21"/>
      <c r="C1" s="21"/>
      <c r="D1" s="21"/>
      <c r="E1" s="21"/>
      <c r="F1" s="21"/>
      <c r="G1" s="21"/>
    </row>
    <row r="2" spans="1:10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0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0" x14ac:dyDescent="0.25">
      <c r="A4" s="4" t="s">
        <v>69</v>
      </c>
      <c r="B4" t="s">
        <v>281</v>
      </c>
      <c r="E4" s="4"/>
    </row>
    <row r="6" spans="1:10" ht="30" x14ac:dyDescent="0.25">
      <c r="A6" s="5" t="s">
        <v>71</v>
      </c>
      <c r="B6" s="5" t="s">
        <v>282</v>
      </c>
      <c r="C6" s="5" t="s">
        <v>255</v>
      </c>
      <c r="D6" s="5" t="s">
        <v>283</v>
      </c>
      <c r="E6" s="5" t="s">
        <v>284</v>
      </c>
      <c r="F6" s="5" t="s">
        <v>285</v>
      </c>
      <c r="G6" s="5" t="s">
        <v>286</v>
      </c>
      <c r="H6" s="5" t="s">
        <v>287</v>
      </c>
      <c r="I6" s="5" t="s">
        <v>288</v>
      </c>
      <c r="J6" s="5" t="s">
        <v>289</v>
      </c>
    </row>
    <row r="7" spans="1:10" x14ac:dyDescent="0.25">
      <c r="A7" t="s">
        <v>81</v>
      </c>
      <c r="B7" t="s">
        <v>290</v>
      </c>
      <c r="C7" t="s">
        <v>291</v>
      </c>
      <c r="D7" t="s">
        <v>292</v>
      </c>
      <c r="E7" s="6">
        <v>150000000</v>
      </c>
      <c r="F7" t="s">
        <v>270</v>
      </c>
      <c r="G7" t="s">
        <v>117</v>
      </c>
      <c r="H7" t="str">
        <f>IF(OR(F7="PROBABLE",F7="POSIBLE"),IF(G7="NO","SÍ - FALTA REVELACIÓN","OK - YA REVELADO"),"NO REQUIERE")</f>
        <v>SÍ - FALTA REVELACIÓN</v>
      </c>
      <c r="I7" t="str">
        <f>IF(F7="PROBABLE","ALTO",IF(F7="POSIBLE","MEDIO","BAJO"))</f>
        <v>MEDIO</v>
      </c>
      <c r="J7" t="s">
        <v>293</v>
      </c>
    </row>
    <row r="8" spans="1:10" x14ac:dyDescent="0.25">
      <c r="A8" t="s">
        <v>84</v>
      </c>
      <c r="B8" t="s">
        <v>294</v>
      </c>
      <c r="C8" t="s">
        <v>295</v>
      </c>
      <c r="D8" t="s">
        <v>296</v>
      </c>
      <c r="E8" s="6">
        <v>80000000</v>
      </c>
      <c r="F8" t="s">
        <v>270</v>
      </c>
      <c r="G8" t="s">
        <v>197</v>
      </c>
      <c r="H8" t="str">
        <f>IF(OR(F8="PROBABLE",F8="POSIBLE"),IF(G8="NO","SÍ - FALTA REVELACIÓN","OK - YA REVELADO"),"NO REQUIERE")</f>
        <v>OK - YA REVELADO</v>
      </c>
      <c r="I8" t="str">
        <f>IF(F8="PROBABLE","ALTO",IF(F8="POSIBLE","MEDIO","BAJO"))</f>
        <v>MEDIO</v>
      </c>
      <c r="J8" t="s">
        <v>297</v>
      </c>
    </row>
    <row r="9" spans="1:10" x14ac:dyDescent="0.25">
      <c r="A9" t="s">
        <v>87</v>
      </c>
      <c r="B9" t="s">
        <v>298</v>
      </c>
      <c r="C9" t="s">
        <v>299</v>
      </c>
      <c r="D9" t="s">
        <v>300</v>
      </c>
      <c r="E9" s="6">
        <v>35000000</v>
      </c>
      <c r="F9" t="s">
        <v>274</v>
      </c>
      <c r="G9" t="s">
        <v>117</v>
      </c>
      <c r="H9" t="str">
        <f>IF(OR(F9="PROBABLE",F9="POSIBLE"),IF(G9="NO","SÍ - FALTA REVELACIÓN","OK - YA REVELADO"),"NO REQUIERE")</f>
        <v>NO REQUIERE</v>
      </c>
      <c r="I9" t="str">
        <f>IF(F9="PROBABLE","ALTO",IF(F9="POSIBLE","MEDIO","BAJO"))</f>
        <v>BAJO</v>
      </c>
      <c r="J9" t="s">
        <v>293</v>
      </c>
    </row>
    <row r="10" spans="1:10" x14ac:dyDescent="0.25">
      <c r="A10" t="s">
        <v>90</v>
      </c>
      <c r="B10" t="s">
        <v>301</v>
      </c>
      <c r="C10" t="s">
        <v>302</v>
      </c>
      <c r="D10" t="s">
        <v>303</v>
      </c>
      <c r="E10" s="6">
        <v>220000000</v>
      </c>
      <c r="F10" t="s">
        <v>264</v>
      </c>
      <c r="G10" t="s">
        <v>197</v>
      </c>
      <c r="H10" t="str">
        <f>IF(OR(F10="PROBABLE",F10="POSIBLE"),IF(G10="NO","SÍ - FALTA REVELACIÓN","OK - YA REVELADO"),"NO REQUIERE")</f>
        <v>OK - YA REVELADO</v>
      </c>
      <c r="I10" t="str">
        <f>IF(F10="PROBABLE","ALTO",IF(F10="POSIBLE","MEDIO","BAJO"))</f>
        <v>ALTO</v>
      </c>
      <c r="J10" t="s">
        <v>297</v>
      </c>
    </row>
    <row r="13" spans="1:10" x14ac:dyDescent="0.25">
      <c r="A13" s="31" t="s">
        <v>304</v>
      </c>
      <c r="B13" s="21"/>
      <c r="C13" s="21"/>
      <c r="D13" s="21"/>
    </row>
    <row r="14" spans="1:10" x14ac:dyDescent="0.25">
      <c r="A14" t="s">
        <v>305</v>
      </c>
      <c r="B14" s="13">
        <f>COUNTIF(H7:H10,"SÍ - FALTA REVELACIÓN")</f>
        <v>1</v>
      </c>
    </row>
    <row r="15" spans="1:10" x14ac:dyDescent="0.25">
      <c r="A15" t="s">
        <v>306</v>
      </c>
      <c r="B15" s="14">
        <f>SUMIF(H7:H10,"SÍ - FALTA REVELACIÓN",E7:E10)</f>
        <v>150000000</v>
      </c>
    </row>
  </sheetData>
  <mergeCells count="2">
    <mergeCell ref="A13:D13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6" t="s">
        <v>307</v>
      </c>
      <c r="B1" s="21"/>
      <c r="C1" s="21"/>
      <c r="D1" s="21"/>
      <c r="E1" s="21"/>
      <c r="F1" s="21"/>
      <c r="G1" s="21"/>
    </row>
    <row r="2" spans="1:11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1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1" x14ac:dyDescent="0.25">
      <c r="A4" s="4" t="s">
        <v>69</v>
      </c>
      <c r="B4" t="s">
        <v>308</v>
      </c>
      <c r="E4" s="4"/>
    </row>
    <row r="6" spans="1:11" ht="30" x14ac:dyDescent="0.25">
      <c r="A6" s="5" t="s">
        <v>71</v>
      </c>
      <c r="B6" s="5" t="s">
        <v>72</v>
      </c>
      <c r="C6" s="5" t="s">
        <v>73</v>
      </c>
      <c r="D6" s="5" t="s">
        <v>309</v>
      </c>
      <c r="E6" s="5" t="s">
        <v>310</v>
      </c>
      <c r="F6" s="5" t="s">
        <v>311</v>
      </c>
      <c r="G6" s="5" t="s">
        <v>312</v>
      </c>
      <c r="H6" s="5" t="s">
        <v>313</v>
      </c>
      <c r="I6" s="5" t="s">
        <v>314</v>
      </c>
      <c r="J6" s="5" t="s">
        <v>315</v>
      </c>
      <c r="K6" s="5" t="s">
        <v>111</v>
      </c>
    </row>
    <row r="7" spans="1:11" x14ac:dyDescent="0.25">
      <c r="A7" t="s">
        <v>81</v>
      </c>
      <c r="B7" t="s">
        <v>316</v>
      </c>
      <c r="C7" t="s">
        <v>317</v>
      </c>
      <c r="D7" s="8" t="s">
        <v>164</v>
      </c>
      <c r="E7" t="s">
        <v>318</v>
      </c>
      <c r="F7" t="s">
        <v>319</v>
      </c>
      <c r="G7" t="s">
        <v>197</v>
      </c>
      <c r="H7" t="s">
        <v>197</v>
      </c>
      <c r="I7" t="s">
        <v>197</v>
      </c>
      <c r="J7" t="str">
        <f>IF(AND(G7="SÍ",H7="SÍ",I7="SÍ",F7&lt;&gt;"N/A"),"SÍ","NO")</f>
        <v>SÍ</v>
      </c>
      <c r="K7" t="str">
        <f>IF(J7="NO","ALTO - NO CUMPLE PROCESO",IF(F7="N/A","ALTO - SIN APROBACIÓN","BAJO"))</f>
        <v>BAJO</v>
      </c>
    </row>
    <row r="8" spans="1:11" x14ac:dyDescent="0.25">
      <c r="A8" t="s">
        <v>84</v>
      </c>
      <c r="B8" t="s">
        <v>320</v>
      </c>
      <c r="C8" t="s">
        <v>321</v>
      </c>
      <c r="D8" s="8" t="s">
        <v>165</v>
      </c>
      <c r="E8" t="s">
        <v>322</v>
      </c>
      <c r="F8" t="s">
        <v>200</v>
      </c>
      <c r="G8" t="s">
        <v>117</v>
      </c>
      <c r="H8" t="s">
        <v>117</v>
      </c>
      <c r="I8" t="s">
        <v>117</v>
      </c>
      <c r="J8" t="str">
        <f>IF(AND(G8="SÍ",H8="SÍ",I8="SÍ",F8&lt;&gt;"N/A"),"SÍ","NO")</f>
        <v>NO</v>
      </c>
      <c r="K8" t="str">
        <f>IF(J8="NO","ALTO - NO CUMPLE PROCESO",IF(F8="N/A","ALTO - SIN APROBACIÓN","BAJO"))</f>
        <v>ALTO - NO CUMPLE PROCESO</v>
      </c>
    </row>
    <row r="9" spans="1:11" x14ac:dyDescent="0.25">
      <c r="A9" t="s">
        <v>87</v>
      </c>
      <c r="B9" t="s">
        <v>323</v>
      </c>
      <c r="C9" t="s">
        <v>324</v>
      </c>
      <c r="D9" s="8" t="s">
        <v>325</v>
      </c>
      <c r="E9" t="s">
        <v>318</v>
      </c>
      <c r="F9" t="s">
        <v>326</v>
      </c>
      <c r="G9" t="s">
        <v>197</v>
      </c>
      <c r="H9" t="s">
        <v>197</v>
      </c>
      <c r="I9" t="s">
        <v>197</v>
      </c>
      <c r="J9" t="str">
        <f>IF(AND(G9="SÍ",H9="SÍ",I9="SÍ",F9&lt;&gt;"N/A"),"SÍ","NO")</f>
        <v>SÍ</v>
      </c>
      <c r="K9" t="str">
        <f>IF(J9="NO","ALTO - NO CUMPLE PROCESO",IF(F9="N/A","ALTO - SIN APROBACIÓN","BAJO"))</f>
        <v>BAJO</v>
      </c>
    </row>
    <row r="10" spans="1:11" x14ac:dyDescent="0.25">
      <c r="A10" t="s">
        <v>90</v>
      </c>
      <c r="B10" t="s">
        <v>327</v>
      </c>
      <c r="C10" t="s">
        <v>328</v>
      </c>
      <c r="D10" s="8" t="s">
        <v>329</v>
      </c>
      <c r="E10" t="s">
        <v>330</v>
      </c>
      <c r="F10" t="s">
        <v>331</v>
      </c>
      <c r="G10" t="s">
        <v>197</v>
      </c>
      <c r="H10" t="s">
        <v>117</v>
      </c>
      <c r="I10" t="s">
        <v>197</v>
      </c>
      <c r="J10" t="str">
        <f>IF(AND(G10="SÍ",H10="SÍ",I10="SÍ",F10&lt;&gt;"N/A"),"SÍ","NO")</f>
        <v>NO</v>
      </c>
      <c r="K10" t="str">
        <f>IF(J10="NO","ALTO - NO CUMPLE PROCESO",IF(F10="N/A","ALTO - SIN APROBACIÓN","BAJO"))</f>
        <v>ALTO - NO CUMPLE PROCESO</v>
      </c>
    </row>
    <row r="13" spans="1:11" x14ac:dyDescent="0.25">
      <c r="A13" s="27" t="s">
        <v>332</v>
      </c>
      <c r="B13" s="21"/>
      <c r="C13" s="21"/>
      <c r="D13" s="21"/>
    </row>
    <row r="14" spans="1:11" x14ac:dyDescent="0.25">
      <c r="A14" t="s">
        <v>333</v>
      </c>
      <c r="B14">
        <f>COUNTA(A7:A10)</f>
        <v>4</v>
      </c>
    </row>
    <row r="15" spans="1:11" x14ac:dyDescent="0.25">
      <c r="A15" t="s">
        <v>334</v>
      </c>
      <c r="B15" s="15">
        <f>COUNTIF(J7:J10,"NO")</f>
        <v>2</v>
      </c>
    </row>
    <row r="16" spans="1:11" x14ac:dyDescent="0.25">
      <c r="A16" t="s">
        <v>210</v>
      </c>
      <c r="B16" s="15">
        <f>COUNTIF(K7:K10,"ALTO*")</f>
        <v>2</v>
      </c>
    </row>
  </sheetData>
  <mergeCells count="2">
    <mergeCell ref="A13:D13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baseColWidth="10" defaultColWidth="9.140625" defaultRowHeight="15" x14ac:dyDescent="0.25"/>
  <cols>
    <col min="1" max="7" width="20" customWidth="1"/>
  </cols>
  <sheetData>
    <row r="1" spans="1:7" ht="18" x14ac:dyDescent="0.25">
      <c r="A1" s="26" t="s">
        <v>335</v>
      </c>
      <c r="B1" s="21"/>
      <c r="C1" s="21"/>
      <c r="D1" s="21"/>
      <c r="E1" s="21"/>
      <c r="F1" s="21"/>
      <c r="G1" s="21"/>
    </row>
    <row r="2" spans="1:7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7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7" x14ac:dyDescent="0.25">
      <c r="A4" s="4" t="s">
        <v>69</v>
      </c>
      <c r="B4" t="s">
        <v>336</v>
      </c>
      <c r="E4" s="4"/>
    </row>
    <row r="6" spans="1:7" ht="45" x14ac:dyDescent="0.25">
      <c r="A6" s="5" t="s">
        <v>337</v>
      </c>
      <c r="B6" s="5" t="s">
        <v>338</v>
      </c>
      <c r="C6" s="5" t="s">
        <v>339</v>
      </c>
      <c r="D6" s="5" t="s">
        <v>76</v>
      </c>
      <c r="E6" s="5" t="s">
        <v>77</v>
      </c>
      <c r="F6" s="5" t="s">
        <v>340</v>
      </c>
      <c r="G6" s="5" t="s">
        <v>162</v>
      </c>
    </row>
    <row r="7" spans="1:7" x14ac:dyDescent="0.25">
      <c r="A7">
        <v>1</v>
      </c>
      <c r="B7" s="16">
        <v>28.5</v>
      </c>
      <c r="C7" s="16">
        <v>30.1</v>
      </c>
      <c r="D7" s="16">
        <f t="shared" ref="D7:D15" si="0">B7-C7</f>
        <v>-1.6000000000000014</v>
      </c>
      <c r="E7" s="17">
        <f t="shared" ref="E7:E15" si="1">D7/C7</f>
        <v>-5.3156146179402036E-2</v>
      </c>
      <c r="F7" s="16">
        <f t="shared" ref="F7:F15" si="2">ABS(D7)</f>
        <v>1.6000000000000014</v>
      </c>
      <c r="G7" t="str">
        <f t="shared" ref="G7:G15" si="3">IF(F7&gt;3,"ANÓMALO",IF(F7&gt;2,"REVISAR","NORMAL"))</f>
        <v>NORMAL</v>
      </c>
    </row>
    <row r="8" spans="1:7" x14ac:dyDescent="0.25">
      <c r="A8">
        <v>2</v>
      </c>
      <c r="B8" s="16">
        <v>18.2</v>
      </c>
      <c r="C8" s="16">
        <v>17.600000000000001</v>
      </c>
      <c r="D8" s="16">
        <f t="shared" si="0"/>
        <v>0.59999999999999787</v>
      </c>
      <c r="E8" s="17">
        <f t="shared" si="1"/>
        <v>3.409090909090897E-2</v>
      </c>
      <c r="F8" s="16">
        <f t="shared" si="2"/>
        <v>0.59999999999999787</v>
      </c>
      <c r="G8" t="str">
        <f t="shared" si="3"/>
        <v>NORMAL</v>
      </c>
    </row>
    <row r="9" spans="1:7" x14ac:dyDescent="0.25">
      <c r="A9">
        <v>3</v>
      </c>
      <c r="B9" s="16">
        <v>13.1</v>
      </c>
      <c r="C9" s="16">
        <v>12.5</v>
      </c>
      <c r="D9" s="16">
        <f t="shared" si="0"/>
        <v>0.59999999999999964</v>
      </c>
      <c r="E9" s="17">
        <f t="shared" si="1"/>
        <v>4.7999999999999973E-2</v>
      </c>
      <c r="F9" s="16">
        <f t="shared" si="2"/>
        <v>0.59999999999999964</v>
      </c>
      <c r="G9" t="str">
        <f t="shared" si="3"/>
        <v>NORMAL</v>
      </c>
    </row>
    <row r="10" spans="1:7" x14ac:dyDescent="0.25">
      <c r="A10">
        <v>4</v>
      </c>
      <c r="B10" s="16">
        <v>9.5</v>
      </c>
      <c r="C10" s="16">
        <v>9.6999999999999993</v>
      </c>
      <c r="D10" s="16">
        <f t="shared" si="0"/>
        <v>-0.19999999999999929</v>
      </c>
      <c r="E10" s="17">
        <f t="shared" si="1"/>
        <v>-2.0618556701030855E-2</v>
      </c>
      <c r="F10" s="16">
        <f t="shared" si="2"/>
        <v>0.19999999999999929</v>
      </c>
      <c r="G10" t="str">
        <f t="shared" si="3"/>
        <v>NORMAL</v>
      </c>
    </row>
    <row r="11" spans="1:7" x14ac:dyDescent="0.25">
      <c r="A11">
        <v>5</v>
      </c>
      <c r="B11" s="16">
        <v>8.1999999999999993</v>
      </c>
      <c r="C11" s="16">
        <v>7.9</v>
      </c>
      <c r="D11" s="16">
        <f t="shared" si="0"/>
        <v>0.29999999999999893</v>
      </c>
      <c r="E11" s="17">
        <f t="shared" si="1"/>
        <v>3.797468354430366E-2</v>
      </c>
      <c r="F11" s="16">
        <f t="shared" si="2"/>
        <v>0.29999999999999893</v>
      </c>
      <c r="G11" t="str">
        <f t="shared" si="3"/>
        <v>NORMAL</v>
      </c>
    </row>
    <row r="12" spans="1:7" x14ac:dyDescent="0.25">
      <c r="A12">
        <v>6</v>
      </c>
      <c r="B12" s="16">
        <v>6.5</v>
      </c>
      <c r="C12" s="16">
        <v>6.7</v>
      </c>
      <c r="D12" s="16">
        <f t="shared" si="0"/>
        <v>-0.20000000000000018</v>
      </c>
      <c r="E12" s="17">
        <f t="shared" si="1"/>
        <v>-2.9850746268656744E-2</v>
      </c>
      <c r="F12" s="16">
        <f t="shared" si="2"/>
        <v>0.20000000000000018</v>
      </c>
      <c r="G12" t="str">
        <f t="shared" si="3"/>
        <v>NORMAL</v>
      </c>
    </row>
    <row r="13" spans="1:7" x14ac:dyDescent="0.25">
      <c r="A13">
        <v>7</v>
      </c>
      <c r="B13" s="16">
        <v>5.9</v>
      </c>
      <c r="C13" s="16">
        <v>5.8</v>
      </c>
      <c r="D13" s="16">
        <f t="shared" si="0"/>
        <v>0.10000000000000053</v>
      </c>
      <c r="E13" s="17">
        <f t="shared" si="1"/>
        <v>1.7241379310344921E-2</v>
      </c>
      <c r="F13" s="16">
        <f t="shared" si="2"/>
        <v>0.10000000000000053</v>
      </c>
      <c r="G13" t="str">
        <f t="shared" si="3"/>
        <v>NORMAL</v>
      </c>
    </row>
    <row r="14" spans="1:7" x14ac:dyDescent="0.25">
      <c r="A14">
        <v>8</v>
      </c>
      <c r="B14" s="16">
        <v>5.3</v>
      </c>
      <c r="C14" s="16">
        <v>5.0999999999999996</v>
      </c>
      <c r="D14" s="16">
        <f t="shared" si="0"/>
        <v>0.20000000000000018</v>
      </c>
      <c r="E14" s="17">
        <f t="shared" si="1"/>
        <v>3.9215686274509838E-2</v>
      </c>
      <c r="F14" s="16">
        <f t="shared" si="2"/>
        <v>0.20000000000000018</v>
      </c>
      <c r="G14" t="str">
        <f t="shared" si="3"/>
        <v>NORMAL</v>
      </c>
    </row>
    <row r="15" spans="1:7" x14ac:dyDescent="0.25">
      <c r="A15">
        <v>9</v>
      </c>
      <c r="B15" s="16">
        <v>4.8</v>
      </c>
      <c r="C15" s="16">
        <v>4.5999999999999996</v>
      </c>
      <c r="D15" s="16">
        <f t="shared" si="0"/>
        <v>0.20000000000000018</v>
      </c>
      <c r="E15" s="17">
        <f t="shared" si="1"/>
        <v>4.3478260869565258E-2</v>
      </c>
      <c r="F15" s="16">
        <f t="shared" si="2"/>
        <v>0.20000000000000018</v>
      </c>
      <c r="G15" t="str">
        <f t="shared" si="3"/>
        <v>NORMAL</v>
      </c>
    </row>
    <row r="18" spans="1:7" x14ac:dyDescent="0.25">
      <c r="A18" s="27" t="s">
        <v>341</v>
      </c>
      <c r="B18" s="21"/>
      <c r="C18" s="21"/>
    </row>
    <row r="19" spans="1:7" x14ac:dyDescent="0.25">
      <c r="A19" t="s">
        <v>342</v>
      </c>
      <c r="B19">
        <f>COUNTIF(G7:G15,"ANÓMALO")</f>
        <v>0</v>
      </c>
    </row>
    <row r="20" spans="1:7" x14ac:dyDescent="0.25">
      <c r="A20" t="s">
        <v>343</v>
      </c>
      <c r="B20">
        <f>COUNTIF(G7:G15,"REVISAR")</f>
        <v>0</v>
      </c>
    </row>
    <row r="21" spans="1:7" x14ac:dyDescent="0.25">
      <c r="A21" t="s">
        <v>344</v>
      </c>
      <c r="B21" s="18">
        <f>AVERAGE(F7:F15)</f>
        <v>0.44444444444444425</v>
      </c>
    </row>
    <row r="23" spans="1:7" x14ac:dyDescent="0.25">
      <c r="A23" s="30" t="s">
        <v>345</v>
      </c>
      <c r="B23" s="21"/>
      <c r="C23" s="21"/>
      <c r="D23" s="21"/>
      <c r="E23" s="21"/>
      <c r="F23" s="21"/>
      <c r="G23" s="21"/>
    </row>
    <row r="24" spans="1:7" x14ac:dyDescent="0.25">
      <c r="A24" s="32" t="str">
        <f>IF(B19&gt;2,"ALERTA: Múltiples dígitos con desviaciones significativas. Posible manipulación de cifras. INVESTIGAR FACTURAS.",IF(B21&gt;1.5,"PRECAUCIÓN: Desviaciones moderadas detectadas. Revisar transacciones con primeros dígitos anómalos.","SATISFACTORIO: Distribución de dígitos conforme a Ley de Benford."))</f>
        <v>SATISFACTORIO: Distribución de dígitos conforme a Ley de Benford.</v>
      </c>
      <c r="B24" s="21"/>
      <c r="C24" s="21"/>
      <c r="D24" s="21"/>
      <c r="E24" s="21"/>
      <c r="F24" s="21"/>
      <c r="G24" s="21"/>
    </row>
  </sheetData>
  <mergeCells count="4">
    <mergeCell ref="A18:C18"/>
    <mergeCell ref="A24:G24"/>
    <mergeCell ref="A1:G1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ColWidth="9.140625" defaultRowHeight="15" x14ac:dyDescent="0.25"/>
  <cols>
    <col min="1" max="12" width="18" customWidth="1"/>
  </cols>
  <sheetData>
    <row r="1" spans="1:12" ht="18" x14ac:dyDescent="0.25">
      <c r="A1" s="26" t="s">
        <v>346</v>
      </c>
      <c r="B1" s="21"/>
      <c r="C1" s="21"/>
      <c r="D1" s="21"/>
      <c r="E1" s="21"/>
      <c r="F1" s="21"/>
      <c r="G1" s="21"/>
    </row>
    <row r="2" spans="1:12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2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2" x14ac:dyDescent="0.25">
      <c r="A4" s="4" t="s">
        <v>69</v>
      </c>
      <c r="B4" t="s">
        <v>347</v>
      </c>
      <c r="E4" s="4"/>
    </row>
    <row r="6" spans="1:12" ht="45" x14ac:dyDescent="0.25">
      <c r="A6" s="5" t="s">
        <v>71</v>
      </c>
      <c r="B6" s="5" t="s">
        <v>72</v>
      </c>
      <c r="C6" s="5" t="s">
        <v>348</v>
      </c>
      <c r="D6" s="5" t="s">
        <v>349</v>
      </c>
      <c r="E6" s="5" t="s">
        <v>350</v>
      </c>
      <c r="F6" s="5" t="s">
        <v>351</v>
      </c>
      <c r="G6" s="5" t="s">
        <v>352</v>
      </c>
      <c r="H6" s="5" t="s">
        <v>353</v>
      </c>
      <c r="I6" s="5" t="s">
        <v>354</v>
      </c>
      <c r="J6" s="5" t="s">
        <v>355</v>
      </c>
      <c r="K6" s="5" t="s">
        <v>356</v>
      </c>
      <c r="L6" s="5" t="s">
        <v>111</v>
      </c>
    </row>
    <row r="7" spans="1:12" x14ac:dyDescent="0.25">
      <c r="A7" t="s">
        <v>81</v>
      </c>
      <c r="B7" t="s">
        <v>357</v>
      </c>
      <c r="C7" t="s">
        <v>192</v>
      </c>
      <c r="D7" t="s">
        <v>358</v>
      </c>
      <c r="E7" t="s">
        <v>359</v>
      </c>
      <c r="F7" t="s">
        <v>360</v>
      </c>
      <c r="G7" t="s">
        <v>361</v>
      </c>
      <c r="H7" t="s">
        <v>358</v>
      </c>
      <c r="I7" t="s">
        <v>359</v>
      </c>
      <c r="J7" t="str">
        <f>IF(AND(D7=H7,E7=I7),"DIRECCIÓN Y CUENTA",IF(D7=H7,"DIRECCIÓN",IF(E7=I7,"CUENTA BANCARIA","OTRA")))</f>
        <v>DIRECCIÓN Y CUENTA</v>
      </c>
      <c r="K7" s="6">
        <v>85000000</v>
      </c>
      <c r="L7" t="str">
        <f>IF(J7="DIRECCIÓN Y CUENTA","MUY ALTO - POSIBLE CONFLICTO",IF(OR(J7="DIRECCIÓN",J7="CUENTA BANCARIA"),"ALTO - VERIFICAR RELACIÓN","MEDIO"))</f>
        <v>MUY ALTO - POSIBLE CONFLICTO</v>
      </c>
    </row>
    <row r="8" spans="1:12" x14ac:dyDescent="0.25">
      <c r="A8" t="s">
        <v>84</v>
      </c>
      <c r="B8" t="s">
        <v>362</v>
      </c>
      <c r="C8" t="s">
        <v>199</v>
      </c>
      <c r="D8" t="s">
        <v>363</v>
      </c>
      <c r="E8" t="s">
        <v>364</v>
      </c>
      <c r="F8" t="s">
        <v>365</v>
      </c>
      <c r="G8" t="s">
        <v>366</v>
      </c>
      <c r="H8" t="s">
        <v>367</v>
      </c>
      <c r="I8" t="s">
        <v>364</v>
      </c>
      <c r="J8" t="str">
        <f>IF(AND(D8=H8,E8=I8),"DIRECCIÓN Y CUENTA",IF(D8=H8,"DIRECCIÓN",IF(E8=I8,"CUENTA BANCARIA","OTRA")))</f>
        <v>CUENTA BANCARIA</v>
      </c>
      <c r="K8" s="6">
        <v>120000000</v>
      </c>
      <c r="L8" t="str">
        <f>IF(J8="DIRECCIÓN Y CUENTA","MUY ALTO - POSIBLE CONFLICTO",IF(OR(J8="DIRECCIÓN",J8="CUENTA BANCARIA"),"ALTO - VERIFICAR RELACIÓN","MEDIO"))</f>
        <v>ALTO - VERIFICAR RELACIÓN</v>
      </c>
    </row>
    <row r="9" spans="1:12" x14ac:dyDescent="0.25">
      <c r="A9" t="s">
        <v>87</v>
      </c>
      <c r="B9" t="s">
        <v>368</v>
      </c>
      <c r="C9" t="s">
        <v>205</v>
      </c>
      <c r="D9" t="s">
        <v>369</v>
      </c>
      <c r="E9" t="s">
        <v>370</v>
      </c>
      <c r="F9" t="s">
        <v>371</v>
      </c>
      <c r="G9" t="s">
        <v>372</v>
      </c>
      <c r="H9" t="s">
        <v>369</v>
      </c>
      <c r="I9" t="s">
        <v>370</v>
      </c>
      <c r="J9" t="str">
        <f>IF(AND(D9=H9,E9=I9),"DIRECCIÓN Y CUENTA",IF(D9=H9,"DIRECCIÓN",IF(E9=I9,"CUENTA BANCARIA","OTRA")))</f>
        <v>DIRECCIÓN Y CUENTA</v>
      </c>
      <c r="K9" s="6">
        <v>65000000</v>
      </c>
      <c r="L9" t="str">
        <f>IF(J9="DIRECCIÓN Y CUENTA","MUY ALTO - POSIBLE CONFLICTO",IF(OR(J9="DIRECCIÓN",J9="CUENTA BANCARIA"),"ALTO - VERIFICAR RELACIÓN","MEDIO"))</f>
        <v>MUY ALTO - POSIBLE CONFLICTO</v>
      </c>
    </row>
    <row r="12" spans="1:12" x14ac:dyDescent="0.25">
      <c r="A12" s="31" t="s">
        <v>373</v>
      </c>
      <c r="B12" s="21"/>
      <c r="C12" s="21"/>
      <c r="D12" s="21"/>
    </row>
    <row r="13" spans="1:12" x14ac:dyDescent="0.25">
      <c r="A13" t="s">
        <v>374</v>
      </c>
      <c r="B13" s="4">
        <f>COUNTA(A7:A9)</f>
        <v>3</v>
      </c>
    </row>
    <row r="14" spans="1:12" x14ac:dyDescent="0.25">
      <c r="A14" t="s">
        <v>375</v>
      </c>
      <c r="B14" s="13">
        <f>COUNTIF(L7:L9,"MUY ALTO*")</f>
        <v>2</v>
      </c>
    </row>
    <row r="15" spans="1:12" x14ac:dyDescent="0.25">
      <c r="A15" t="s">
        <v>376</v>
      </c>
      <c r="B15" s="14">
        <f>SUMIF(L7:L9,"*ALTO*",K7:K9)</f>
        <v>270000000</v>
      </c>
    </row>
    <row r="17" spans="1:12" x14ac:dyDescent="0.25">
      <c r="A17" s="30" t="s">
        <v>377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x14ac:dyDescent="0.25">
      <c r="A18" s="22" t="s">
        <v>378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</sheetData>
  <mergeCells count="4">
    <mergeCell ref="A12:D12"/>
    <mergeCell ref="A1:G1"/>
    <mergeCell ref="A18:L18"/>
    <mergeCell ref="A17:L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baseColWidth="10" defaultColWidth="9.140625" defaultRowHeight="15" x14ac:dyDescent="0.25"/>
  <cols>
    <col min="1" max="13" width="16" customWidth="1"/>
  </cols>
  <sheetData>
    <row r="1" spans="1:13" ht="18" x14ac:dyDescent="0.25">
      <c r="A1" s="26" t="s">
        <v>379</v>
      </c>
      <c r="B1" s="21"/>
      <c r="C1" s="21"/>
      <c r="D1" s="21"/>
      <c r="E1" s="21"/>
      <c r="F1" s="21"/>
      <c r="G1" s="21"/>
    </row>
    <row r="2" spans="1:13" x14ac:dyDescent="0.25">
      <c r="A2" s="4" t="s">
        <v>61</v>
      </c>
      <c r="B2" t="s">
        <v>62</v>
      </c>
      <c r="E2" s="4" t="s">
        <v>63</v>
      </c>
      <c r="F2" t="s">
        <v>64</v>
      </c>
    </row>
    <row r="3" spans="1:13" x14ac:dyDescent="0.25">
      <c r="A3" s="4" t="s">
        <v>65</v>
      </c>
      <c r="B3" t="s">
        <v>66</v>
      </c>
      <c r="E3" s="4" t="s">
        <v>67</v>
      </c>
      <c r="F3" t="s">
        <v>68</v>
      </c>
    </row>
    <row r="4" spans="1:13" x14ac:dyDescent="0.25">
      <c r="A4" s="4" t="s">
        <v>69</v>
      </c>
      <c r="B4" t="s">
        <v>380</v>
      </c>
      <c r="E4" s="4"/>
    </row>
    <row r="6" spans="1:13" ht="60" x14ac:dyDescent="0.25">
      <c r="A6" s="5" t="s">
        <v>71</v>
      </c>
      <c r="B6" s="5" t="s">
        <v>72</v>
      </c>
      <c r="C6" s="5" t="s">
        <v>73</v>
      </c>
      <c r="D6" s="5" t="s">
        <v>381</v>
      </c>
      <c r="E6" s="5" t="s">
        <v>382</v>
      </c>
      <c r="F6" s="5" t="s">
        <v>106</v>
      </c>
      <c r="G6" s="5" t="s">
        <v>383</v>
      </c>
      <c r="H6" s="5" t="s">
        <v>384</v>
      </c>
      <c r="I6" s="5" t="s">
        <v>385</v>
      </c>
      <c r="J6" s="5" t="s">
        <v>386</v>
      </c>
      <c r="K6" s="5" t="s">
        <v>311</v>
      </c>
      <c r="L6" s="5" t="s">
        <v>111</v>
      </c>
      <c r="M6" s="5" t="s">
        <v>80</v>
      </c>
    </row>
    <row r="7" spans="1:13" x14ac:dyDescent="0.25">
      <c r="A7" t="s">
        <v>81</v>
      </c>
      <c r="B7" t="s">
        <v>387</v>
      </c>
      <c r="C7" t="s">
        <v>192</v>
      </c>
      <c r="D7" s="8" t="s">
        <v>164</v>
      </c>
      <c r="E7" t="s">
        <v>388</v>
      </c>
      <c r="F7" t="s">
        <v>389</v>
      </c>
      <c r="G7" s="6">
        <v>45000000</v>
      </c>
      <c r="H7">
        <v>1</v>
      </c>
      <c r="I7" s="8" t="s">
        <v>390</v>
      </c>
      <c r="J7">
        <f>IF(I7="N/A","NUEVO",DATEDIF(I7,D7,"M"))</f>
        <v>32</v>
      </c>
      <c r="K7" t="s">
        <v>331</v>
      </c>
      <c r="L7" t="str">
        <f>IF(H7=0,"ALTO - PROVEEDOR NUEVO",IF(J7="NUEVO","ALTO - PROVEEDOR NUEVO",IF(J7&gt;24,"ALTO - INACTIVO &gt;2 AÑOS",IF(AND(J7&gt;12,G7&gt;50000000),"ALTO - INACTIVO &gt;1 AÑO + MONTO ALTO",IF(J7&gt;12,"MEDIO - INACTIVO &gt;1 AÑO","BAJO")))))</f>
        <v>ALTO - INACTIVO &gt;2 AÑOS</v>
      </c>
    </row>
    <row r="8" spans="1:13" x14ac:dyDescent="0.25">
      <c r="A8" t="s">
        <v>84</v>
      </c>
      <c r="B8" t="s">
        <v>391</v>
      </c>
      <c r="C8" t="s">
        <v>199</v>
      </c>
      <c r="D8" s="8" t="s">
        <v>392</v>
      </c>
      <c r="E8" t="s">
        <v>393</v>
      </c>
      <c r="F8" t="s">
        <v>394</v>
      </c>
      <c r="G8" s="6">
        <v>28000000</v>
      </c>
      <c r="H8">
        <v>0</v>
      </c>
      <c r="I8" s="8" t="s">
        <v>200</v>
      </c>
      <c r="J8" t="str">
        <f>IF(I8="N/A","NUEVO",DATEDIF(I8,D8,"M"))</f>
        <v>NUEVO</v>
      </c>
      <c r="K8" t="s">
        <v>326</v>
      </c>
      <c r="L8" t="str">
        <f>IF(H8=0,"ALTO - PROVEEDOR NUEVO",IF(J8="NUEVO","ALTO - PROVEEDOR NUEVO",IF(J8&gt;24,"ALTO - INACTIVO &gt;2 AÑOS",IF(AND(J8&gt;12,G8&gt;50000000),"ALTO - INACTIVO &gt;1 AÑO + MONTO ALTO",IF(J8&gt;12,"MEDIO - INACTIVO &gt;1 AÑO","BAJO")))))</f>
        <v>ALTO - PROVEEDOR NUEVO</v>
      </c>
    </row>
    <row r="9" spans="1:13" x14ac:dyDescent="0.25">
      <c r="A9" t="s">
        <v>87</v>
      </c>
      <c r="B9" t="s">
        <v>395</v>
      </c>
      <c r="C9" t="s">
        <v>205</v>
      </c>
      <c r="D9" s="8" t="s">
        <v>396</v>
      </c>
      <c r="E9" t="s">
        <v>397</v>
      </c>
      <c r="F9" t="s">
        <v>398</v>
      </c>
      <c r="G9" s="6">
        <v>35000000</v>
      </c>
      <c r="H9">
        <v>3</v>
      </c>
      <c r="I9" s="8" t="s">
        <v>399</v>
      </c>
      <c r="J9">
        <f>IF(I9="N/A","NUEVO",DATEDIF(I9,D9,"M"))</f>
        <v>17</v>
      </c>
      <c r="K9" t="s">
        <v>331</v>
      </c>
      <c r="L9" t="str">
        <f>IF(H9=0,"ALTO - PROVEEDOR NUEVO",IF(J9="NUEVO","ALTO - PROVEEDOR NUEVO",IF(J9&gt;24,"ALTO - INACTIVO &gt;2 AÑOS",IF(AND(J9&gt;12,G9&gt;50000000),"ALTO - INACTIVO &gt;1 AÑO + MONTO ALTO",IF(J9&gt;12,"MEDIO - INACTIVO &gt;1 AÑO","BAJO")))))</f>
        <v>MEDIO - INACTIVO &gt;1 AÑO</v>
      </c>
    </row>
    <row r="10" spans="1:13" x14ac:dyDescent="0.25">
      <c r="A10" t="s">
        <v>90</v>
      </c>
      <c r="B10" t="s">
        <v>400</v>
      </c>
      <c r="C10" t="s">
        <v>401</v>
      </c>
      <c r="D10" s="8" t="s">
        <v>172</v>
      </c>
      <c r="E10" t="s">
        <v>402</v>
      </c>
      <c r="F10" t="s">
        <v>403</v>
      </c>
      <c r="G10" s="6">
        <v>120000000</v>
      </c>
      <c r="H10">
        <v>1</v>
      </c>
      <c r="I10" s="8" t="s">
        <v>404</v>
      </c>
      <c r="J10">
        <f>IF(I10="N/A","NUEVO",DATEDIF(I10,D10,"M"))</f>
        <v>39</v>
      </c>
      <c r="K10" t="s">
        <v>326</v>
      </c>
      <c r="L10" t="str">
        <f>IF(H10=0,"ALTO - PROVEEDOR NUEVO",IF(J10="NUEVO","ALTO - PROVEEDOR NUEVO",IF(J10&gt;24,"ALTO - INACTIVO &gt;2 AÑOS",IF(AND(J10&gt;12,G10&gt;50000000),"ALTO - INACTIVO &gt;1 AÑO + MONTO ALTO",IF(J10&gt;12,"MEDIO - INACTIVO &gt;1 AÑO","BAJO")))))</f>
        <v>ALTO - INACTIVO &gt;2 AÑOS</v>
      </c>
    </row>
    <row r="13" spans="1:13" x14ac:dyDescent="0.25">
      <c r="A13" s="29" t="s">
        <v>405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A14" s="21" t="s">
        <v>406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25">
      <c r="A15" s="21" t="s">
        <v>407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25">
      <c r="A16" s="21" t="s">
        <v>408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21" t="s">
        <v>409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25">
      <c r="A18" s="21" t="s">
        <v>410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x14ac:dyDescent="0.25">
      <c r="A19" s="21" t="s">
        <v>411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1" spans="1:13" x14ac:dyDescent="0.25">
      <c r="A21" s="27" t="s">
        <v>412</v>
      </c>
      <c r="B21" s="21"/>
      <c r="C21" s="21"/>
      <c r="D21" s="21"/>
    </row>
    <row r="22" spans="1:13" x14ac:dyDescent="0.25">
      <c r="A22" t="s">
        <v>413</v>
      </c>
      <c r="B22">
        <f>COUNTA(A7:A10)</f>
        <v>4</v>
      </c>
    </row>
    <row r="23" spans="1:13" x14ac:dyDescent="0.25">
      <c r="A23" t="s">
        <v>101</v>
      </c>
      <c r="B23" s="15">
        <f>COUNTIF(L7:L10,"ALTO*")</f>
        <v>3</v>
      </c>
    </row>
    <row r="24" spans="1:13" x14ac:dyDescent="0.25">
      <c r="A24" t="s">
        <v>414</v>
      </c>
      <c r="B24" s="19">
        <f>SUMIF(L7:L10,"ALTO*",G7:G10)</f>
        <v>193000000</v>
      </c>
    </row>
    <row r="25" spans="1:13" x14ac:dyDescent="0.25">
      <c r="A25" t="s">
        <v>415</v>
      </c>
      <c r="B25">
        <f>COUNTIF(H7:H10,0)</f>
        <v>1</v>
      </c>
    </row>
  </sheetData>
  <mergeCells count="9">
    <mergeCell ref="A21:D21"/>
    <mergeCell ref="A15:M15"/>
    <mergeCell ref="A16:M16"/>
    <mergeCell ref="A13:M13"/>
    <mergeCell ref="A14:M14"/>
    <mergeCell ref="A19:M19"/>
    <mergeCell ref="A1:G1"/>
    <mergeCell ref="A17:M17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PT F.1 - Confirmaciones</vt:lpstr>
      <vt:lpstr>PT F.2 - Pasivos No Regist</vt:lpstr>
      <vt:lpstr>PT F.3 - Conciliaciones</vt:lpstr>
      <vt:lpstr>PT F.4 - Pagos Duplicados</vt:lpstr>
      <vt:lpstr>PT F.5 - Prov Ficticios</vt:lpstr>
      <vt:lpstr>PT F.6 - Cut-Off Compras</vt:lpstr>
      <vt:lpstr>PT F.7 - ND Post-Cierre</vt:lpstr>
      <vt:lpstr>PT F.8 - Estimaciones</vt:lpstr>
      <vt:lpstr>PT F.9 - Pasivos Conting</vt:lpstr>
      <vt:lpstr>PT F.10 - Autorizaciones</vt:lpstr>
      <vt:lpstr>PT F.11 - Benford</vt:lpstr>
      <vt:lpstr>PT F.12 - Cruces Empleados</vt:lpstr>
      <vt:lpstr>PT F.13 - Prov No Habituals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2025-11-17T16:57:48Z</dcterms:created>
  <dcterms:modified xsi:type="dcterms:W3CDTF">2025-11-17T17:16:53Z</dcterms:modified>
</cp:coreProperties>
</file>