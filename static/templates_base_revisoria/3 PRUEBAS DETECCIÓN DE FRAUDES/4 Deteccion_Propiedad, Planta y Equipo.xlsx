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Pruebas de Deteccion de Fraudes\"/>
    </mc:Choice>
  </mc:AlternateContent>
  <bookViews>
    <workbookView xWindow="0" yWindow="0" windowWidth="25200" windowHeight="11580"/>
  </bookViews>
  <sheets>
    <sheet name="ÍNDICE_GENERAL" sheetId="1" r:id="rId1"/>
    <sheet name="PT_D.1_InspeccionFisica" sheetId="2" r:id="rId2"/>
    <sheet name="PT_D.2_Adiciones" sheetId="3" r:id="rId3"/>
    <sheet name="PT_D.3_Retiros" sheetId="4" r:id="rId4"/>
    <sheet name="PT_D.4_Certificados" sheetId="5" r:id="rId5"/>
    <sheet name="PT_D.5_Depreciacion" sheetId="6" r:id="rId6"/>
    <sheet name="PT_D.6_Reparaciones" sheetId="7" r:id="rId7"/>
    <sheet name="PT_D.7_TotalDepreciados" sheetId="8" r:id="rId8"/>
    <sheet name="PT_D.8_Revaluaciones" sheetId="9" r:id="rId9"/>
    <sheet name="PT_D.9_Arrendados" sheetId="10" r:id="rId10"/>
    <sheet name="PT_D.10_Politicas" sheetId="11" r:id="rId11"/>
    <sheet name="PT_D.11_Ventas" sheetId="12" r:id="rId12"/>
    <sheet name="PT_D.12_Ficticios" sheetId="13" r:id="rId13"/>
  </sheets>
  <calcPr calcId="162913"/>
</workbook>
</file>

<file path=xl/calcChain.xml><?xml version="1.0" encoding="utf-8"?>
<calcChain xmlns="http://schemas.openxmlformats.org/spreadsheetml/2006/main">
  <c r="B15" i="13" l="1"/>
  <c r="I12" i="13"/>
  <c r="H12" i="13"/>
  <c r="J12" i="13" s="1"/>
  <c r="H11" i="13"/>
  <c r="J11" i="13" s="1"/>
  <c r="J10" i="13"/>
  <c r="H10" i="13"/>
  <c r="I10" i="13" s="1"/>
  <c r="J9" i="13"/>
  <c r="I9" i="13"/>
  <c r="H9" i="13"/>
  <c r="I8" i="13"/>
  <c r="H8" i="13"/>
  <c r="B16" i="13" s="1"/>
  <c r="B14" i="12"/>
  <c r="G11" i="12"/>
  <c r="I11" i="12" s="1"/>
  <c r="J11" i="12" s="1"/>
  <c r="K11" i="12" s="1"/>
  <c r="E11" i="12"/>
  <c r="I10" i="12"/>
  <c r="J10" i="12" s="1"/>
  <c r="K10" i="12" s="1"/>
  <c r="G10" i="12"/>
  <c r="E10" i="12"/>
  <c r="E9" i="12"/>
  <c r="G9" i="12" s="1"/>
  <c r="I9" i="12" s="1"/>
  <c r="J9" i="12" s="1"/>
  <c r="K9" i="12" s="1"/>
  <c r="E8" i="12"/>
  <c r="G8" i="12" s="1"/>
  <c r="I8" i="12" s="1"/>
  <c r="B16" i="11"/>
  <c r="F13" i="11"/>
  <c r="G13" i="11" s="1"/>
  <c r="G12" i="11"/>
  <c r="K12" i="11" s="1"/>
  <c r="F12" i="11"/>
  <c r="J12" i="11" s="1"/>
  <c r="F11" i="11"/>
  <c r="G11" i="11" s="1"/>
  <c r="G10" i="11"/>
  <c r="K10" i="11" s="1"/>
  <c r="F10" i="11"/>
  <c r="J10" i="11" s="1"/>
  <c r="F9" i="11"/>
  <c r="G9" i="11" s="1"/>
  <c r="G8" i="11"/>
  <c r="K8" i="11" s="1"/>
  <c r="F8" i="11"/>
  <c r="J8" i="11" s="1"/>
  <c r="B15" i="10"/>
  <c r="J12" i="10"/>
  <c r="I12" i="10"/>
  <c r="H12" i="10"/>
  <c r="I11" i="10"/>
  <c r="H11" i="10"/>
  <c r="J11" i="10" s="1"/>
  <c r="H10" i="10"/>
  <c r="J10" i="10" s="1"/>
  <c r="J9" i="10"/>
  <c r="I9" i="10"/>
  <c r="H9" i="10"/>
  <c r="J8" i="10"/>
  <c r="I8" i="10"/>
  <c r="H8" i="10"/>
  <c r="B16" i="10" s="1"/>
  <c r="B21" i="9"/>
  <c r="F17" i="1" s="1"/>
  <c r="I16" i="9"/>
  <c r="B16" i="9"/>
  <c r="D22" i="9" s="1"/>
  <c r="G17" i="1" s="1"/>
  <c r="B15" i="9"/>
  <c r="B14" i="9"/>
  <c r="J11" i="9"/>
  <c r="I11" i="9"/>
  <c r="H11" i="9"/>
  <c r="E11" i="9"/>
  <c r="D11" i="9"/>
  <c r="H10" i="9"/>
  <c r="I10" i="9" s="1"/>
  <c r="E10" i="9"/>
  <c r="J10" i="9" s="1"/>
  <c r="D10" i="9"/>
  <c r="J9" i="9"/>
  <c r="I9" i="9"/>
  <c r="H9" i="9"/>
  <c r="E9" i="9"/>
  <c r="D9" i="9"/>
  <c r="J8" i="9"/>
  <c r="I8" i="9"/>
  <c r="H8" i="9"/>
  <c r="E8" i="9"/>
  <c r="D8" i="9"/>
  <c r="B16" i="8"/>
  <c r="B21" i="8" s="1"/>
  <c r="F16" i="1" s="1"/>
  <c r="I12" i="8"/>
  <c r="H12" i="8"/>
  <c r="J12" i="8" s="1"/>
  <c r="D12" i="8"/>
  <c r="I11" i="8"/>
  <c r="H11" i="8"/>
  <c r="J11" i="8" s="1"/>
  <c r="D11" i="8"/>
  <c r="I10" i="8"/>
  <c r="H10" i="8"/>
  <c r="J10" i="8" s="1"/>
  <c r="D10" i="8"/>
  <c r="I9" i="8"/>
  <c r="H9" i="8"/>
  <c r="J9" i="8" s="1"/>
  <c r="D9" i="8"/>
  <c r="I8" i="8"/>
  <c r="H8" i="8"/>
  <c r="J8" i="8" s="1"/>
  <c r="D8" i="8"/>
  <c r="B15" i="8" s="1"/>
  <c r="I16" i="8" s="1"/>
  <c r="E16" i="1" s="1"/>
  <c r="B16" i="7"/>
  <c r="H13" i="7"/>
  <c r="J13" i="7" s="1"/>
  <c r="J12" i="7"/>
  <c r="H12" i="7"/>
  <c r="I12" i="7" s="1"/>
  <c r="J11" i="7"/>
  <c r="I11" i="7"/>
  <c r="H11" i="7"/>
  <c r="I10" i="7"/>
  <c r="H10" i="7"/>
  <c r="J10" i="7" s="1"/>
  <c r="H9" i="7"/>
  <c r="J9" i="7" s="1"/>
  <c r="J8" i="7"/>
  <c r="H8" i="7"/>
  <c r="B18" i="7" s="1"/>
  <c r="B16" i="6"/>
  <c r="E13" i="6"/>
  <c r="H12" i="6"/>
  <c r="I12" i="6" s="1"/>
  <c r="G12" i="6"/>
  <c r="E12" i="6"/>
  <c r="E11" i="6"/>
  <c r="H10" i="6"/>
  <c r="I10" i="6" s="1"/>
  <c r="G10" i="6"/>
  <c r="E10" i="6"/>
  <c r="E9" i="6"/>
  <c r="H8" i="6"/>
  <c r="I8" i="6" s="1"/>
  <c r="G8" i="6"/>
  <c r="E8" i="6"/>
  <c r="I16" i="5"/>
  <c r="B16" i="5"/>
  <c r="D21" i="5" s="1"/>
  <c r="G13" i="1" s="1"/>
  <c r="B15" i="5"/>
  <c r="B14" i="5"/>
  <c r="J11" i="5"/>
  <c r="H11" i="5"/>
  <c r="I11" i="5" s="1"/>
  <c r="J10" i="5"/>
  <c r="I10" i="5"/>
  <c r="H10" i="5"/>
  <c r="J9" i="5"/>
  <c r="I9" i="5"/>
  <c r="H9" i="5"/>
  <c r="J8" i="5"/>
  <c r="H8" i="5"/>
  <c r="B20" i="5" s="1"/>
  <c r="F13" i="1" s="1"/>
  <c r="B15" i="4"/>
  <c r="I12" i="4"/>
  <c r="H12" i="4"/>
  <c r="J12" i="4" s="1"/>
  <c r="H11" i="4"/>
  <c r="J11" i="4" s="1"/>
  <c r="J10" i="4"/>
  <c r="H10" i="4"/>
  <c r="I10" i="4" s="1"/>
  <c r="J9" i="4"/>
  <c r="I9" i="4"/>
  <c r="H9" i="4"/>
  <c r="I8" i="4"/>
  <c r="H8" i="4"/>
  <c r="B16" i="4" s="1"/>
  <c r="B18" i="3"/>
  <c r="B17" i="3"/>
  <c r="B22" i="3" s="1"/>
  <c r="F11" i="1" s="1"/>
  <c r="B16" i="3"/>
  <c r="J13" i="3"/>
  <c r="I13" i="3"/>
  <c r="H13" i="3"/>
  <c r="J12" i="3"/>
  <c r="I12" i="3"/>
  <c r="H12" i="3"/>
  <c r="J11" i="3"/>
  <c r="H11" i="3"/>
  <c r="I11" i="3" s="1"/>
  <c r="J10" i="3"/>
  <c r="H10" i="3"/>
  <c r="I10" i="3" s="1"/>
  <c r="J9" i="3"/>
  <c r="I9" i="3"/>
  <c r="H9" i="3"/>
  <c r="J8" i="3"/>
  <c r="H8" i="3"/>
  <c r="I8" i="3" s="1"/>
  <c r="B25" i="2"/>
  <c r="F10" i="1" s="1"/>
  <c r="B24" i="2"/>
  <c r="B23" i="2"/>
  <c r="D26" i="2" s="1"/>
  <c r="G10" i="1" s="1"/>
  <c r="B22" i="2"/>
  <c r="B21" i="2"/>
  <c r="J20" i="2"/>
  <c r="B20" i="2"/>
  <c r="K17" i="2"/>
  <c r="I17" i="2"/>
  <c r="J17" i="2" s="1"/>
  <c r="K16" i="2"/>
  <c r="I16" i="2"/>
  <c r="J16" i="2" s="1"/>
  <c r="K15" i="2"/>
  <c r="J15" i="2"/>
  <c r="I15" i="2"/>
  <c r="K14" i="2"/>
  <c r="J14" i="2"/>
  <c r="I14" i="2"/>
  <c r="K13" i="2"/>
  <c r="I13" i="2"/>
  <c r="J13" i="2" s="1"/>
  <c r="K12" i="2"/>
  <c r="I12" i="2"/>
  <c r="J12" i="2" s="1"/>
  <c r="K11" i="2"/>
  <c r="J11" i="2"/>
  <c r="I11" i="2"/>
  <c r="K10" i="2"/>
  <c r="J10" i="2"/>
  <c r="I10" i="2"/>
  <c r="K9" i="2"/>
  <c r="I9" i="2"/>
  <c r="J9" i="2" s="1"/>
  <c r="K8" i="2"/>
  <c r="I8" i="2"/>
  <c r="J8" i="2" s="1"/>
  <c r="I21" i="1"/>
  <c r="D21" i="1"/>
  <c r="I20" i="1"/>
  <c r="D20" i="1"/>
  <c r="I19" i="1"/>
  <c r="G19" i="1"/>
  <c r="D19" i="1"/>
  <c r="I18" i="1"/>
  <c r="D18" i="1"/>
  <c r="I17" i="1"/>
  <c r="E17" i="1"/>
  <c r="D17" i="1"/>
  <c r="I16" i="1"/>
  <c r="D16" i="1"/>
  <c r="I15" i="1"/>
  <c r="D15" i="1"/>
  <c r="I14" i="1"/>
  <c r="D14" i="1"/>
  <c r="I13" i="1"/>
  <c r="E13" i="1"/>
  <c r="D13" i="1"/>
  <c r="I12" i="1"/>
  <c r="D12" i="1"/>
  <c r="I11" i="1"/>
  <c r="D11" i="1"/>
  <c r="I10" i="1"/>
  <c r="E10" i="1"/>
  <c r="D10" i="1"/>
  <c r="K8" i="6" l="1"/>
  <c r="J8" i="6"/>
  <c r="K12" i="6"/>
  <c r="J12" i="6"/>
  <c r="H11" i="11"/>
  <c r="I11" i="11" s="1"/>
  <c r="K11" i="11"/>
  <c r="B21" i="4"/>
  <c r="F12" i="1" s="1"/>
  <c r="I16" i="4"/>
  <c r="E12" i="1" s="1"/>
  <c r="H13" i="6"/>
  <c r="I13" i="6" s="1"/>
  <c r="B21" i="13"/>
  <c r="F21" i="1" s="1"/>
  <c r="I16" i="13"/>
  <c r="E21" i="1" s="1"/>
  <c r="I16" i="10"/>
  <c r="E18" i="1" s="1"/>
  <c r="B21" i="10"/>
  <c r="F18" i="1" s="1"/>
  <c r="K10" i="6"/>
  <c r="J10" i="6"/>
  <c r="H9" i="11"/>
  <c r="I9" i="11" s="1"/>
  <c r="K9" i="11"/>
  <c r="J8" i="12"/>
  <c r="B16" i="12"/>
  <c r="B15" i="12"/>
  <c r="B23" i="12" s="1"/>
  <c r="F20" i="1" s="1"/>
  <c r="B19" i="7"/>
  <c r="D23" i="7"/>
  <c r="G15" i="1" s="1"/>
  <c r="H13" i="11"/>
  <c r="I13" i="11" s="1"/>
  <c r="K13" i="11"/>
  <c r="B19" i="3"/>
  <c r="D23" i="3" s="1"/>
  <c r="G11" i="1" s="1"/>
  <c r="B17" i="10"/>
  <c r="D22" i="10" s="1"/>
  <c r="G18" i="1" s="1"/>
  <c r="I16" i="3"/>
  <c r="E11" i="1" s="1"/>
  <c r="J8" i="4"/>
  <c r="I11" i="4"/>
  <c r="B17" i="4"/>
  <c r="D22" i="4" s="1"/>
  <c r="G12" i="1" s="1"/>
  <c r="I8" i="5"/>
  <c r="G9" i="6"/>
  <c r="B18" i="6" s="1"/>
  <c r="B19" i="6" s="1"/>
  <c r="D25" i="6" s="1"/>
  <c r="G14" i="1" s="1"/>
  <c r="G11" i="6"/>
  <c r="H11" i="6" s="1"/>
  <c r="I11" i="6" s="1"/>
  <c r="G13" i="6"/>
  <c r="I9" i="7"/>
  <c r="I13" i="7"/>
  <c r="B17" i="7"/>
  <c r="B17" i="8"/>
  <c r="D22" i="8" s="1"/>
  <c r="G16" i="1" s="1"/>
  <c r="I10" i="10"/>
  <c r="H8" i="11"/>
  <c r="J9" i="11"/>
  <c r="H10" i="11"/>
  <c r="I10" i="11" s="1"/>
  <c r="J11" i="11"/>
  <c r="H12" i="11"/>
  <c r="I12" i="11" s="1"/>
  <c r="J13" i="11"/>
  <c r="J8" i="13"/>
  <c r="I11" i="13"/>
  <c r="B17" i="13"/>
  <c r="D22" i="13" s="1"/>
  <c r="G21" i="1" s="1"/>
  <c r="I8" i="7"/>
  <c r="J11" i="6" l="1"/>
  <c r="K11" i="6"/>
  <c r="I8" i="11"/>
  <c r="B17" i="11"/>
  <c r="B23" i="11" s="1"/>
  <c r="F19" i="1" s="1"/>
  <c r="K13" i="6"/>
  <c r="J13" i="6"/>
  <c r="B17" i="12"/>
  <c r="D24" i="12"/>
  <c r="G20" i="1" s="1"/>
  <c r="H9" i="6"/>
  <c r="I9" i="6" s="1"/>
  <c r="B18" i="11"/>
  <c r="J17" i="11" s="1"/>
  <c r="E19" i="1" s="1"/>
  <c r="B22" i="7"/>
  <c r="F15" i="1" s="1"/>
  <c r="I16" i="7"/>
  <c r="E15" i="1" s="1"/>
  <c r="J17" i="12"/>
  <c r="E20" i="1" s="1"/>
  <c r="K8" i="12"/>
  <c r="K9" i="6" l="1"/>
  <c r="J9" i="6"/>
  <c r="B17" i="6"/>
  <c r="B24" i="6" l="1"/>
  <c r="F14" i="1" s="1"/>
  <c r="J17" i="6"/>
  <c r="E14" i="1" s="1"/>
</calcChain>
</file>

<file path=xl/sharedStrings.xml><?xml version="1.0" encoding="utf-8"?>
<sst xmlns="http://schemas.openxmlformats.org/spreadsheetml/2006/main" count="638" uniqueCount="368">
  <si>
    <t>PROGRAMA DE AUDITORÍA - PROPIEDAD, PLANTA Y EQUIPO</t>
  </si>
  <si>
    <t>Basado en NIAs 500, 501, 540 y NIC 16 - Evidencia de Auditoría y Detección de Fraude en Activos Fijos</t>
  </si>
  <si>
    <t>Cliente:</t>
  </si>
  <si>
    <t>[NOMBRE DEL CLIENTE]</t>
  </si>
  <si>
    <t>Período auditado:</t>
  </si>
  <si>
    <t>01/01/2024 - 31/12/2024</t>
  </si>
  <si>
    <t>Fecha de corte:</t>
  </si>
  <si>
    <t>31/12/2024</t>
  </si>
  <si>
    <t>Auditor responsable:</t>
  </si>
  <si>
    <t>[NOMBRE DEL AUDITOR]</t>
  </si>
  <si>
    <t>REF</t>
  </si>
  <si>
    <t>PROCEDIMIENTO</t>
  </si>
  <si>
    <t>OBJETIVO NIC/NIA</t>
  </si>
  <si>
    <t>RIESGO</t>
  </si>
  <si>
    <t>ESTADO</t>
  </si>
  <si>
    <t>HALLAZGOS</t>
  </si>
  <si>
    <t>MATERIALIDAD</t>
  </si>
  <si>
    <t>RESPONSABLE</t>
  </si>
  <si>
    <t>FECHA</t>
  </si>
  <si>
    <t>PT D.1</t>
  </si>
  <si>
    <t>Inspección Física Activos Alto Valor</t>
  </si>
  <si>
    <t>NIA 500 - Evidencia física</t>
  </si>
  <si>
    <t>[Auditor]</t>
  </si>
  <si>
    <t>PT D.2</t>
  </si>
  <si>
    <t>Adiciones - Autorización y Soporte</t>
  </si>
  <si>
    <t>Control de capitalizaciones</t>
  </si>
  <si>
    <t>PT D.3</t>
  </si>
  <si>
    <t>Retiros/Bajas Sin Autorización</t>
  </si>
  <si>
    <t>NIA 240 - Fraude</t>
  </si>
  <si>
    <t>PT D.4</t>
  </si>
  <si>
    <t>Certificados Tradición y Libertad</t>
  </si>
  <si>
    <t>Propiedad legal inmuebles</t>
  </si>
  <si>
    <t>PT D.5</t>
  </si>
  <si>
    <t>Depreciación - Inconsistencias</t>
  </si>
  <si>
    <t>NIC 16 - Cálculo correcto</t>
  </si>
  <si>
    <t>PT D.6</t>
  </si>
  <si>
    <t>Reparaciones vs Gasto</t>
  </si>
  <si>
    <t>Capitalización indebida</t>
  </si>
  <si>
    <t>PT D.7</t>
  </si>
  <si>
    <t>Activos Totalmente Depreciados</t>
  </si>
  <si>
    <t>Vida útil razonable</t>
  </si>
  <si>
    <t>PT D.8</t>
  </si>
  <si>
    <t>Revaluaciones y Razonabilidad</t>
  </si>
  <si>
    <t>NIC 16 - Valor razonable</t>
  </si>
  <si>
    <t>PT D.9</t>
  </si>
  <si>
    <t>Activos Arrendados Como Propios</t>
  </si>
  <si>
    <t>NIIF 16 - Clasificación</t>
  </si>
  <si>
    <t>PT D.10</t>
  </si>
  <si>
    <t>Políticas Depreciación vs Industria</t>
  </si>
  <si>
    <t>Razonabilidad políticas</t>
  </si>
  <si>
    <t>PT D.11</t>
  </si>
  <si>
    <t>Ganancias/Pérdidas en Ventas</t>
  </si>
  <si>
    <t>Cálculo correcto</t>
  </si>
  <si>
    <t>PT D.12</t>
  </si>
  <si>
    <t>Activos Inexistentes o Ficticios</t>
  </si>
  <si>
    <t>NIA 240 - Existencia</t>
  </si>
  <si>
    <t>PT D.1 - INSPECCIÓN FÍSICA DE ACTIVOS ALTO VALOR</t>
  </si>
  <si>
    <t>NIA 500 - Evidencia de Auditoría | Objetivo: Verificar existencia física de activos materiales</t>
  </si>
  <si>
    <t>Fecha de inspección:</t>
  </si>
  <si>
    <t>Código
Activo</t>
  </si>
  <si>
    <t>Descripción</t>
  </si>
  <si>
    <t>Ubicación
Registro</t>
  </si>
  <si>
    <t>Valor
Libros</t>
  </si>
  <si>
    <t>Ubicado
Físicamente</t>
  </si>
  <si>
    <t>Estado
Físico</t>
  </si>
  <si>
    <t>Placa/Serie
Coincide</t>
  </si>
  <si>
    <t>En Uso</t>
  </si>
  <si>
    <t>Riesgo</t>
  </si>
  <si>
    <t>Estado</t>
  </si>
  <si>
    <t>Acción</t>
  </si>
  <si>
    <t>AF-001</t>
  </si>
  <si>
    <t>Vehículo Toyota 2022</t>
  </si>
  <si>
    <t>Oficina Principal</t>
  </si>
  <si>
    <t>SÍ</t>
  </si>
  <si>
    <t>Bueno</t>
  </si>
  <si>
    <t>AF-002</t>
  </si>
  <si>
    <t>Maquinaria CNC</t>
  </si>
  <si>
    <t>Planta Producción</t>
  </si>
  <si>
    <t>NO</t>
  </si>
  <si>
    <t>N/A</t>
  </si>
  <si>
    <t>AF-003</t>
  </si>
  <si>
    <t>Edificio Sede Norte</t>
  </si>
  <si>
    <t>Calle 100 #15-20</t>
  </si>
  <si>
    <t>AF-004</t>
  </si>
  <si>
    <t>Computadores (50)</t>
  </si>
  <si>
    <t>Oficinas</t>
  </si>
  <si>
    <t>Regular</t>
  </si>
  <si>
    <t>AF-005</t>
  </si>
  <si>
    <t>Equipo Laboratorio</t>
  </si>
  <si>
    <t>Bodega 2</t>
  </si>
  <si>
    <t>Malo</t>
  </si>
  <si>
    <t>AF-006</t>
  </si>
  <si>
    <t>Montacargas</t>
  </si>
  <si>
    <t>Bodega Principal</t>
  </si>
  <si>
    <t>AF-007</t>
  </si>
  <si>
    <t>Mobiliario Oficina</t>
  </si>
  <si>
    <t>Piso 3</t>
  </si>
  <si>
    <t>AF-008</t>
  </si>
  <si>
    <t>Servidor Principal</t>
  </si>
  <si>
    <t>Datacenter</t>
  </si>
  <si>
    <t>AF-009</t>
  </si>
  <si>
    <t>Equipo Médico</t>
  </si>
  <si>
    <t>Consultorio</t>
  </si>
  <si>
    <t>AF-010</t>
  </si>
  <si>
    <t>Camión Carga</t>
  </si>
  <si>
    <t>Parqueadero</t>
  </si>
  <si>
    <t>RESUMEN DE INSPECCIÓN FÍSICA</t>
  </si>
  <si>
    <t>Activos inspeccionados:</t>
  </si>
  <si>
    <t>RIESGO GLOBAL:</t>
  </si>
  <si>
    <t>Activos ubicados físicamente:</t>
  </si>
  <si>
    <t>Activos NO ubicados:</t>
  </si>
  <si>
    <t>Valor activos no ubicados:</t>
  </si>
  <si>
    <t>Activos con placa/serie no coincide:</t>
  </si>
  <si>
    <t>Hallazgos críticos:</t>
  </si>
  <si>
    <t>activos no ubicados físicamente</t>
  </si>
  <si>
    <t>PT D.2 - ADICIONES - AUTORIZACIÓN Y DOCUMENTACIÓN SOPORTE</t>
  </si>
  <si>
    <t>Control de Capitalizaciones | Objetivo: Verificar que adiciones cumplan criterios NIC 16</t>
  </si>
  <si>
    <t>Período:</t>
  </si>
  <si>
    <t>2024</t>
  </si>
  <si>
    <t>Fecha</t>
  </si>
  <si>
    <t>Valor</t>
  </si>
  <si>
    <t>Factura/
Soporte</t>
  </si>
  <si>
    <t>Autorizado</t>
  </si>
  <si>
    <t>Cumple
Criterio</t>
  </si>
  <si>
    <t>Nivel Autor.
Requerido</t>
  </si>
  <si>
    <t>15/03/2024</t>
  </si>
  <si>
    <t>Vehículo nuevo</t>
  </si>
  <si>
    <t>Gerente General</t>
  </si>
  <si>
    <t>22/05/2024</t>
  </si>
  <si>
    <t>Reparación edificio</t>
  </si>
  <si>
    <t>Contador</t>
  </si>
  <si>
    <t>10/07/2024</t>
  </si>
  <si>
    <t>Maquinaria producción</t>
  </si>
  <si>
    <t>Junta Directiva</t>
  </si>
  <si>
    <t>18/09/2024</t>
  </si>
  <si>
    <t>Computadores</t>
  </si>
  <si>
    <t>Gerente TI</t>
  </si>
  <si>
    <t>05/11/2024</t>
  </si>
  <si>
    <t>Mejoras arrendamiento</t>
  </si>
  <si>
    <t>20/12/2024</t>
  </si>
  <si>
    <t>Equipo oficina</t>
  </si>
  <si>
    <t>Gerente Operaciones</t>
  </si>
  <si>
    <t>EVALUACIÓN DE ADICIONES</t>
  </si>
  <si>
    <t>Total adiciones revisadas:</t>
  </si>
  <si>
    <t>Adiciones sin soporte:</t>
  </si>
  <si>
    <t>Adiciones mal autorizadas:</t>
  </si>
  <si>
    <t>Valor total con irregularidades:</t>
  </si>
  <si>
    <t>Hallazgos:</t>
  </si>
  <si>
    <t>adiciones con problemas de control</t>
  </si>
  <si>
    <t>PT D.3 - RETIROS O BAJAS SIN AUTORIZACIÓN</t>
  </si>
  <si>
    <t>NIA 240 - Fraude | Objetivo: Detectar retiros no autorizados que oculten ventas o robos</t>
  </si>
  <si>
    <t>Valor
Neto</t>
  </si>
  <si>
    <t>Motivo
Baja</t>
  </si>
  <si>
    <t>Autorizado
Por</t>
  </si>
  <si>
    <t>Nivel
Requerido</t>
  </si>
  <si>
    <t>15/04/2024</t>
  </si>
  <si>
    <t>AF-125</t>
  </si>
  <si>
    <t>Vehículo viejo</t>
  </si>
  <si>
    <t>Venta</t>
  </si>
  <si>
    <t>22/07/2024</t>
  </si>
  <si>
    <t>AF-238</t>
  </si>
  <si>
    <t>Maquinaria obsoleta</t>
  </si>
  <si>
    <t>Obsolescencia</t>
  </si>
  <si>
    <t>10/09/2024</t>
  </si>
  <si>
    <t>AF-156</t>
  </si>
  <si>
    <t>Robo</t>
  </si>
  <si>
    <t>18/11/2024</t>
  </si>
  <si>
    <t>AF-089</t>
  </si>
  <si>
    <t>Equipo dañado</t>
  </si>
  <si>
    <t>Daño total</t>
  </si>
  <si>
    <t>Junta</t>
  </si>
  <si>
    <t>05/12/2024</t>
  </si>
  <si>
    <t>AF-201</t>
  </si>
  <si>
    <t>Mobiliario</t>
  </si>
  <si>
    <t>Donación</t>
  </si>
  <si>
    <t>Gerente Admin</t>
  </si>
  <si>
    <t>EVALUACIÓN DE RETIROS Y BAJAS</t>
  </si>
  <si>
    <t>Retiros revisados:</t>
  </si>
  <si>
    <t>Retiros sin autorización adecuada:</t>
  </si>
  <si>
    <t>Valor en riesgo:</t>
  </si>
  <si>
    <t>Bajas sospechosas:</t>
  </si>
  <si>
    <t>PT D.4 - CERTIFICADOS DE TRADICIÓN Y LIBERTAD (INMUEBLES)</t>
  </si>
  <si>
    <t>Propiedad Legal | Objetivo: Verificar titularidad de inmuebles</t>
  </si>
  <si>
    <t>Fecha de verificación:</t>
  </si>
  <si>
    <t>Dirección</t>
  </si>
  <si>
    <t>Matrícula
Inmobiliaria</t>
  </si>
  <si>
    <t>Certificado
Obtenido</t>
  </si>
  <si>
    <t>Titular
Registrado</t>
  </si>
  <si>
    <t>Gravámenes</t>
  </si>
  <si>
    <t>Vigencia
Certificado</t>
  </si>
  <si>
    <t>50C-123456</t>
  </si>
  <si>
    <t>La Empresa S.A.</t>
  </si>
  <si>
    <t>Hipoteca Banco A</t>
  </si>
  <si>
    <t>15/11/2024</t>
  </si>
  <si>
    <t>Av. 68 #45-10</t>
  </si>
  <si>
    <t>50N-789012</t>
  </si>
  <si>
    <t>Carrera 7 #80-50</t>
  </si>
  <si>
    <t>50C-345678</t>
  </si>
  <si>
    <t>Ninguno</t>
  </si>
  <si>
    <t>Bodega Km 5</t>
  </si>
  <si>
    <t>25H-901234</t>
  </si>
  <si>
    <t>Persona Natural</t>
  </si>
  <si>
    <t>10/10/2024</t>
  </si>
  <si>
    <t>VERIFICACIÓN DE TITULARIDAD</t>
  </si>
  <si>
    <t>Inmuebles verificados:</t>
  </si>
  <si>
    <t>Sin certificado actual:</t>
  </si>
  <si>
    <t>Valor inmuebles sin verificar:</t>
  </si>
  <si>
    <t>Inmuebles con problemas:</t>
  </si>
  <si>
    <t>PT D.5 - DEPRECIACIÓN ACUMULADA - INCONSISTENCIAS</t>
  </si>
  <si>
    <t>NIC 16 - Cálculo Correcto | Objetivo: Verificar exactitud del cálculo de depreciación</t>
  </si>
  <si>
    <t>Año fiscal:</t>
  </si>
  <si>
    <t>Activo</t>
  </si>
  <si>
    <t>Costo</t>
  </si>
  <si>
    <t>Vida
Útil</t>
  </si>
  <si>
    <t>Método</t>
  </si>
  <si>
    <t>Depr.
Calculada</t>
  </si>
  <si>
    <t>Depr.
Registrada</t>
  </si>
  <si>
    <t>Diferencia</t>
  </si>
  <si>
    <t>% Dif</t>
  </si>
  <si>
    <t>Vehículo A</t>
  </si>
  <si>
    <t>Línea recta</t>
  </si>
  <si>
    <t>Maquinaria B</t>
  </si>
  <si>
    <t>Edificio C</t>
  </si>
  <si>
    <t>Equipo D</t>
  </si>
  <si>
    <t>Mobiliario E</t>
  </si>
  <si>
    <t>Computadores F</t>
  </si>
  <si>
    <t>EVALUACIÓN DE DEPRECIACIÓN</t>
  </si>
  <si>
    <t>Activos revisados:</t>
  </si>
  <si>
    <t>Con diferencias materiales:</t>
  </si>
  <si>
    <t>Diferencia total depreciación:</t>
  </si>
  <si>
    <t>Impacto en resultado:</t>
  </si>
  <si>
    <t>Ajustes requeridos:</t>
  </si>
  <si>
    <t>PT D.6 - REPARACIONES CAPITALIZADAS VS GASTO</t>
  </si>
  <si>
    <t>Capitalización Indebida | Objetivo: Detectar gastos capitalizados incorrectamente</t>
  </si>
  <si>
    <t>Monto</t>
  </si>
  <si>
    <t>Tratamiento</t>
  </si>
  <si>
    <t>Extiende
Vida Útil</t>
  </si>
  <si>
    <t>Aumenta
Capacidad</t>
  </si>
  <si>
    <t>15/02/2024</t>
  </si>
  <si>
    <t>Repuestos vehículo</t>
  </si>
  <si>
    <t>Capitalizado</t>
  </si>
  <si>
    <t>20/04/2024</t>
  </si>
  <si>
    <t>Mejora edificio nuevo piso</t>
  </si>
  <si>
    <t>Edificio</t>
  </si>
  <si>
    <t>10/06/2024</t>
  </si>
  <si>
    <t>Mantenimiento maquinaria</t>
  </si>
  <si>
    <t>15/08/2024</t>
  </si>
  <si>
    <t>Pintura oficinas</t>
  </si>
  <si>
    <t>20/10/2024</t>
  </si>
  <si>
    <t>Actualización software equipo</t>
  </si>
  <si>
    <t>Equipo C</t>
  </si>
  <si>
    <t>Cambio llantas</t>
  </si>
  <si>
    <t>Vehículo B</t>
  </si>
  <si>
    <t>EVALUACIÓN DE CAPITALIZACIONES</t>
  </si>
  <si>
    <t>Reparaciones revisadas:</t>
  </si>
  <si>
    <t>Mal capitalizadas:</t>
  </si>
  <si>
    <t>Monto a reclasificar como gasto:</t>
  </si>
  <si>
    <t>Impacto en utilidad:</t>
  </si>
  <si>
    <t>capitalizaciones incorrectas</t>
  </si>
  <si>
    <t>PT D.7 - ACTIVOS TOTALMENTE DEPRECIADOS AÚN EN USO</t>
  </si>
  <si>
    <t>Vida Útil Razonable | Objetivo: Identificar vida útil subestimada</t>
  </si>
  <si>
    <t>Fecha de análisis:</t>
  </si>
  <si>
    <t>Costo
Original</t>
  </si>
  <si>
    <t>Depr.
Acumulada</t>
  </si>
  <si>
    <t>Años
Depreciados</t>
  </si>
  <si>
    <t>Vida Útil
Asignada</t>
  </si>
  <si>
    <t>Aún en
Uso</t>
  </si>
  <si>
    <t>Vehículo antiguo</t>
  </si>
  <si>
    <t>Maquinaria A</t>
  </si>
  <si>
    <t>Computadores viejos</t>
  </si>
  <si>
    <t>Equipo producción</t>
  </si>
  <si>
    <t>ANÁLISIS DE VIDA ÚTIL</t>
  </si>
  <si>
    <t>Activos totalmente depreciados:</t>
  </si>
  <si>
    <t>Totalmente depreciados y en uso:</t>
  </si>
  <si>
    <t>Valor original activos en uso:</t>
  </si>
  <si>
    <t>Activos que requieren revisión:</t>
  </si>
  <si>
    <t>PT D.8 - REVALUACIONES Y RAZONABILIDAD</t>
  </si>
  <si>
    <t>NIC 16 - Valor Razonable | Objetivo: Verificar razonabilidad de revaluaciones</t>
  </si>
  <si>
    <t>Valor
Anterior</t>
  </si>
  <si>
    <t>Revaluación</t>
  </si>
  <si>
    <t>Valor
Revaluado</t>
  </si>
  <si>
    <t>% Cambio</t>
  </si>
  <si>
    <t>Avalúo
Profesional</t>
  </si>
  <si>
    <t>Fecha
Avalúo</t>
  </si>
  <si>
    <t>Edificio Sede</t>
  </si>
  <si>
    <t>Terreno Bodega</t>
  </si>
  <si>
    <t>Propiedad Norte</t>
  </si>
  <si>
    <t>Terreno Planta</t>
  </si>
  <si>
    <t>EVALUACIÓN DE REVALUACIONES</t>
  </si>
  <si>
    <t>Revaluaciones realizadas:</t>
  </si>
  <si>
    <t>Sin avalúo profesional:</t>
  </si>
  <si>
    <t>Monto revaluado sin soporte:</t>
  </si>
  <si>
    <t>Revaluaciones sin soporte:</t>
  </si>
  <si>
    <t>PT D.9 - ACTIVOS ARRENDADOS CONTABILIZADOS COMO PROPIOS</t>
  </si>
  <si>
    <t>NIIF 16 - Clasificación | Objetivo: Detectar arrendamientos clasificados como PPE</t>
  </si>
  <si>
    <t>Valor
Registrado</t>
  </si>
  <si>
    <t>Contrato</t>
  </si>
  <si>
    <t>Opción
Compra</t>
  </si>
  <si>
    <t>Transfiere
Propiedad</t>
  </si>
  <si>
    <t>Tipo Real</t>
  </si>
  <si>
    <t>Registrado
Como</t>
  </si>
  <si>
    <t>Vehículo Operativo</t>
  </si>
  <si>
    <t>Arrend. Operativo</t>
  </si>
  <si>
    <t>Arrendamiento</t>
  </si>
  <si>
    <t>PPE</t>
  </si>
  <si>
    <t>Edificio Propio</t>
  </si>
  <si>
    <t>Propiedad</t>
  </si>
  <si>
    <t>Equipo Leasing</t>
  </si>
  <si>
    <t>Leasing Financiero</t>
  </si>
  <si>
    <t>Oficinas Arrendadas</t>
  </si>
  <si>
    <t>Maquinaria Propia</t>
  </si>
  <si>
    <t>CLASIFICACIÓN DE ACTIVOS</t>
  </si>
  <si>
    <t>Arrendamientos mal clasificados:</t>
  </si>
  <si>
    <t>Valor a reclasificar:</t>
  </si>
  <si>
    <t>Reclasificaciones requeridas:</t>
  </si>
  <si>
    <t>PT D.10 - POLÍTICAS DE DEPRECIACIÓN VS INDUSTRIA</t>
  </si>
  <si>
    <t>Razonabilidad de Políticas | Objetivo: Comparar vida útil con estándares de industria</t>
  </si>
  <si>
    <t>Industria de referencia:</t>
  </si>
  <si>
    <t>Manufactura</t>
  </si>
  <si>
    <t>Categoría</t>
  </si>
  <si>
    <t>Vida Útil
Empresa</t>
  </si>
  <si>
    <t>Vida Útil
Industria</t>
  </si>
  <si>
    <t>Método
Empresa</t>
  </si>
  <si>
    <t>Método
Industria</t>
  </si>
  <si>
    <t>Diferencia
Años</t>
  </si>
  <si>
    <t>Impacto</t>
  </si>
  <si>
    <t>Edificios</t>
  </si>
  <si>
    <t>Vehículos</t>
  </si>
  <si>
    <t>Maquinaria</t>
  </si>
  <si>
    <t>Equipo Prod.</t>
  </si>
  <si>
    <t>ANÁLISIS COMPARATIVO</t>
  </si>
  <si>
    <t>Categorías revisadas:</t>
  </si>
  <si>
    <t>Con diferencias significativas:</t>
  </si>
  <si>
    <t>Políticas muy aceleradas:</t>
  </si>
  <si>
    <t>Políticas que requieren revisión:</t>
  </si>
  <si>
    <t>Impacto: Posible sobreestimación del gasto</t>
  </si>
  <si>
    <t>PT D.11 - GANANCIAS/PÉRDIDAS EN VENTA DE ACTIVOS</t>
  </si>
  <si>
    <t>Cálculo Correcto | Objetivo: Verificar cálculo de utilidad/pérdida en venta de activos</t>
  </si>
  <si>
    <t>Precio
Venta</t>
  </si>
  <si>
    <t>Resultado
Calculado</t>
  </si>
  <si>
    <t>Resultado
Registrado</t>
  </si>
  <si>
    <t>22/06/2024</t>
  </si>
  <si>
    <t>EVALUACIÓN DE RESULTADOS EN VENTAS</t>
  </si>
  <si>
    <t>Ventas revisadas:</t>
  </si>
  <si>
    <t>Con diferencias:</t>
  </si>
  <si>
    <t>Diferencia total:</t>
  </si>
  <si>
    <t>PT D.12 - ACTIVOS INEXISTENTES O FICTICIOS</t>
  </si>
  <si>
    <t>NIA 240 - Existencia | Objetivo: Detectar activos ficticios que inflan el balance</t>
  </si>
  <si>
    <t>Código</t>
  </si>
  <si>
    <t>Factura
Disponible</t>
  </si>
  <si>
    <t>Ubicación
Física</t>
  </si>
  <si>
    <t>Placa
Visible</t>
  </si>
  <si>
    <t>En Uso
Activo</t>
  </si>
  <si>
    <t>AF-501</t>
  </si>
  <si>
    <t>Maquinaria CNC 2020</t>
  </si>
  <si>
    <t>AF-502</t>
  </si>
  <si>
    <t>AF-503</t>
  </si>
  <si>
    <t>Equipo Especializado</t>
  </si>
  <si>
    <t>AF-504</t>
  </si>
  <si>
    <t>Edificio Norte</t>
  </si>
  <si>
    <t>AF-505</t>
  </si>
  <si>
    <t>Computadores 50 Und</t>
  </si>
  <si>
    <t>DETECCIÓN DE ACTIVOS FICTICIOS</t>
  </si>
  <si>
    <t>Activos verificados:</t>
  </si>
  <si>
    <t>Activos ficticios detectados:</t>
  </si>
  <si>
    <t>Valor de activos ficticios:</t>
  </si>
  <si>
    <t>Bajas requeridas:</t>
  </si>
  <si>
    <t>activos ficticios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</si>
</sst>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"/>
    <numFmt numFmtId="165" formatCode="dd/mm/yyyy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u/>
      <sz val="11"/>
      <color rgb="FF0563C1"/>
      <name val="Calibri"/>
      <family val="2"/>
    </font>
    <font>
      <b/>
      <sz val="14"/>
      <color rgb="FFFFFFFF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name val="Calibri"/>
      <family val="2"/>
    </font>
    <font>
      <b/>
      <sz val="11"/>
      <color rgb="FFFFA5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0" fillId="0" borderId="0" xfId="0" applyFont="1"/>
    <xf numFmtId="0" fontId="8" fillId="0" borderId="0" xfId="0" applyFont="1"/>
    <xf numFmtId="164" fontId="9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166" fontId="0" fillId="0" borderId="0" xfId="0" applyNumberFormat="1"/>
    <xf numFmtId="0" fontId="11" fillId="0" borderId="0" xfId="0" applyFon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6" fillId="0" borderId="0" xfId="0" applyFont="1"/>
    <xf numFmtId="0" fontId="5" fillId="3" borderId="0" xfId="0" applyFont="1" applyFill="1" applyAlignment="1">
      <alignment horizontal="center" vertical="center"/>
    </xf>
    <xf numFmtId="0" fontId="7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K6" sqref="K6"/>
    </sheetView>
  </sheetViews>
  <sheetFormatPr baseColWidth="10" defaultColWidth="9.140625" defaultRowHeight="15" x14ac:dyDescent="0.25"/>
  <cols>
    <col min="1" max="1" width="8" customWidth="1"/>
    <col min="2" max="2" width="32" customWidth="1"/>
    <col min="3" max="3" width="28" customWidth="1"/>
    <col min="4" max="4" width="12" customWidth="1"/>
    <col min="5" max="5" width="15" customWidth="1"/>
    <col min="6" max="6" width="12" customWidth="1"/>
    <col min="7" max="8" width="15" customWidth="1"/>
    <col min="9" max="9" width="12" customWidth="1"/>
  </cols>
  <sheetData>
    <row r="1" spans="1:9" ht="2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</row>
    <row r="4" spans="1:9" x14ac:dyDescent="0.25">
      <c r="A4" t="s">
        <v>2</v>
      </c>
      <c r="B4" t="s">
        <v>3</v>
      </c>
    </row>
    <row r="5" spans="1:9" x14ac:dyDescent="0.25">
      <c r="A5" t="s">
        <v>4</v>
      </c>
      <c r="B5" t="s">
        <v>5</v>
      </c>
    </row>
    <row r="6" spans="1:9" x14ac:dyDescent="0.25">
      <c r="A6" t="s">
        <v>6</v>
      </c>
      <c r="B6" t="s">
        <v>7</v>
      </c>
    </row>
    <row r="7" spans="1:9" x14ac:dyDescent="0.25">
      <c r="A7" t="s">
        <v>8</v>
      </c>
      <c r="B7" t="s">
        <v>9</v>
      </c>
    </row>
    <row r="9" spans="1:9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</row>
    <row r="10" spans="1:9" x14ac:dyDescent="0.25">
      <c r="A10" t="s">
        <v>19</v>
      </c>
      <c r="B10" s="2" t="s">
        <v>20</v>
      </c>
      <c r="C10" t="s">
        <v>21</v>
      </c>
      <c r="D10">
        <f>PT_D.1_InspeccionFisica!I18</f>
        <v>0</v>
      </c>
      <c r="E10">
        <f>PT_D.1_InspeccionFisica!J18</f>
        <v>0</v>
      </c>
      <c r="F10">
        <f>PT_D.1_InspeccionFisica!B25</f>
        <v>2</v>
      </c>
      <c r="G10" s="3">
        <f>PT_D.1_InspeccionFisica!D26</f>
        <v>480000000</v>
      </c>
      <c r="H10" t="s">
        <v>22</v>
      </c>
      <c r="I10" s="4">
        <f t="shared" ref="I10:I21" ca="1" si="0">TODAY()</f>
        <v>45978</v>
      </c>
    </row>
    <row r="11" spans="1:9" x14ac:dyDescent="0.25">
      <c r="A11" t="s">
        <v>23</v>
      </c>
      <c r="B11" s="2" t="s">
        <v>24</v>
      </c>
      <c r="C11" t="s">
        <v>25</v>
      </c>
      <c r="D11" t="str">
        <f>PT_D.2_Adiciones!H16</f>
        <v>RIESGO GLOBAL:</v>
      </c>
      <c r="E11" t="str">
        <f>PT_D.2_Adiciones!I16</f>
        <v>CRÍTICO</v>
      </c>
      <c r="F11">
        <f>PT_D.2_Adiciones!B22</f>
        <v>1</v>
      </c>
      <c r="G11" s="3">
        <f>PT_D.2_Adiciones!D23</f>
        <v>94000000</v>
      </c>
      <c r="H11" t="s">
        <v>22</v>
      </c>
      <c r="I11" s="4">
        <f t="shared" ca="1" si="0"/>
        <v>45978</v>
      </c>
    </row>
    <row r="12" spans="1:9" x14ac:dyDescent="0.25">
      <c r="A12" t="s">
        <v>26</v>
      </c>
      <c r="B12" s="2" t="s">
        <v>27</v>
      </c>
      <c r="C12" t="s">
        <v>28</v>
      </c>
      <c r="D12" t="str">
        <f>PT_D.3_Retiros!H16</f>
        <v>RIESGO GLOBAL:</v>
      </c>
      <c r="E12" t="str">
        <f>PT_D.3_Retiros!I16</f>
        <v>CRÍTICO</v>
      </c>
      <c r="F12">
        <f>PT_D.3_Retiros!B21</f>
        <v>4</v>
      </c>
      <c r="G12" s="3">
        <f>PT_D.3_Retiros!D22</f>
        <v>26000000</v>
      </c>
      <c r="H12" t="s">
        <v>22</v>
      </c>
      <c r="I12" s="4">
        <f t="shared" ca="1" si="0"/>
        <v>45978</v>
      </c>
    </row>
    <row r="13" spans="1:9" x14ac:dyDescent="0.25">
      <c r="A13" t="s">
        <v>29</v>
      </c>
      <c r="B13" s="2" t="s">
        <v>30</v>
      </c>
      <c r="C13" t="s">
        <v>31</v>
      </c>
      <c r="D13" t="str">
        <f>PT_D.4_Certificados!H16</f>
        <v>RIESGO GLOBAL:</v>
      </c>
      <c r="E13" t="str">
        <f>PT_D.4_Certificados!I16</f>
        <v>CRÍTICO</v>
      </c>
      <c r="F13">
        <f>PT_D.4_Certificados!B20</f>
        <v>2</v>
      </c>
      <c r="G13" s="3">
        <f>PT_D.4_Certificados!D21</f>
        <v>1500000000</v>
      </c>
      <c r="H13" t="s">
        <v>22</v>
      </c>
      <c r="I13" s="4">
        <f t="shared" ca="1" si="0"/>
        <v>45978</v>
      </c>
    </row>
    <row r="14" spans="1:9" x14ac:dyDescent="0.25">
      <c r="A14" t="s">
        <v>32</v>
      </c>
      <c r="B14" s="2" t="s">
        <v>33</v>
      </c>
      <c r="C14" t="s">
        <v>34</v>
      </c>
      <c r="D14" t="str">
        <f>PT_D.5_Depreciacion!I17</f>
        <v>RIESGO GLOBAL:</v>
      </c>
      <c r="E14" t="str">
        <f>PT_D.5_Depreciacion!J17</f>
        <v>BAJO</v>
      </c>
      <c r="F14">
        <f>PT_D.5_Depreciacion!B24</f>
        <v>0</v>
      </c>
      <c r="G14" s="3">
        <f>PT_D.5_Depreciacion!D25</f>
        <v>0.3333333320915699</v>
      </c>
      <c r="H14" t="s">
        <v>22</v>
      </c>
      <c r="I14" s="4">
        <f t="shared" ca="1" si="0"/>
        <v>45978</v>
      </c>
    </row>
    <row r="15" spans="1:9" x14ac:dyDescent="0.25">
      <c r="A15" t="s">
        <v>35</v>
      </c>
      <c r="B15" s="2" t="s">
        <v>36</v>
      </c>
      <c r="C15" t="s">
        <v>37</v>
      </c>
      <c r="D15" t="str">
        <f>PT_D.6_Reparaciones!H16</f>
        <v>RIESGO GLOBAL:</v>
      </c>
      <c r="E15" t="str">
        <f>PT_D.6_Reparaciones!I16</f>
        <v>ALTO</v>
      </c>
      <c r="F15">
        <f>PT_D.6_Reparaciones!B22</f>
        <v>4</v>
      </c>
      <c r="G15" s="3">
        <f>PT_D.6_Reparaciones!D23</f>
        <v>26200000</v>
      </c>
      <c r="H15" t="s">
        <v>22</v>
      </c>
      <c r="I15" s="4">
        <f t="shared" ca="1" si="0"/>
        <v>45978</v>
      </c>
    </row>
    <row r="16" spans="1:9" x14ac:dyDescent="0.25">
      <c r="A16" t="s">
        <v>38</v>
      </c>
      <c r="B16" s="2" t="s">
        <v>39</v>
      </c>
      <c r="C16" t="s">
        <v>40</v>
      </c>
      <c r="D16" t="str">
        <f>PT_D.7_TotalDepreciados!H16</f>
        <v>RIESGO GLOBAL:</v>
      </c>
      <c r="E16" t="str">
        <f>PT_D.7_TotalDepreciados!I16</f>
        <v>MEDIO</v>
      </c>
      <c r="F16">
        <f>PT_D.7_TotalDepreciados!B21</f>
        <v>4</v>
      </c>
      <c r="G16" s="3">
        <f>PT_D.7_TotalDepreciados!D22</f>
        <v>623000000</v>
      </c>
      <c r="H16" t="s">
        <v>22</v>
      </c>
      <c r="I16" s="4">
        <f t="shared" ca="1" si="0"/>
        <v>45978</v>
      </c>
    </row>
    <row r="17" spans="1:9" x14ac:dyDescent="0.25">
      <c r="A17" t="s">
        <v>41</v>
      </c>
      <c r="B17" s="2" t="s">
        <v>42</v>
      </c>
      <c r="C17" t="s">
        <v>43</v>
      </c>
      <c r="D17" t="str">
        <f>PT_D.8_Revaluaciones!H16</f>
        <v>RIESGO GLOBAL:</v>
      </c>
      <c r="E17" t="str">
        <f>PT_D.8_Revaluaciones!I16</f>
        <v>CRÍTICO</v>
      </c>
      <c r="F17">
        <f>PT_D.8_Revaluaciones!B21</f>
        <v>2</v>
      </c>
      <c r="G17" s="3">
        <f>PT_D.8_Revaluaciones!D22</f>
        <v>965000000</v>
      </c>
      <c r="H17" t="s">
        <v>22</v>
      </c>
      <c r="I17" s="4">
        <f t="shared" ca="1" si="0"/>
        <v>45978</v>
      </c>
    </row>
    <row r="18" spans="1:9" x14ac:dyDescent="0.25">
      <c r="A18" t="s">
        <v>44</v>
      </c>
      <c r="B18" s="2" t="s">
        <v>45</v>
      </c>
      <c r="C18" t="s">
        <v>46</v>
      </c>
      <c r="D18" t="str">
        <f>PT_D.9_Arrendados!H16</f>
        <v>RIESGO GLOBAL:</v>
      </c>
      <c r="E18" t="str">
        <f>PT_D.9_Arrendados!I16</f>
        <v>CRÍTICO</v>
      </c>
      <c r="F18">
        <f>PT_D.9_Arrendados!B21</f>
        <v>2</v>
      </c>
      <c r="G18" s="3">
        <f>PT_D.9_Arrendados!D22</f>
        <v>125000000</v>
      </c>
      <c r="H18" t="s">
        <v>22</v>
      </c>
      <c r="I18" s="4">
        <f t="shared" ca="1" si="0"/>
        <v>45978</v>
      </c>
    </row>
    <row r="19" spans="1:9" x14ac:dyDescent="0.25">
      <c r="A19" t="s">
        <v>47</v>
      </c>
      <c r="B19" s="2" t="s">
        <v>48</v>
      </c>
      <c r="C19" t="s">
        <v>49</v>
      </c>
      <c r="D19" t="str">
        <f>PT_D.10_Politicas!I17</f>
        <v>RIESGO GLOBAL:</v>
      </c>
      <c r="E19" t="str">
        <f>PT_D.10_Politicas!J17</f>
        <v>ALTO</v>
      </c>
      <c r="F19">
        <f>PT_D.10_Politicas!B23</f>
        <v>3</v>
      </c>
      <c r="G19" s="3" t="str">
        <f>PT_D.10_Politicas!D24</f>
        <v>Impacto: Posible sobreestimación del gasto</v>
      </c>
      <c r="H19" t="s">
        <v>22</v>
      </c>
      <c r="I19" s="4">
        <f t="shared" ca="1" si="0"/>
        <v>45978</v>
      </c>
    </row>
    <row r="20" spans="1:9" x14ac:dyDescent="0.25">
      <c r="A20" t="s">
        <v>50</v>
      </c>
      <c r="B20" s="2" t="s">
        <v>51</v>
      </c>
      <c r="C20" t="s">
        <v>52</v>
      </c>
      <c r="D20" t="str">
        <f>PT_D.11_Ventas!I17</f>
        <v>RIESGO GLOBAL:</v>
      </c>
      <c r="E20" t="str">
        <f>PT_D.11_Ventas!J17</f>
        <v>BAJO</v>
      </c>
      <c r="F20">
        <f>PT_D.11_Ventas!B23</f>
        <v>0</v>
      </c>
      <c r="G20" s="3">
        <f>PT_D.11_Ventas!D24</f>
        <v>0</v>
      </c>
      <c r="H20" t="s">
        <v>22</v>
      </c>
      <c r="I20" s="4">
        <f t="shared" ca="1" si="0"/>
        <v>45978</v>
      </c>
    </row>
    <row r="21" spans="1:9" x14ac:dyDescent="0.25">
      <c r="A21" t="s">
        <v>53</v>
      </c>
      <c r="B21" s="2" t="s">
        <v>54</v>
      </c>
      <c r="C21" t="s">
        <v>55</v>
      </c>
      <c r="D21" t="str">
        <f>PT_D.12_Ficticios!H16</f>
        <v>RIESGO GLOBAL:</v>
      </c>
      <c r="E21" t="str">
        <f>PT_D.12_Ficticios!I16</f>
        <v>CRÍTICO</v>
      </c>
      <c r="F21">
        <f>PT_D.12_Ficticios!B21</f>
        <v>2</v>
      </c>
      <c r="G21" s="3">
        <f>PT_D.12_Ficticios!D22</f>
        <v>905000000</v>
      </c>
      <c r="H21" t="s">
        <v>22</v>
      </c>
      <c r="I21" s="4">
        <f t="shared" ca="1" si="0"/>
        <v>45978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sqref="A1:K1"/>
    </sheetView>
  </sheetViews>
  <sheetFormatPr baseColWidth="10" defaultColWidth="9.140625" defaultRowHeight="15" x14ac:dyDescent="0.25"/>
  <cols>
    <col min="1" max="1" width="13" customWidth="1"/>
    <col min="2" max="2" width="25" customWidth="1"/>
    <col min="3" max="3" width="18" customWidth="1"/>
    <col min="4" max="10" width="13" customWidth="1"/>
    <col min="11" max="11" width="22" customWidth="1"/>
  </cols>
  <sheetData>
    <row r="1" spans="1:11" ht="18.75" x14ac:dyDescent="0.25">
      <c r="A1" s="17" t="s">
        <v>56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6" t="s">
        <v>57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58</v>
      </c>
      <c r="B4" s="4" t="s">
        <v>7</v>
      </c>
    </row>
    <row r="7" spans="1:11" ht="25.5" x14ac:dyDescent="0.25">
      <c r="A7" s="1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66</v>
      </c>
      <c r="I7" s="1" t="s">
        <v>67</v>
      </c>
      <c r="J7" s="1" t="s">
        <v>68</v>
      </c>
      <c r="K7" s="1" t="s">
        <v>69</v>
      </c>
    </row>
    <row r="8" spans="1:11" x14ac:dyDescent="0.25">
      <c r="A8" t="s">
        <v>70</v>
      </c>
      <c r="B8" t="s">
        <v>71</v>
      </c>
      <c r="C8" t="s">
        <v>72</v>
      </c>
      <c r="D8" s="5">
        <v>125000000</v>
      </c>
      <c r="E8" t="s">
        <v>73</v>
      </c>
      <c r="F8" t="s">
        <v>74</v>
      </c>
      <c r="G8" t="s">
        <v>73</v>
      </c>
      <c r="H8" t="s">
        <v>73</v>
      </c>
      <c r="I8" t="str">
        <f t="shared" ref="I8:I17" si="0">IF(E8="NO","CRÍTICO",IF(G8="NO","ALTO",IF(AND(F8="Malo",H8="NO"),"MEDIO","BAJO")))</f>
        <v>BAJO</v>
      </c>
      <c r="J8" t="str">
        <f t="shared" ref="J8:J17" si="1">IF(I8="CRÍTICO","⛔ NO UBICADO",IF(I8="ALTO","🔴 VERIFICAR",IF(I8="MEDIO","⚠ DETERIORADO","✓ OK")))</f>
        <v>✓ OK</v>
      </c>
      <c r="K8" t="str">
        <f t="shared" ref="K8:K17" si="2">IF(E8="NO","Investigar pérdida",IF(G8="NO","Verificar identidad",IF(F8="Malo","Evaluar deterioro","Ninguna")))</f>
        <v>Ninguna</v>
      </c>
    </row>
    <row r="9" spans="1:11" x14ac:dyDescent="0.25">
      <c r="A9" t="s">
        <v>75</v>
      </c>
      <c r="B9" t="s">
        <v>76</v>
      </c>
      <c r="C9" t="s">
        <v>77</v>
      </c>
      <c r="D9" s="5">
        <v>385000000</v>
      </c>
      <c r="E9" t="s">
        <v>78</v>
      </c>
      <c r="F9" t="s">
        <v>79</v>
      </c>
      <c r="G9" t="s">
        <v>79</v>
      </c>
      <c r="H9" t="s">
        <v>79</v>
      </c>
      <c r="I9" t="str">
        <f t="shared" si="0"/>
        <v>CRÍTICO</v>
      </c>
      <c r="J9" t="str">
        <f t="shared" si="1"/>
        <v>⛔ NO UBICADO</v>
      </c>
      <c r="K9" t="str">
        <f t="shared" si="2"/>
        <v>Investigar pérdida</v>
      </c>
    </row>
    <row r="10" spans="1:11" x14ac:dyDescent="0.25">
      <c r="A10" t="s">
        <v>80</v>
      </c>
      <c r="B10" t="s">
        <v>81</v>
      </c>
      <c r="C10" t="s">
        <v>82</v>
      </c>
      <c r="D10" s="5">
        <v>2800000000</v>
      </c>
      <c r="E10" t="s">
        <v>73</v>
      </c>
      <c r="F10" t="s">
        <v>74</v>
      </c>
      <c r="G10" t="s">
        <v>79</v>
      </c>
      <c r="H10" t="s">
        <v>73</v>
      </c>
      <c r="I10" t="str">
        <f t="shared" si="0"/>
        <v>BAJO</v>
      </c>
      <c r="J10" t="str">
        <f t="shared" si="1"/>
        <v>✓ OK</v>
      </c>
      <c r="K10" t="str">
        <f t="shared" si="2"/>
        <v>Ninguna</v>
      </c>
    </row>
    <row r="11" spans="1:11" x14ac:dyDescent="0.25">
      <c r="A11" t="s">
        <v>83</v>
      </c>
      <c r="B11" t="s">
        <v>84</v>
      </c>
      <c r="C11" t="s">
        <v>85</v>
      </c>
      <c r="D11" s="5">
        <v>185000000</v>
      </c>
      <c r="E11" t="s">
        <v>73</v>
      </c>
      <c r="F11" t="s">
        <v>86</v>
      </c>
      <c r="G11" t="s">
        <v>73</v>
      </c>
      <c r="H11" t="s">
        <v>73</v>
      </c>
      <c r="I11" t="str">
        <f t="shared" si="0"/>
        <v>BAJO</v>
      </c>
      <c r="J11" t="str">
        <f t="shared" si="1"/>
        <v>✓ OK</v>
      </c>
      <c r="K11" t="str">
        <f t="shared" si="2"/>
        <v>Ninguna</v>
      </c>
    </row>
    <row r="12" spans="1:11" x14ac:dyDescent="0.25">
      <c r="A12" t="s">
        <v>87</v>
      </c>
      <c r="B12" t="s">
        <v>88</v>
      </c>
      <c r="C12" t="s">
        <v>89</v>
      </c>
      <c r="D12" s="5">
        <v>520000000</v>
      </c>
      <c r="E12" t="s">
        <v>73</v>
      </c>
      <c r="F12" t="s">
        <v>90</v>
      </c>
      <c r="G12" t="s">
        <v>73</v>
      </c>
      <c r="H12" t="s">
        <v>78</v>
      </c>
      <c r="I12" t="str">
        <f t="shared" si="0"/>
        <v>MEDIO</v>
      </c>
      <c r="J12" t="str">
        <f t="shared" si="1"/>
        <v>⚠ DETERIORADO</v>
      </c>
      <c r="K12" t="str">
        <f t="shared" si="2"/>
        <v>Evaluar deterioro</v>
      </c>
    </row>
    <row r="13" spans="1:11" x14ac:dyDescent="0.25">
      <c r="A13" t="s">
        <v>91</v>
      </c>
      <c r="B13" t="s">
        <v>92</v>
      </c>
      <c r="C13" t="s">
        <v>93</v>
      </c>
      <c r="D13" s="5">
        <v>95000000</v>
      </c>
      <c r="E13" t="s">
        <v>78</v>
      </c>
      <c r="F13" t="s">
        <v>79</v>
      </c>
      <c r="G13" t="s">
        <v>79</v>
      </c>
      <c r="H13" t="s">
        <v>79</v>
      </c>
      <c r="I13" t="str">
        <f t="shared" si="0"/>
        <v>CRÍTICO</v>
      </c>
      <c r="J13" t="str">
        <f t="shared" si="1"/>
        <v>⛔ NO UBICADO</v>
      </c>
      <c r="K13" t="str">
        <f t="shared" si="2"/>
        <v>Investigar pérdida</v>
      </c>
    </row>
    <row r="14" spans="1:11" x14ac:dyDescent="0.25">
      <c r="A14" t="s">
        <v>94</v>
      </c>
      <c r="B14" t="s">
        <v>95</v>
      </c>
      <c r="C14" t="s">
        <v>96</v>
      </c>
      <c r="D14" s="5">
        <v>45000000</v>
      </c>
      <c r="E14" t="s">
        <v>73</v>
      </c>
      <c r="F14" t="s">
        <v>74</v>
      </c>
      <c r="G14" t="s">
        <v>79</v>
      </c>
      <c r="H14" t="s">
        <v>73</v>
      </c>
      <c r="I14" t="str">
        <f t="shared" si="0"/>
        <v>BAJO</v>
      </c>
      <c r="J14" t="str">
        <f t="shared" si="1"/>
        <v>✓ OK</v>
      </c>
      <c r="K14" t="str">
        <f t="shared" si="2"/>
        <v>Ninguna</v>
      </c>
    </row>
    <row r="15" spans="1:11" x14ac:dyDescent="0.25">
      <c r="A15" t="s">
        <v>97</v>
      </c>
      <c r="B15" t="s">
        <v>98</v>
      </c>
      <c r="C15" t="s">
        <v>99</v>
      </c>
      <c r="D15" s="5">
        <v>280000000</v>
      </c>
      <c r="E15" t="s">
        <v>73</v>
      </c>
      <c r="F15" t="s">
        <v>74</v>
      </c>
      <c r="G15" t="s">
        <v>73</v>
      </c>
      <c r="H15" t="s">
        <v>73</v>
      </c>
      <c r="I15" t="str">
        <f t="shared" si="0"/>
        <v>BAJO</v>
      </c>
      <c r="J15" t="str">
        <f t="shared" si="1"/>
        <v>✓ OK</v>
      </c>
      <c r="K15" t="str">
        <f t="shared" si="2"/>
        <v>Ninguna</v>
      </c>
    </row>
    <row r="16" spans="1:11" x14ac:dyDescent="0.25">
      <c r="A16" t="s">
        <v>100</v>
      </c>
      <c r="B16" t="s">
        <v>101</v>
      </c>
      <c r="C16" t="s">
        <v>102</v>
      </c>
      <c r="D16" s="5">
        <v>425000000</v>
      </c>
      <c r="E16" t="s">
        <v>73</v>
      </c>
      <c r="F16" t="s">
        <v>74</v>
      </c>
      <c r="G16" t="s">
        <v>78</v>
      </c>
      <c r="H16" t="s">
        <v>73</v>
      </c>
      <c r="I16" t="str">
        <f t="shared" si="0"/>
        <v>ALTO</v>
      </c>
      <c r="J16" t="str">
        <f t="shared" si="1"/>
        <v>🔴 VERIFICAR</v>
      </c>
      <c r="K16" t="str">
        <f t="shared" si="2"/>
        <v>Verificar identidad</v>
      </c>
    </row>
    <row r="17" spans="1:11" x14ac:dyDescent="0.25">
      <c r="A17" t="s">
        <v>103</v>
      </c>
      <c r="B17" t="s">
        <v>104</v>
      </c>
      <c r="C17" t="s">
        <v>105</v>
      </c>
      <c r="D17" s="5">
        <v>185000000</v>
      </c>
      <c r="E17" t="s">
        <v>73</v>
      </c>
      <c r="F17" t="s">
        <v>86</v>
      </c>
      <c r="G17" t="s">
        <v>73</v>
      </c>
      <c r="H17" t="s">
        <v>73</v>
      </c>
      <c r="I17" t="str">
        <f t="shared" si="0"/>
        <v>BAJO</v>
      </c>
      <c r="J17" t="str">
        <f t="shared" si="1"/>
        <v>✓ OK</v>
      </c>
      <c r="K17" t="str">
        <f t="shared" si="2"/>
        <v>Ninguna</v>
      </c>
    </row>
    <row r="19" spans="1:11" x14ac:dyDescent="0.25">
      <c r="A19" s="18" t="s">
        <v>106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5.75" x14ac:dyDescent="0.25">
      <c r="A20" t="s">
        <v>107</v>
      </c>
      <c r="B20">
        <f>COUNTA(A8:A17)</f>
        <v>10</v>
      </c>
      <c r="I20" t="s">
        <v>108</v>
      </c>
      <c r="J20" s="6" t="str">
        <f>IF(B22&gt;2,"CRÍTICO",IF(B22&gt;0,"ALTO",IF(B24&gt;0,"MEDIO","BAJO")))</f>
        <v>ALTO</v>
      </c>
    </row>
    <row r="21" spans="1:11" x14ac:dyDescent="0.25">
      <c r="A21" t="s">
        <v>109</v>
      </c>
      <c r="B21">
        <f>COUNTIF(E8:E17,"SÍ")</f>
        <v>8</v>
      </c>
    </row>
    <row r="22" spans="1:11" x14ac:dyDescent="0.25">
      <c r="A22" t="s">
        <v>110</v>
      </c>
      <c r="B22" s="7">
        <f>COUNTIF(E8:E17,"NO")</f>
        <v>2</v>
      </c>
    </row>
    <row r="23" spans="1:11" x14ac:dyDescent="0.25">
      <c r="A23" t="s">
        <v>111</v>
      </c>
      <c r="B23" s="8">
        <f>SUMIF(E8:E17,"NO",D8:D17)</f>
        <v>480000000</v>
      </c>
    </row>
    <row r="24" spans="1:11" x14ac:dyDescent="0.25">
      <c r="A24" t="s">
        <v>112</v>
      </c>
      <c r="B24">
        <f>COUNTIF(G8:G17,"NO")</f>
        <v>1</v>
      </c>
    </row>
    <row r="25" spans="1:11" x14ac:dyDescent="0.25">
      <c r="A25" t="s">
        <v>113</v>
      </c>
      <c r="B25">
        <f>B22</f>
        <v>2</v>
      </c>
      <c r="C25" t="s">
        <v>114</v>
      </c>
    </row>
    <row r="26" spans="1:11" x14ac:dyDescent="0.25">
      <c r="D26" s="3">
        <f>B23</f>
        <v>480000000</v>
      </c>
    </row>
  </sheetData>
  <mergeCells count="3">
    <mergeCell ref="A2:K2"/>
    <mergeCell ref="A1:K1"/>
    <mergeCell ref="A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H27" sqref="H27"/>
    </sheetView>
  </sheetViews>
  <sheetFormatPr baseColWidth="10" defaultColWidth="9.140625" defaultRowHeight="15" x14ac:dyDescent="0.25"/>
  <cols>
    <col min="1" max="1" width="15" customWidth="1"/>
    <col min="2" max="2" width="25" customWidth="1"/>
    <col min="3" max="9" width="15" customWidth="1"/>
    <col min="10" max="10" width="22" customWidth="1"/>
  </cols>
  <sheetData>
    <row r="1" spans="1:10" ht="18.75" x14ac:dyDescent="0.25">
      <c r="A1" s="17" t="s">
        <v>115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116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117</v>
      </c>
      <c r="B4" t="s">
        <v>118</v>
      </c>
    </row>
    <row r="7" spans="1:10" ht="25.5" x14ac:dyDescent="0.25">
      <c r="A7" s="9" t="s">
        <v>119</v>
      </c>
      <c r="B7" s="9" t="s">
        <v>60</v>
      </c>
      <c r="C7" s="9" t="s">
        <v>120</v>
      </c>
      <c r="D7" s="9" t="s">
        <v>121</v>
      </c>
      <c r="E7" s="9" t="s">
        <v>122</v>
      </c>
      <c r="F7" s="9" t="s">
        <v>123</v>
      </c>
      <c r="G7" s="9" t="s">
        <v>124</v>
      </c>
      <c r="H7" s="9" t="s">
        <v>67</v>
      </c>
      <c r="I7" s="9" t="s">
        <v>68</v>
      </c>
      <c r="J7" s="9" t="s">
        <v>69</v>
      </c>
    </row>
    <row r="8" spans="1:10" x14ac:dyDescent="0.25">
      <c r="A8" s="4" t="s">
        <v>125</v>
      </c>
      <c r="B8" t="s">
        <v>126</v>
      </c>
      <c r="C8" s="5">
        <v>125000000</v>
      </c>
      <c r="D8" t="s">
        <v>73</v>
      </c>
      <c r="E8" t="s">
        <v>127</v>
      </c>
      <c r="F8" t="s">
        <v>73</v>
      </c>
      <c r="G8" t="s">
        <v>127</v>
      </c>
      <c r="H8" t="str">
        <f t="shared" ref="H8:H13" si="0">IF(D8="NO","CRÍTICO",IF(E8&lt;&gt;G8,"ALTO",IF(F8="NO","MEDIO","BAJO")))</f>
        <v>BAJO</v>
      </c>
      <c r="I8" t="str">
        <f t="shared" ref="I8:I13" si="1">IF(H8="CRÍTICO","⛔ SIN SOPORTE",IF(H8="ALTO","🔴 MAL AUTORIZADA",IF(H8="MEDIO","⚠ NO CUMPLE","✓ CORRECTA")))</f>
        <v>✓ CORRECTA</v>
      </c>
      <c r="J8" t="str">
        <f t="shared" ref="J8:J13" si="2">IF(D8="NO","Obtener soporte",IF(E8&lt;&gt;G8,"Obtener autorización","Verificar criterio"))</f>
        <v>Verificar criterio</v>
      </c>
    </row>
    <row r="9" spans="1:10" x14ac:dyDescent="0.25">
      <c r="A9" s="4" t="s">
        <v>128</v>
      </c>
      <c r="B9" t="s">
        <v>129</v>
      </c>
      <c r="C9" s="5">
        <v>8500000</v>
      </c>
      <c r="D9" t="s">
        <v>73</v>
      </c>
      <c r="E9" t="s">
        <v>130</v>
      </c>
      <c r="F9" t="s">
        <v>78</v>
      </c>
      <c r="G9" t="s">
        <v>127</v>
      </c>
      <c r="H9" t="str">
        <f t="shared" si="0"/>
        <v>ALTO</v>
      </c>
      <c r="I9" t="str">
        <f t="shared" si="1"/>
        <v>🔴 MAL AUTORIZADA</v>
      </c>
      <c r="J9" t="str">
        <f t="shared" si="2"/>
        <v>Obtener autorización</v>
      </c>
    </row>
    <row r="10" spans="1:10" x14ac:dyDescent="0.25">
      <c r="A10" s="4" t="s">
        <v>131</v>
      </c>
      <c r="B10" t="s">
        <v>132</v>
      </c>
      <c r="C10" s="5">
        <v>385000000</v>
      </c>
      <c r="D10" t="s">
        <v>73</v>
      </c>
      <c r="E10" t="s">
        <v>133</v>
      </c>
      <c r="F10" t="s">
        <v>73</v>
      </c>
      <c r="G10" t="s">
        <v>133</v>
      </c>
      <c r="H10" t="str">
        <f t="shared" si="0"/>
        <v>BAJO</v>
      </c>
      <c r="I10" t="str">
        <f t="shared" si="1"/>
        <v>✓ CORRECTA</v>
      </c>
      <c r="J10" t="str">
        <f t="shared" si="2"/>
        <v>Verificar criterio</v>
      </c>
    </row>
    <row r="11" spans="1:10" x14ac:dyDescent="0.25">
      <c r="A11" s="4" t="s">
        <v>134</v>
      </c>
      <c r="B11" t="s">
        <v>135</v>
      </c>
      <c r="C11" s="5">
        <v>45000000</v>
      </c>
      <c r="D11" t="s">
        <v>73</v>
      </c>
      <c r="E11" t="s">
        <v>136</v>
      </c>
      <c r="F11" t="s">
        <v>73</v>
      </c>
      <c r="G11" t="s">
        <v>127</v>
      </c>
      <c r="H11" t="str">
        <f t="shared" si="0"/>
        <v>ALTO</v>
      </c>
      <c r="I11" t="str">
        <f t="shared" si="1"/>
        <v>🔴 MAL AUTORIZADA</v>
      </c>
      <c r="J11" t="str">
        <f t="shared" si="2"/>
        <v>Obtener autorización</v>
      </c>
    </row>
    <row r="12" spans="1:10" x14ac:dyDescent="0.25">
      <c r="A12" s="4" t="s">
        <v>137</v>
      </c>
      <c r="B12" t="s">
        <v>138</v>
      </c>
      <c r="C12" s="5">
        <v>28000000</v>
      </c>
      <c r="D12" t="s">
        <v>78</v>
      </c>
      <c r="E12" t="s">
        <v>130</v>
      </c>
      <c r="F12" t="s">
        <v>73</v>
      </c>
      <c r="G12" t="s">
        <v>127</v>
      </c>
      <c r="H12" t="str">
        <f t="shared" si="0"/>
        <v>CRÍTICO</v>
      </c>
      <c r="I12" t="str">
        <f t="shared" si="1"/>
        <v>⛔ SIN SOPORTE</v>
      </c>
      <c r="J12" t="str">
        <f t="shared" si="2"/>
        <v>Obtener soporte</v>
      </c>
    </row>
    <row r="13" spans="1:10" x14ac:dyDescent="0.25">
      <c r="A13" s="4" t="s">
        <v>139</v>
      </c>
      <c r="B13" t="s">
        <v>140</v>
      </c>
      <c r="C13" s="5">
        <v>12500000</v>
      </c>
      <c r="D13" t="s">
        <v>73</v>
      </c>
      <c r="E13" t="s">
        <v>141</v>
      </c>
      <c r="F13" t="s">
        <v>73</v>
      </c>
      <c r="G13" t="s">
        <v>127</v>
      </c>
      <c r="H13" t="str">
        <f t="shared" si="0"/>
        <v>ALTO</v>
      </c>
      <c r="I13" t="str">
        <f t="shared" si="1"/>
        <v>🔴 MAL AUTORIZADA</v>
      </c>
      <c r="J13" t="str">
        <f t="shared" si="2"/>
        <v>Obtener autorización</v>
      </c>
    </row>
    <row r="15" spans="1:10" x14ac:dyDescent="0.25">
      <c r="A15" s="19" t="s">
        <v>142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15.75" x14ac:dyDescent="0.25">
      <c r="A16" t="s">
        <v>143</v>
      </c>
      <c r="B16">
        <f>COUNTA(A8:A13)</f>
        <v>6</v>
      </c>
      <c r="H16" t="s">
        <v>108</v>
      </c>
      <c r="I16" s="6" t="str">
        <f>IF(B17&gt;0,"CRÍTICO",IF(B18&gt;0,"ALTO","BAJO"))</f>
        <v>CRÍTICO</v>
      </c>
    </row>
    <row r="17" spans="1:4" x14ac:dyDescent="0.25">
      <c r="A17" t="s">
        <v>144</v>
      </c>
      <c r="B17">
        <f>COUNTIF(D8:D13,"NO")</f>
        <v>1</v>
      </c>
    </row>
    <row r="18" spans="1:4" x14ac:dyDescent="0.25">
      <c r="A18" t="s">
        <v>145</v>
      </c>
      <c r="B18">
        <f>COUNTIFS(E8:E13,"&lt;&gt;"&amp;G8:G13)</f>
        <v>0</v>
      </c>
    </row>
    <row r="19" spans="1:4" x14ac:dyDescent="0.25">
      <c r="A19" t="s">
        <v>146</v>
      </c>
      <c r="B19" s="8">
        <f>SUMIF(H8:H13,"&lt;&gt;BAJO",C8:C13)</f>
        <v>94000000</v>
      </c>
    </row>
    <row r="22" spans="1:4" x14ac:dyDescent="0.25">
      <c r="A22" t="s">
        <v>147</v>
      </c>
      <c r="B22">
        <f>B17+B18</f>
        <v>1</v>
      </c>
      <c r="C22" t="s">
        <v>148</v>
      </c>
    </row>
    <row r="23" spans="1:4" x14ac:dyDescent="0.25">
      <c r="D23" s="3">
        <f>B19</f>
        <v>94000000</v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baseColWidth="10" defaultColWidth="9.140625" defaultRowHeight="15" x14ac:dyDescent="0.25"/>
  <cols>
    <col min="1" max="2" width="15" customWidth="1"/>
    <col min="3" max="3" width="22" customWidth="1"/>
    <col min="4" max="9" width="15" customWidth="1"/>
    <col min="10" max="10" width="28" customWidth="1"/>
  </cols>
  <sheetData>
    <row r="1" spans="1:10" ht="18.75" x14ac:dyDescent="0.25">
      <c r="A1" s="17" t="s">
        <v>149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150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117</v>
      </c>
      <c r="B4" t="s">
        <v>118</v>
      </c>
    </row>
    <row r="7" spans="1:10" ht="25.5" x14ac:dyDescent="0.25">
      <c r="A7" s="9" t="s">
        <v>119</v>
      </c>
      <c r="B7" s="9" t="s">
        <v>59</v>
      </c>
      <c r="C7" s="9" t="s">
        <v>60</v>
      </c>
      <c r="D7" s="9" t="s">
        <v>151</v>
      </c>
      <c r="E7" s="9" t="s">
        <v>152</v>
      </c>
      <c r="F7" s="9" t="s">
        <v>153</v>
      </c>
      <c r="G7" s="9" t="s">
        <v>154</v>
      </c>
      <c r="H7" s="9" t="s">
        <v>67</v>
      </c>
      <c r="I7" s="9" t="s">
        <v>68</v>
      </c>
      <c r="J7" s="9" t="s">
        <v>69</v>
      </c>
    </row>
    <row r="8" spans="1:10" x14ac:dyDescent="0.25">
      <c r="A8" s="4" t="s">
        <v>155</v>
      </c>
      <c r="B8" t="s">
        <v>156</v>
      </c>
      <c r="C8" t="s">
        <v>157</v>
      </c>
      <c r="D8" s="5">
        <v>28000000</v>
      </c>
      <c r="E8" t="s">
        <v>158</v>
      </c>
      <c r="F8" t="s">
        <v>127</v>
      </c>
      <c r="G8" t="s">
        <v>127</v>
      </c>
      <c r="H8" t="str">
        <f>IF(F8&lt;&gt;G8,"CRÍTICO","BAJO")</f>
        <v>BAJO</v>
      </c>
      <c r="I8" t="str">
        <f>IF(H8="CRÍTICO","⛔ SIN AUTORIZAR","✓ CORRECTO")</f>
        <v>✓ CORRECTO</v>
      </c>
      <c r="J8" t="str">
        <f>IF(H8="CRÍTICO","Obtener autorización adecuada","Ninguna")</f>
        <v>Ninguna</v>
      </c>
    </row>
    <row r="9" spans="1:10" x14ac:dyDescent="0.25">
      <c r="A9" s="4" t="s">
        <v>159</v>
      </c>
      <c r="B9" t="s">
        <v>160</v>
      </c>
      <c r="C9" t="s">
        <v>161</v>
      </c>
      <c r="D9" s="5">
        <v>0</v>
      </c>
      <c r="E9" t="s">
        <v>162</v>
      </c>
      <c r="F9" t="s">
        <v>130</v>
      </c>
      <c r="G9" t="s">
        <v>127</v>
      </c>
      <c r="H9" t="str">
        <f>IF(F9&lt;&gt;G9,"CRÍTICO","BAJO")</f>
        <v>CRÍTICO</v>
      </c>
      <c r="I9" t="str">
        <f>IF(H9="CRÍTICO","⛔ SIN AUTORIZAR","✓ CORRECTO")</f>
        <v>⛔ SIN AUTORIZAR</v>
      </c>
      <c r="J9" t="str">
        <f>IF(H9="CRÍTICO","Obtener autorización adecuada","Ninguna")</f>
        <v>Obtener autorización adecuada</v>
      </c>
    </row>
    <row r="10" spans="1:10" x14ac:dyDescent="0.25">
      <c r="A10" s="4" t="s">
        <v>163</v>
      </c>
      <c r="B10" t="s">
        <v>164</v>
      </c>
      <c r="C10" t="s">
        <v>135</v>
      </c>
      <c r="D10" s="5">
        <v>8500000</v>
      </c>
      <c r="E10" t="s">
        <v>165</v>
      </c>
      <c r="F10" t="s">
        <v>136</v>
      </c>
      <c r="G10" t="s">
        <v>127</v>
      </c>
      <c r="H10" t="str">
        <f>IF(F10&lt;&gt;G10,"CRÍTICO","BAJO")</f>
        <v>CRÍTICO</v>
      </c>
      <c r="I10" t="str">
        <f>IF(H10="CRÍTICO","⛔ SIN AUTORIZAR","✓ CORRECTO")</f>
        <v>⛔ SIN AUTORIZAR</v>
      </c>
      <c r="J10" t="str">
        <f>IF(H10="CRÍTICO","Obtener autorización adecuada","Ninguna")</f>
        <v>Obtener autorización adecuada</v>
      </c>
    </row>
    <row r="11" spans="1:10" x14ac:dyDescent="0.25">
      <c r="A11" s="4" t="s">
        <v>166</v>
      </c>
      <c r="B11" t="s">
        <v>167</v>
      </c>
      <c r="C11" t="s">
        <v>168</v>
      </c>
      <c r="D11" s="5">
        <v>15000000</v>
      </c>
      <c r="E11" t="s">
        <v>169</v>
      </c>
      <c r="F11" t="s">
        <v>130</v>
      </c>
      <c r="G11" t="s">
        <v>170</v>
      </c>
      <c r="H11" t="str">
        <f>IF(F11&lt;&gt;G11,"CRÍTICO","BAJO")</f>
        <v>CRÍTICO</v>
      </c>
      <c r="I11" t="str">
        <f>IF(H11="CRÍTICO","⛔ SIN AUTORIZAR","✓ CORRECTO")</f>
        <v>⛔ SIN AUTORIZAR</v>
      </c>
      <c r="J11" t="str">
        <f>IF(H11="CRÍTICO","Obtener autorización adecuada","Ninguna")</f>
        <v>Obtener autorización adecuada</v>
      </c>
    </row>
    <row r="12" spans="1:10" x14ac:dyDescent="0.25">
      <c r="A12" s="4" t="s">
        <v>171</v>
      </c>
      <c r="B12" t="s">
        <v>172</v>
      </c>
      <c r="C12" t="s">
        <v>173</v>
      </c>
      <c r="D12" s="5">
        <v>2500000</v>
      </c>
      <c r="E12" t="s">
        <v>174</v>
      </c>
      <c r="F12" t="s">
        <v>175</v>
      </c>
      <c r="G12" t="s">
        <v>127</v>
      </c>
      <c r="H12" t="str">
        <f>IF(F12&lt;&gt;G12,"CRÍTICO","BAJO")</f>
        <v>CRÍTICO</v>
      </c>
      <c r="I12" t="str">
        <f>IF(H12="CRÍTICO","⛔ SIN AUTORIZAR","✓ CORRECTO")</f>
        <v>⛔ SIN AUTORIZAR</v>
      </c>
      <c r="J12" t="str">
        <f>IF(H12="CRÍTICO","Obtener autorización adecuada","Ninguna")</f>
        <v>Obtener autorización adecuada</v>
      </c>
    </row>
    <row r="14" spans="1:10" x14ac:dyDescent="0.25">
      <c r="A14" s="19" t="s">
        <v>176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t="s">
        <v>177</v>
      </c>
      <c r="B15">
        <f>COUNTA(B8:B12)</f>
        <v>5</v>
      </c>
    </row>
    <row r="16" spans="1:10" ht="15.75" x14ac:dyDescent="0.25">
      <c r="A16" t="s">
        <v>178</v>
      </c>
      <c r="B16" s="7">
        <f>COUNTIF(H8:H12,"CRÍTICO")</f>
        <v>4</v>
      </c>
      <c r="H16" t="s">
        <v>108</v>
      </c>
      <c r="I16" s="6" t="str">
        <f>IF(B16&gt;0,"CRÍTICO","BAJO")</f>
        <v>CRÍTICO</v>
      </c>
    </row>
    <row r="17" spans="1:4" x14ac:dyDescent="0.25">
      <c r="A17" t="s">
        <v>179</v>
      </c>
      <c r="B17" s="8">
        <f>SUMIF(H8:H12,"CRÍTICO",D8:D12)</f>
        <v>26000000</v>
      </c>
    </row>
    <row r="21" spans="1:4" x14ac:dyDescent="0.25">
      <c r="A21" t="s">
        <v>180</v>
      </c>
      <c r="B21">
        <f>B16</f>
        <v>4</v>
      </c>
    </row>
    <row r="22" spans="1:4" x14ac:dyDescent="0.25">
      <c r="D22" s="3">
        <f>B17</f>
        <v>26000000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baseColWidth="10" defaultColWidth="9.140625" defaultRowHeight="15" x14ac:dyDescent="0.25"/>
  <cols>
    <col min="1" max="1" width="20" customWidth="1"/>
    <col min="2" max="9" width="16" customWidth="1"/>
    <col min="10" max="10" width="25" customWidth="1"/>
  </cols>
  <sheetData>
    <row r="1" spans="1:10" ht="18.75" x14ac:dyDescent="0.25">
      <c r="A1" s="17" t="s">
        <v>181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182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183</v>
      </c>
      <c r="B4" t="s">
        <v>7</v>
      </c>
    </row>
    <row r="7" spans="1:10" ht="25.5" x14ac:dyDescent="0.25">
      <c r="A7" s="9" t="s">
        <v>184</v>
      </c>
      <c r="B7" s="9" t="s">
        <v>185</v>
      </c>
      <c r="C7" s="9" t="s">
        <v>62</v>
      </c>
      <c r="D7" s="9" t="s">
        <v>186</v>
      </c>
      <c r="E7" s="9" t="s">
        <v>187</v>
      </c>
      <c r="F7" s="9" t="s">
        <v>188</v>
      </c>
      <c r="G7" s="9" t="s">
        <v>189</v>
      </c>
      <c r="H7" s="9" t="s">
        <v>67</v>
      </c>
      <c r="I7" s="9" t="s">
        <v>68</v>
      </c>
      <c r="J7" s="9" t="s">
        <v>69</v>
      </c>
    </row>
    <row r="8" spans="1:10" x14ac:dyDescent="0.25">
      <c r="A8" t="s">
        <v>82</v>
      </c>
      <c r="B8" t="s">
        <v>190</v>
      </c>
      <c r="C8" s="5">
        <v>2800000000</v>
      </c>
      <c r="D8" t="s">
        <v>73</v>
      </c>
      <c r="E8" t="s">
        <v>191</v>
      </c>
      <c r="F8" t="s">
        <v>192</v>
      </c>
      <c r="G8" t="s">
        <v>193</v>
      </c>
      <c r="H8" t="str">
        <f>IF(D8="NO","CRÍTICO",IF(E8&lt;&gt;"La Empresa S.A.","ALTO","BAJO"))</f>
        <v>BAJO</v>
      </c>
      <c r="I8" t="str">
        <f>IF(H8="CRÍTICO","⛔ SIN CERTIFICADO",IF(H8="ALTO","🔴 TITULAR INCORRECTO","✓ OK"))</f>
        <v>✓ OK</v>
      </c>
      <c r="J8" t="str">
        <f>IF(D8="NO","Obtener certificado",IF(E8&lt;&gt;"La Empresa S.A.","Verificar propiedad","Ninguna"))</f>
        <v>Ninguna</v>
      </c>
    </row>
    <row r="9" spans="1:10" x14ac:dyDescent="0.25">
      <c r="A9" t="s">
        <v>194</v>
      </c>
      <c r="B9" t="s">
        <v>195</v>
      </c>
      <c r="C9" s="5">
        <v>1500000000</v>
      </c>
      <c r="D9" t="s">
        <v>78</v>
      </c>
      <c r="E9" t="s">
        <v>79</v>
      </c>
      <c r="F9" t="s">
        <v>79</v>
      </c>
      <c r="G9" t="s">
        <v>79</v>
      </c>
      <c r="H9" t="str">
        <f>IF(D9="NO","CRÍTICO",IF(E9&lt;&gt;"La Empresa S.A.","ALTO","BAJO"))</f>
        <v>CRÍTICO</v>
      </c>
      <c r="I9" t="str">
        <f>IF(H9="CRÍTICO","⛔ SIN CERTIFICADO",IF(H9="ALTO","🔴 TITULAR INCORRECTO","✓ OK"))</f>
        <v>⛔ SIN CERTIFICADO</v>
      </c>
      <c r="J9" t="str">
        <f>IF(D9="NO","Obtener certificado",IF(E9&lt;&gt;"La Empresa S.A.","Verificar propiedad","Ninguna"))</f>
        <v>Obtener certificado</v>
      </c>
    </row>
    <row r="10" spans="1:10" x14ac:dyDescent="0.25">
      <c r="A10" t="s">
        <v>196</v>
      </c>
      <c r="B10" t="s">
        <v>197</v>
      </c>
      <c r="C10" s="5">
        <v>3200000000</v>
      </c>
      <c r="D10" t="s">
        <v>73</v>
      </c>
      <c r="E10" t="s">
        <v>191</v>
      </c>
      <c r="F10" t="s">
        <v>198</v>
      </c>
      <c r="G10" t="s">
        <v>139</v>
      </c>
      <c r="H10" t="str">
        <f>IF(D10="NO","CRÍTICO",IF(E10&lt;&gt;"La Empresa S.A.","ALTO","BAJO"))</f>
        <v>BAJO</v>
      </c>
      <c r="I10" t="str">
        <f>IF(H10="CRÍTICO","⛔ SIN CERTIFICADO",IF(H10="ALTO","🔴 TITULAR INCORRECTO","✓ OK"))</f>
        <v>✓ OK</v>
      </c>
      <c r="J10" t="str">
        <f>IF(D10="NO","Obtener certificado",IF(E10&lt;&gt;"La Empresa S.A.","Verificar propiedad","Ninguna"))</f>
        <v>Ninguna</v>
      </c>
    </row>
    <row r="11" spans="1:10" x14ac:dyDescent="0.25">
      <c r="A11" t="s">
        <v>199</v>
      </c>
      <c r="B11" t="s">
        <v>200</v>
      </c>
      <c r="C11" s="5">
        <v>850000000</v>
      </c>
      <c r="D11" t="s">
        <v>73</v>
      </c>
      <c r="E11" t="s">
        <v>201</v>
      </c>
      <c r="F11" t="s">
        <v>198</v>
      </c>
      <c r="G11" t="s">
        <v>202</v>
      </c>
      <c r="H11" t="str">
        <f>IF(D11="NO","CRÍTICO",IF(E11&lt;&gt;"La Empresa S.A.","ALTO","BAJO"))</f>
        <v>ALTO</v>
      </c>
      <c r="I11" t="str">
        <f>IF(H11="CRÍTICO","⛔ SIN CERTIFICADO",IF(H11="ALTO","🔴 TITULAR INCORRECTO","✓ OK"))</f>
        <v>🔴 TITULAR INCORRECTO</v>
      </c>
      <c r="J11" t="str">
        <f>IF(D11="NO","Obtener certificado",IF(E11&lt;&gt;"La Empresa S.A.","Verificar propiedad","Ninguna"))</f>
        <v>Verificar propiedad</v>
      </c>
    </row>
    <row r="13" spans="1:10" x14ac:dyDescent="0.25">
      <c r="A13" s="19" t="s">
        <v>203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5">
      <c r="A14" t="s">
        <v>204</v>
      </c>
      <c r="B14">
        <f>COUNTA(A8:A11)</f>
        <v>4</v>
      </c>
    </row>
    <row r="15" spans="1:10" x14ac:dyDescent="0.25">
      <c r="A15" t="s">
        <v>205</v>
      </c>
      <c r="B15" s="7">
        <f>COUNTIF(D8:D11,"NO")</f>
        <v>1</v>
      </c>
    </row>
    <row r="16" spans="1:10" ht="15.75" x14ac:dyDescent="0.25">
      <c r="A16" t="s">
        <v>206</v>
      </c>
      <c r="B16" s="8">
        <f>SUMIF(D8:D11,"NO",C8:C11)</f>
        <v>1500000000</v>
      </c>
      <c r="H16" t="s">
        <v>108</v>
      </c>
      <c r="I16" s="6" t="str">
        <f>IF(B15&gt;0,"CRÍTICO",IF(COUNTIF(H8:H11,"ALTO")&gt;0,"ALTO","BAJO"))</f>
        <v>CRÍTICO</v>
      </c>
    </row>
    <row r="20" spans="1:4" x14ac:dyDescent="0.25">
      <c r="A20" t="s">
        <v>207</v>
      </c>
      <c r="B20">
        <f>COUNTIF(H8:H11,"&lt;&gt;BAJO")</f>
        <v>2</v>
      </c>
    </row>
    <row r="21" spans="1:4" x14ac:dyDescent="0.25">
      <c r="D21" s="3">
        <f>B16</f>
        <v>1500000000</v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baseColWidth="10" defaultColWidth="9.140625" defaultRowHeight="15" x14ac:dyDescent="0.25"/>
  <cols>
    <col min="1" max="1" width="18" customWidth="1"/>
    <col min="2" max="10" width="13" customWidth="1"/>
    <col min="11" max="11" width="22" customWidth="1"/>
  </cols>
  <sheetData>
    <row r="1" spans="1:11" ht="18.75" x14ac:dyDescent="0.25">
      <c r="A1" s="17" t="s">
        <v>208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209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210</v>
      </c>
      <c r="B4" t="s">
        <v>118</v>
      </c>
    </row>
    <row r="7" spans="1:11" ht="25.5" x14ac:dyDescent="0.25">
      <c r="A7" s="9" t="s">
        <v>211</v>
      </c>
      <c r="B7" s="9" t="s">
        <v>212</v>
      </c>
      <c r="C7" s="9" t="s">
        <v>213</v>
      </c>
      <c r="D7" s="9" t="s">
        <v>214</v>
      </c>
      <c r="E7" s="9" t="s">
        <v>215</v>
      </c>
      <c r="F7" s="9" t="s">
        <v>216</v>
      </c>
      <c r="G7" s="9" t="s">
        <v>217</v>
      </c>
      <c r="H7" s="9" t="s">
        <v>218</v>
      </c>
      <c r="I7" s="9" t="s">
        <v>67</v>
      </c>
      <c r="J7" s="9" t="s">
        <v>68</v>
      </c>
      <c r="K7" s="9" t="s">
        <v>69</v>
      </c>
    </row>
    <row r="8" spans="1:11" x14ac:dyDescent="0.25">
      <c r="A8" t="s">
        <v>219</v>
      </c>
      <c r="B8" s="5">
        <v>125000000</v>
      </c>
      <c r="C8">
        <v>5</v>
      </c>
      <c r="D8" t="s">
        <v>220</v>
      </c>
      <c r="E8" s="5">
        <f t="shared" ref="E8:E13" si="0">B8/C8</f>
        <v>25000000</v>
      </c>
      <c r="F8" s="5">
        <v>25000000</v>
      </c>
      <c r="G8" s="5">
        <f t="shared" ref="G8:G13" si="1">E8-F8</f>
        <v>0</v>
      </c>
      <c r="H8" s="10">
        <f t="shared" ref="H8:H13" si="2">IF(E8=0,0,ABS(G8/E8))</f>
        <v>0</v>
      </c>
      <c r="I8" t="str">
        <f t="shared" ref="I8:I13" si="3">IF(H8&gt;0.15,"ALTO",IF(H8&gt;0.05,"MEDIO","BAJO"))</f>
        <v>BAJO</v>
      </c>
      <c r="J8" t="str">
        <f t="shared" ref="J8:J13" si="4">IF(I8="ALTO","🔴 ERROR",IF(I8="MEDIO","⚠ REVISAR","✓ OK"))</f>
        <v>✓ OK</v>
      </c>
      <c r="K8" t="str">
        <f t="shared" ref="K8:K13" si="5">IF(I8="ALTO","Ajustar depreciación",IF(I8="MEDIO","Verificar cálculo","Ninguna"))</f>
        <v>Ninguna</v>
      </c>
    </row>
    <row r="9" spans="1:11" x14ac:dyDescent="0.25">
      <c r="A9" t="s">
        <v>221</v>
      </c>
      <c r="B9" s="5">
        <v>385000000</v>
      </c>
      <c r="C9">
        <v>10</v>
      </c>
      <c r="D9" t="s">
        <v>220</v>
      </c>
      <c r="E9" s="5">
        <f t="shared" si="0"/>
        <v>38500000</v>
      </c>
      <c r="F9" s="5">
        <v>38500000</v>
      </c>
      <c r="G9" s="5">
        <f t="shared" si="1"/>
        <v>0</v>
      </c>
      <c r="H9" s="10">
        <f t="shared" si="2"/>
        <v>0</v>
      </c>
      <c r="I9" t="str">
        <f t="shared" si="3"/>
        <v>BAJO</v>
      </c>
      <c r="J9" t="str">
        <f t="shared" si="4"/>
        <v>✓ OK</v>
      </c>
      <c r="K9" t="str">
        <f t="shared" si="5"/>
        <v>Ninguna</v>
      </c>
    </row>
    <row r="10" spans="1:11" x14ac:dyDescent="0.25">
      <c r="A10" t="s">
        <v>222</v>
      </c>
      <c r="B10" s="5">
        <v>2800000000</v>
      </c>
      <c r="C10">
        <v>40</v>
      </c>
      <c r="D10" t="s">
        <v>220</v>
      </c>
      <c r="E10" s="5">
        <f t="shared" si="0"/>
        <v>70000000</v>
      </c>
      <c r="F10" s="5">
        <v>70000000</v>
      </c>
      <c r="G10" s="5">
        <f t="shared" si="1"/>
        <v>0</v>
      </c>
      <c r="H10" s="10">
        <f t="shared" si="2"/>
        <v>0</v>
      </c>
      <c r="I10" t="str">
        <f t="shared" si="3"/>
        <v>BAJO</v>
      </c>
      <c r="J10" t="str">
        <f t="shared" si="4"/>
        <v>✓ OK</v>
      </c>
      <c r="K10" t="str">
        <f t="shared" si="5"/>
        <v>Ninguna</v>
      </c>
    </row>
    <row r="11" spans="1:11" x14ac:dyDescent="0.25">
      <c r="A11" t="s">
        <v>223</v>
      </c>
      <c r="B11" s="5">
        <v>95000000</v>
      </c>
      <c r="C11">
        <v>8</v>
      </c>
      <c r="D11" t="s">
        <v>220</v>
      </c>
      <c r="E11" s="5">
        <f t="shared" si="0"/>
        <v>11875000</v>
      </c>
      <c r="F11" s="5">
        <v>11875000</v>
      </c>
      <c r="G11" s="5">
        <f t="shared" si="1"/>
        <v>0</v>
      </c>
      <c r="H11" s="10">
        <f t="shared" si="2"/>
        <v>0</v>
      </c>
      <c r="I11" t="str">
        <f t="shared" si="3"/>
        <v>BAJO</v>
      </c>
      <c r="J11" t="str">
        <f t="shared" si="4"/>
        <v>✓ OK</v>
      </c>
      <c r="K11" t="str">
        <f t="shared" si="5"/>
        <v>Ninguna</v>
      </c>
    </row>
    <row r="12" spans="1:11" x14ac:dyDescent="0.25">
      <c r="A12" t="s">
        <v>224</v>
      </c>
      <c r="B12" s="5">
        <v>45000000</v>
      </c>
      <c r="C12">
        <v>10</v>
      </c>
      <c r="D12" t="s">
        <v>220</v>
      </c>
      <c r="E12" s="5">
        <f t="shared" si="0"/>
        <v>4500000</v>
      </c>
      <c r="F12" s="5">
        <v>4500000</v>
      </c>
      <c r="G12" s="5">
        <f t="shared" si="1"/>
        <v>0</v>
      </c>
      <c r="H12" s="10">
        <f t="shared" si="2"/>
        <v>0</v>
      </c>
      <c r="I12" t="str">
        <f t="shared" si="3"/>
        <v>BAJO</v>
      </c>
      <c r="J12" t="str">
        <f t="shared" si="4"/>
        <v>✓ OK</v>
      </c>
      <c r="K12" t="str">
        <f t="shared" si="5"/>
        <v>Ninguna</v>
      </c>
    </row>
    <row r="13" spans="1:11" x14ac:dyDescent="0.25">
      <c r="A13" t="s">
        <v>225</v>
      </c>
      <c r="B13" s="5">
        <v>85000000</v>
      </c>
      <c r="C13">
        <v>3</v>
      </c>
      <c r="D13" t="s">
        <v>220</v>
      </c>
      <c r="E13" s="5">
        <f t="shared" si="0"/>
        <v>28333333.333333332</v>
      </c>
      <c r="F13" s="5">
        <v>28333333</v>
      </c>
      <c r="G13" s="5">
        <f t="shared" si="1"/>
        <v>0.3333333320915699</v>
      </c>
      <c r="H13" s="10">
        <f t="shared" si="2"/>
        <v>1.1764705838525997E-8</v>
      </c>
      <c r="I13" t="str">
        <f t="shared" si="3"/>
        <v>BAJO</v>
      </c>
      <c r="J13" t="str">
        <f t="shared" si="4"/>
        <v>✓ OK</v>
      </c>
      <c r="K13" t="str">
        <f t="shared" si="5"/>
        <v>Ninguna</v>
      </c>
    </row>
    <row r="15" spans="1:11" x14ac:dyDescent="0.25">
      <c r="A15" s="19" t="s">
        <v>226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t="s">
        <v>227</v>
      </c>
      <c r="B16">
        <f>COUNTA(A8:A13)</f>
        <v>6</v>
      </c>
    </row>
    <row r="17" spans="1:10" ht="15.75" x14ac:dyDescent="0.25">
      <c r="A17" t="s">
        <v>228</v>
      </c>
      <c r="B17" s="7">
        <f>COUNTIF(I8:I13,"&lt;&gt;BAJO")</f>
        <v>0</v>
      </c>
      <c r="I17" t="s">
        <v>108</v>
      </c>
      <c r="J17" s="6" t="str">
        <f>IF(B17&gt;2,"ALTO",IF(B17&gt;0,"MEDIO","BAJO"))</f>
        <v>BAJO</v>
      </c>
    </row>
    <row r="18" spans="1:10" x14ac:dyDescent="0.25">
      <c r="A18" t="s">
        <v>229</v>
      </c>
      <c r="B18" s="3">
        <f>SUM(G8:G13)</f>
        <v>0.3333333320915699</v>
      </c>
    </row>
    <row r="19" spans="1:10" x14ac:dyDescent="0.25">
      <c r="A19" t="s">
        <v>230</v>
      </c>
      <c r="B19" s="8">
        <f>ABS(B18)</f>
        <v>0.3333333320915699</v>
      </c>
    </row>
    <row r="24" spans="1:10" x14ac:dyDescent="0.25">
      <c r="A24" t="s">
        <v>231</v>
      </c>
      <c r="B24">
        <f>B17</f>
        <v>0</v>
      </c>
    </row>
    <row r="25" spans="1:10" x14ac:dyDescent="0.25">
      <c r="D25" s="3">
        <f>B19</f>
        <v>0.3333333320915699</v>
      </c>
    </row>
  </sheetData>
  <mergeCells count="3">
    <mergeCell ref="A2:K2"/>
    <mergeCell ref="A15:K15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baseColWidth="10" defaultColWidth="9.140625" defaultRowHeight="15" x14ac:dyDescent="0.25"/>
  <cols>
    <col min="1" max="1" width="15" customWidth="1"/>
    <col min="2" max="2" width="28" customWidth="1"/>
    <col min="3" max="9" width="15" customWidth="1"/>
    <col min="10" max="10" width="22" customWidth="1"/>
  </cols>
  <sheetData>
    <row r="1" spans="1:10" ht="18.75" x14ac:dyDescent="0.25">
      <c r="A1" s="17" t="s">
        <v>232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233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117</v>
      </c>
      <c r="B4" t="s">
        <v>118</v>
      </c>
    </row>
    <row r="7" spans="1:10" ht="25.5" x14ac:dyDescent="0.25">
      <c r="A7" s="9" t="s">
        <v>119</v>
      </c>
      <c r="B7" s="9" t="s">
        <v>60</v>
      </c>
      <c r="C7" s="9" t="s">
        <v>234</v>
      </c>
      <c r="D7" s="9" t="s">
        <v>211</v>
      </c>
      <c r="E7" s="9" t="s">
        <v>235</v>
      </c>
      <c r="F7" s="9" t="s">
        <v>236</v>
      </c>
      <c r="G7" s="9" t="s">
        <v>237</v>
      </c>
      <c r="H7" s="9" t="s">
        <v>67</v>
      </c>
      <c r="I7" s="9" t="s">
        <v>68</v>
      </c>
      <c r="J7" s="9" t="s">
        <v>69</v>
      </c>
    </row>
    <row r="8" spans="1:10" x14ac:dyDescent="0.25">
      <c r="A8" s="4" t="s">
        <v>238</v>
      </c>
      <c r="B8" t="s">
        <v>239</v>
      </c>
      <c r="C8" s="5">
        <v>2500000</v>
      </c>
      <c r="D8" t="s">
        <v>219</v>
      </c>
      <c r="E8" t="s">
        <v>240</v>
      </c>
      <c r="F8" t="s">
        <v>78</v>
      </c>
      <c r="G8" t="s">
        <v>78</v>
      </c>
      <c r="H8" t="str">
        <f t="shared" ref="H8:H13" si="0">IF(AND(E8="Capitalizado",F8="NO",G8="NO"),"ALTO","BAJO")</f>
        <v>ALTO</v>
      </c>
      <c r="I8" t="str">
        <f t="shared" ref="I8:I13" si="1">IF(H8="ALTO","🔴 MAL CAPITALIZADO","✓ CORRECTO")</f>
        <v>🔴 MAL CAPITALIZADO</v>
      </c>
      <c r="J8" t="str">
        <f t="shared" ref="J8:J13" si="2">IF(H8="ALTO","Reclasificar a gasto","Ninguna")</f>
        <v>Reclasificar a gasto</v>
      </c>
    </row>
    <row r="9" spans="1:10" x14ac:dyDescent="0.25">
      <c r="A9" s="4" t="s">
        <v>241</v>
      </c>
      <c r="B9" t="s">
        <v>242</v>
      </c>
      <c r="C9" s="5">
        <v>185000000</v>
      </c>
      <c r="D9" t="s">
        <v>243</v>
      </c>
      <c r="E9" t="s">
        <v>240</v>
      </c>
      <c r="F9" t="s">
        <v>73</v>
      </c>
      <c r="G9" t="s">
        <v>73</v>
      </c>
      <c r="H9" t="str">
        <f t="shared" si="0"/>
        <v>BAJO</v>
      </c>
      <c r="I9" t="str">
        <f t="shared" si="1"/>
        <v>✓ CORRECTO</v>
      </c>
      <c r="J9" t="str">
        <f t="shared" si="2"/>
        <v>Ninguna</v>
      </c>
    </row>
    <row r="10" spans="1:10" x14ac:dyDescent="0.25">
      <c r="A10" s="4" t="s">
        <v>244</v>
      </c>
      <c r="B10" t="s">
        <v>245</v>
      </c>
      <c r="C10" s="5">
        <v>8500000</v>
      </c>
      <c r="D10" t="s">
        <v>221</v>
      </c>
      <c r="E10" t="s">
        <v>240</v>
      </c>
      <c r="F10" t="s">
        <v>78</v>
      </c>
      <c r="G10" t="s">
        <v>78</v>
      </c>
      <c r="H10" t="str">
        <f t="shared" si="0"/>
        <v>ALTO</v>
      </c>
      <c r="I10" t="str">
        <f t="shared" si="1"/>
        <v>🔴 MAL CAPITALIZADO</v>
      </c>
      <c r="J10" t="str">
        <f t="shared" si="2"/>
        <v>Reclasificar a gasto</v>
      </c>
    </row>
    <row r="11" spans="1:10" x14ac:dyDescent="0.25">
      <c r="A11" s="4" t="s">
        <v>246</v>
      </c>
      <c r="B11" t="s">
        <v>247</v>
      </c>
      <c r="C11" s="5">
        <v>12000000</v>
      </c>
      <c r="D11" t="s">
        <v>243</v>
      </c>
      <c r="E11" t="s">
        <v>240</v>
      </c>
      <c r="F11" t="s">
        <v>78</v>
      </c>
      <c r="G11" t="s">
        <v>78</v>
      </c>
      <c r="H11" t="str">
        <f t="shared" si="0"/>
        <v>ALTO</v>
      </c>
      <c r="I11" t="str">
        <f t="shared" si="1"/>
        <v>🔴 MAL CAPITALIZADO</v>
      </c>
      <c r="J11" t="str">
        <f t="shared" si="2"/>
        <v>Reclasificar a gasto</v>
      </c>
    </row>
    <row r="12" spans="1:10" x14ac:dyDescent="0.25">
      <c r="A12" s="4" t="s">
        <v>248</v>
      </c>
      <c r="B12" t="s">
        <v>249</v>
      </c>
      <c r="C12" s="5">
        <v>45000000</v>
      </c>
      <c r="D12" t="s">
        <v>250</v>
      </c>
      <c r="E12" t="s">
        <v>240</v>
      </c>
      <c r="F12" t="s">
        <v>73</v>
      </c>
      <c r="G12" t="s">
        <v>73</v>
      </c>
      <c r="H12" t="str">
        <f t="shared" si="0"/>
        <v>BAJO</v>
      </c>
      <c r="I12" t="str">
        <f t="shared" si="1"/>
        <v>✓ CORRECTO</v>
      </c>
      <c r="J12" t="str">
        <f t="shared" si="2"/>
        <v>Ninguna</v>
      </c>
    </row>
    <row r="13" spans="1:10" x14ac:dyDescent="0.25">
      <c r="A13" s="4" t="s">
        <v>171</v>
      </c>
      <c r="B13" t="s">
        <v>251</v>
      </c>
      <c r="C13" s="5">
        <v>3200000</v>
      </c>
      <c r="D13" t="s">
        <v>252</v>
      </c>
      <c r="E13" t="s">
        <v>240</v>
      </c>
      <c r="F13" t="s">
        <v>78</v>
      </c>
      <c r="G13" t="s">
        <v>78</v>
      </c>
      <c r="H13" t="str">
        <f t="shared" si="0"/>
        <v>ALTO</v>
      </c>
      <c r="I13" t="str">
        <f t="shared" si="1"/>
        <v>🔴 MAL CAPITALIZADO</v>
      </c>
      <c r="J13" t="str">
        <f t="shared" si="2"/>
        <v>Reclasificar a gasto</v>
      </c>
    </row>
    <row r="15" spans="1:10" x14ac:dyDescent="0.25">
      <c r="A15" s="19" t="s">
        <v>253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15.75" x14ac:dyDescent="0.25">
      <c r="A16" t="s">
        <v>254</v>
      </c>
      <c r="B16">
        <f>COUNTA(A8:A13)</f>
        <v>6</v>
      </c>
      <c r="H16" t="s">
        <v>108</v>
      </c>
      <c r="I16" s="6" t="str">
        <f>IF(B17&gt;2,"ALTO",IF(B17&gt;0,"MEDIO","BAJO"))</f>
        <v>ALTO</v>
      </c>
    </row>
    <row r="17" spans="1:4" x14ac:dyDescent="0.25">
      <c r="A17" t="s">
        <v>255</v>
      </c>
      <c r="B17" s="7">
        <f>COUNTIF(H8:H13,"ALTO")</f>
        <v>4</v>
      </c>
    </row>
    <row r="18" spans="1:4" x14ac:dyDescent="0.25">
      <c r="A18" t="s">
        <v>256</v>
      </c>
      <c r="B18" s="8">
        <f>SUMIF(H8:H13,"ALTO",C8:C13)</f>
        <v>26200000</v>
      </c>
    </row>
    <row r="19" spans="1:4" x14ac:dyDescent="0.25">
      <c r="A19" t="s">
        <v>257</v>
      </c>
      <c r="B19" s="3">
        <f>-B18</f>
        <v>-26200000</v>
      </c>
    </row>
    <row r="22" spans="1:4" x14ac:dyDescent="0.25">
      <c r="A22" t="s">
        <v>231</v>
      </c>
      <c r="B22">
        <f>B17</f>
        <v>4</v>
      </c>
      <c r="C22" t="s">
        <v>258</v>
      </c>
    </row>
    <row r="23" spans="1:4" x14ac:dyDescent="0.25">
      <c r="D23" s="3">
        <f>B18</f>
        <v>26200000</v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baseColWidth="10" defaultColWidth="9.140625" defaultRowHeight="15" x14ac:dyDescent="0.25"/>
  <cols>
    <col min="1" max="1" width="22" customWidth="1"/>
    <col min="2" max="9" width="14" customWidth="1"/>
    <col min="10" max="10" width="22" customWidth="1"/>
  </cols>
  <sheetData>
    <row r="1" spans="1:10" ht="18.75" x14ac:dyDescent="0.25">
      <c r="A1" s="17" t="s">
        <v>259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260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261</v>
      </c>
      <c r="B4" t="s">
        <v>7</v>
      </c>
    </row>
    <row r="7" spans="1:10" ht="25.5" x14ac:dyDescent="0.25">
      <c r="A7" s="9" t="s">
        <v>211</v>
      </c>
      <c r="B7" s="9" t="s">
        <v>262</v>
      </c>
      <c r="C7" s="9" t="s">
        <v>263</v>
      </c>
      <c r="D7" s="9" t="s">
        <v>151</v>
      </c>
      <c r="E7" s="9" t="s">
        <v>264</v>
      </c>
      <c r="F7" s="9" t="s">
        <v>265</v>
      </c>
      <c r="G7" s="9" t="s">
        <v>266</v>
      </c>
      <c r="H7" s="9" t="s">
        <v>67</v>
      </c>
      <c r="I7" s="9" t="s">
        <v>68</v>
      </c>
      <c r="J7" s="9" t="s">
        <v>69</v>
      </c>
    </row>
    <row r="8" spans="1:10" x14ac:dyDescent="0.25">
      <c r="A8" t="s">
        <v>267</v>
      </c>
      <c r="B8" s="5">
        <v>85000000</v>
      </c>
      <c r="C8" s="5">
        <v>85000000</v>
      </c>
      <c r="D8" s="5">
        <f>B8-C8</f>
        <v>0</v>
      </c>
      <c r="E8">
        <v>5</v>
      </c>
      <c r="F8">
        <v>5</v>
      </c>
      <c r="G8" t="s">
        <v>73</v>
      </c>
      <c r="H8" t="str">
        <f>IF(AND(D8=0,G8="SÍ"),"MEDIO","BAJO")</f>
        <v>MEDIO</v>
      </c>
      <c r="I8" t="str">
        <f>IF(H8="MEDIO","⚠ REVISAR VIDA","✓ OK")</f>
        <v>⚠ REVISAR VIDA</v>
      </c>
      <c r="J8" t="str">
        <f>IF(H8="MEDIO","Reevaluar vida útil","Ninguna")</f>
        <v>Reevaluar vida útil</v>
      </c>
    </row>
    <row r="9" spans="1:10" x14ac:dyDescent="0.25">
      <c r="A9" t="s">
        <v>268</v>
      </c>
      <c r="B9" s="5">
        <v>385000000</v>
      </c>
      <c r="C9" s="5">
        <v>385000000</v>
      </c>
      <c r="D9" s="5">
        <f>B9-C9</f>
        <v>0</v>
      </c>
      <c r="E9">
        <v>10</v>
      </c>
      <c r="F9">
        <v>10</v>
      </c>
      <c r="G9" t="s">
        <v>73</v>
      </c>
      <c r="H9" t="str">
        <f>IF(AND(D9=0,G9="SÍ"),"MEDIO","BAJO")</f>
        <v>MEDIO</v>
      </c>
      <c r="I9" t="str">
        <f>IF(H9="MEDIO","⚠ REVISAR VIDA","✓ OK")</f>
        <v>⚠ REVISAR VIDA</v>
      </c>
      <c r="J9" t="str">
        <f>IF(H9="MEDIO","Reevaluar vida útil","Ninguna")</f>
        <v>Reevaluar vida útil</v>
      </c>
    </row>
    <row r="10" spans="1:10" x14ac:dyDescent="0.25">
      <c r="A10" t="s">
        <v>269</v>
      </c>
      <c r="B10" s="5">
        <v>45000000</v>
      </c>
      <c r="C10" s="5">
        <v>45000000</v>
      </c>
      <c r="D10" s="5">
        <f>B10-C10</f>
        <v>0</v>
      </c>
      <c r="E10">
        <v>3</v>
      </c>
      <c r="F10">
        <v>3</v>
      </c>
      <c r="G10" t="s">
        <v>78</v>
      </c>
      <c r="H10" t="str">
        <f>IF(AND(D10=0,G10="SÍ"),"MEDIO","BAJO")</f>
        <v>BAJO</v>
      </c>
      <c r="I10" t="str">
        <f>IF(H10="MEDIO","⚠ REVISAR VIDA","✓ OK")</f>
        <v>✓ OK</v>
      </c>
      <c r="J10" t="str">
        <f>IF(H10="MEDIO","Reevaluar vida útil","Ninguna")</f>
        <v>Ninguna</v>
      </c>
    </row>
    <row r="11" spans="1:10" x14ac:dyDescent="0.25">
      <c r="A11" t="s">
        <v>270</v>
      </c>
      <c r="B11" s="5">
        <v>125000000</v>
      </c>
      <c r="C11" s="5">
        <v>125000000</v>
      </c>
      <c r="D11" s="5">
        <f>B11-C11</f>
        <v>0</v>
      </c>
      <c r="E11">
        <v>8</v>
      </c>
      <c r="F11">
        <v>8</v>
      </c>
      <c r="G11" t="s">
        <v>73</v>
      </c>
      <c r="H11" t="str">
        <f>IF(AND(D11=0,G11="SÍ"),"MEDIO","BAJO")</f>
        <v>MEDIO</v>
      </c>
      <c r="I11" t="str">
        <f>IF(H11="MEDIO","⚠ REVISAR VIDA","✓ OK")</f>
        <v>⚠ REVISAR VIDA</v>
      </c>
      <c r="J11" t="str">
        <f>IF(H11="MEDIO","Reevaluar vida útil","Ninguna")</f>
        <v>Reevaluar vida útil</v>
      </c>
    </row>
    <row r="12" spans="1:10" x14ac:dyDescent="0.25">
      <c r="A12" t="s">
        <v>173</v>
      </c>
      <c r="B12" s="5">
        <v>28000000</v>
      </c>
      <c r="C12" s="5">
        <v>28000000</v>
      </c>
      <c r="D12" s="5">
        <f>B12-C12</f>
        <v>0</v>
      </c>
      <c r="E12">
        <v>10</v>
      </c>
      <c r="F12">
        <v>10</v>
      </c>
      <c r="G12" t="s">
        <v>73</v>
      </c>
      <c r="H12" t="str">
        <f>IF(AND(D12=0,G12="SÍ"),"MEDIO","BAJO")</f>
        <v>MEDIO</v>
      </c>
      <c r="I12" t="str">
        <f>IF(H12="MEDIO","⚠ REVISAR VIDA","✓ OK")</f>
        <v>⚠ REVISAR VIDA</v>
      </c>
      <c r="J12" t="str">
        <f>IF(H12="MEDIO","Reevaluar vida útil","Ninguna")</f>
        <v>Reevaluar vida útil</v>
      </c>
    </row>
    <row r="14" spans="1:10" x14ac:dyDescent="0.25">
      <c r="A14" s="19" t="s">
        <v>271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t="s">
        <v>272</v>
      </c>
      <c r="B15">
        <f>COUNTIF(D8:D12,0)</f>
        <v>5</v>
      </c>
    </row>
    <row r="16" spans="1:10" ht="15.75" x14ac:dyDescent="0.25">
      <c r="A16" t="s">
        <v>273</v>
      </c>
      <c r="B16" s="11">
        <f>COUNTIFS(D8:D12,0,G8:G12,"SÍ")</f>
        <v>4</v>
      </c>
      <c r="H16" t="s">
        <v>108</v>
      </c>
      <c r="I16" s="6" t="str">
        <f>IF(B16/B15&gt;0.6,"MEDIO","BAJO")</f>
        <v>MEDIO</v>
      </c>
    </row>
    <row r="17" spans="1:4" x14ac:dyDescent="0.25">
      <c r="A17" t="s">
        <v>274</v>
      </c>
      <c r="B17" s="3">
        <f>SUMIFS(B8:B12,D8:D12,0,G8:G12,"SÍ")</f>
        <v>623000000</v>
      </c>
    </row>
    <row r="21" spans="1:4" x14ac:dyDescent="0.25">
      <c r="A21" t="s">
        <v>275</v>
      </c>
      <c r="B21">
        <f>B16</f>
        <v>4</v>
      </c>
    </row>
    <row r="22" spans="1:4" x14ac:dyDescent="0.25">
      <c r="D22" s="3">
        <f>B17</f>
        <v>623000000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baseColWidth="10" defaultColWidth="9.140625" defaultRowHeight="15" x14ac:dyDescent="0.25"/>
  <cols>
    <col min="1" max="1" width="20" customWidth="1"/>
    <col min="2" max="9" width="14" customWidth="1"/>
    <col min="10" max="10" width="28" customWidth="1"/>
  </cols>
  <sheetData>
    <row r="1" spans="1:10" ht="18.75" x14ac:dyDescent="0.25">
      <c r="A1" s="17" t="s">
        <v>276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277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117</v>
      </c>
      <c r="B4" t="s">
        <v>118</v>
      </c>
    </row>
    <row r="7" spans="1:10" ht="25.5" x14ac:dyDescent="0.25">
      <c r="A7" s="9" t="s">
        <v>211</v>
      </c>
      <c r="B7" s="9" t="s">
        <v>278</v>
      </c>
      <c r="C7" s="9" t="s">
        <v>279</v>
      </c>
      <c r="D7" s="9" t="s">
        <v>280</v>
      </c>
      <c r="E7" s="9" t="s">
        <v>281</v>
      </c>
      <c r="F7" s="9" t="s">
        <v>282</v>
      </c>
      <c r="G7" s="9" t="s">
        <v>283</v>
      </c>
      <c r="H7" s="9" t="s">
        <v>67</v>
      </c>
      <c r="I7" s="9" t="s">
        <v>68</v>
      </c>
      <c r="J7" s="9" t="s">
        <v>69</v>
      </c>
    </row>
    <row r="8" spans="1:10" x14ac:dyDescent="0.25">
      <c r="A8" t="s">
        <v>284</v>
      </c>
      <c r="B8" s="5">
        <v>2800000000</v>
      </c>
      <c r="C8" s="5">
        <v>420000000</v>
      </c>
      <c r="D8" s="5">
        <f>B8+C8</f>
        <v>3220000000</v>
      </c>
      <c r="E8" s="10">
        <f>C8/B8</f>
        <v>0.15</v>
      </c>
      <c r="F8" t="s">
        <v>73</v>
      </c>
      <c r="G8" t="s">
        <v>193</v>
      </c>
      <c r="H8" t="str">
        <f>IF(F8="NO","CRÍTICO",IF(E8&gt;0.3,"ALTO","BAJO"))</f>
        <v>BAJO</v>
      </c>
      <c r="I8" t="str">
        <f>IF(H8="CRÍTICO","⛔ SIN AVALÚO",IF(H8="ALTO","🔴 REVISAR","✓ RAZONABLE"))</f>
        <v>✓ RAZONABLE</v>
      </c>
      <c r="J8" t="str">
        <f>IF(F8="NO","Obtener avalúo profesional",IF(E8&gt;0.3,"Verificar valor mercado","Ninguna"))</f>
        <v>Ninguna</v>
      </c>
    </row>
    <row r="9" spans="1:10" x14ac:dyDescent="0.25">
      <c r="A9" t="s">
        <v>285</v>
      </c>
      <c r="B9" s="5">
        <v>850000000</v>
      </c>
      <c r="C9" s="5">
        <v>510000000</v>
      </c>
      <c r="D9" s="5">
        <f>B9+C9</f>
        <v>1360000000</v>
      </c>
      <c r="E9" s="10">
        <f>C9/B9</f>
        <v>0.6</v>
      </c>
      <c r="F9" t="s">
        <v>78</v>
      </c>
      <c r="G9" t="s">
        <v>79</v>
      </c>
      <c r="H9" t="str">
        <f>IF(F9="NO","CRÍTICO",IF(E9&gt;0.3,"ALTO","BAJO"))</f>
        <v>CRÍTICO</v>
      </c>
      <c r="I9" t="str">
        <f>IF(H9="CRÍTICO","⛔ SIN AVALÚO",IF(H9="ALTO","🔴 REVISAR","✓ RAZONABLE"))</f>
        <v>⛔ SIN AVALÚO</v>
      </c>
      <c r="J9" t="str">
        <f>IF(F9="NO","Obtener avalúo profesional",IF(E9&gt;0.3,"Verificar valor mercado","Ninguna"))</f>
        <v>Obtener avalúo profesional</v>
      </c>
    </row>
    <row r="10" spans="1:10" x14ac:dyDescent="0.25">
      <c r="A10" t="s">
        <v>286</v>
      </c>
      <c r="B10" s="5">
        <v>1200000000</v>
      </c>
      <c r="C10" s="5">
        <v>240000000</v>
      </c>
      <c r="D10" s="5">
        <f>B10+C10</f>
        <v>1440000000</v>
      </c>
      <c r="E10" s="10">
        <f>C10/B10</f>
        <v>0.2</v>
      </c>
      <c r="F10" t="s">
        <v>73</v>
      </c>
      <c r="G10" t="s">
        <v>248</v>
      </c>
      <c r="H10" t="str">
        <f>IF(F10="NO","CRÍTICO",IF(E10&gt;0.3,"ALTO","BAJO"))</f>
        <v>BAJO</v>
      </c>
      <c r="I10" t="str">
        <f>IF(H10="CRÍTICO","⛔ SIN AVALÚO",IF(H10="ALTO","🔴 REVISAR","✓ RAZONABLE"))</f>
        <v>✓ RAZONABLE</v>
      </c>
      <c r="J10" t="str">
        <f>IF(F10="NO","Obtener avalúo profesional",IF(E10&gt;0.3,"Verificar valor mercado","Ninguna"))</f>
        <v>Ninguna</v>
      </c>
    </row>
    <row r="11" spans="1:10" x14ac:dyDescent="0.25">
      <c r="A11" t="s">
        <v>287</v>
      </c>
      <c r="B11" s="5">
        <v>650000000</v>
      </c>
      <c r="C11" s="5">
        <v>455000000</v>
      </c>
      <c r="D11" s="5">
        <f>B11+C11</f>
        <v>1105000000</v>
      </c>
      <c r="E11" s="10">
        <f>C11/B11</f>
        <v>0.7</v>
      </c>
      <c r="F11" t="s">
        <v>78</v>
      </c>
      <c r="G11" t="s">
        <v>79</v>
      </c>
      <c r="H11" t="str">
        <f>IF(F11="NO","CRÍTICO",IF(E11&gt;0.3,"ALTO","BAJO"))</f>
        <v>CRÍTICO</v>
      </c>
      <c r="I11" t="str">
        <f>IF(H11="CRÍTICO","⛔ SIN AVALÚO",IF(H11="ALTO","🔴 REVISAR","✓ RAZONABLE"))</f>
        <v>⛔ SIN AVALÚO</v>
      </c>
      <c r="J11" t="str">
        <f>IF(F11="NO","Obtener avalúo profesional",IF(E11&gt;0.3,"Verificar valor mercado","Ninguna"))</f>
        <v>Obtener avalúo profesional</v>
      </c>
    </row>
    <row r="13" spans="1:10" x14ac:dyDescent="0.25">
      <c r="A13" s="19" t="s">
        <v>288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5">
      <c r="A14" t="s">
        <v>289</v>
      </c>
      <c r="B14">
        <f>COUNTA(A8:A11)</f>
        <v>4</v>
      </c>
    </row>
    <row r="15" spans="1:10" x14ac:dyDescent="0.25">
      <c r="A15" t="s">
        <v>290</v>
      </c>
      <c r="B15" s="7">
        <f>COUNTIF(F8:F11,"NO")</f>
        <v>2</v>
      </c>
    </row>
    <row r="16" spans="1:10" ht="15.75" x14ac:dyDescent="0.25">
      <c r="A16" t="s">
        <v>291</v>
      </c>
      <c r="B16" s="8">
        <f>SUMIF(F8:F11,"NO",C8:C11)</f>
        <v>965000000</v>
      </c>
      <c r="H16" t="s">
        <v>108</v>
      </c>
      <c r="I16" s="6" t="str">
        <f>IF(B15&gt;0,"CRÍTICO","BAJO")</f>
        <v>CRÍTICO</v>
      </c>
    </row>
    <row r="21" spans="1:4" x14ac:dyDescent="0.25">
      <c r="A21" t="s">
        <v>292</v>
      </c>
      <c r="B21">
        <f>B15</f>
        <v>2</v>
      </c>
    </row>
    <row r="22" spans="1:4" x14ac:dyDescent="0.25">
      <c r="D22" s="3">
        <f>B16</f>
        <v>965000000</v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baseColWidth="10" defaultColWidth="9.140625" defaultRowHeight="15" x14ac:dyDescent="0.25"/>
  <cols>
    <col min="1" max="1" width="22" customWidth="1"/>
    <col min="2" max="2" width="15" customWidth="1"/>
    <col min="3" max="3" width="20" customWidth="1"/>
    <col min="4" max="9" width="15" customWidth="1"/>
    <col min="10" max="10" width="22" customWidth="1"/>
  </cols>
  <sheetData>
    <row r="1" spans="1:10" ht="18.75" x14ac:dyDescent="0.25">
      <c r="A1" s="17" t="s">
        <v>293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294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261</v>
      </c>
      <c r="B4" t="s">
        <v>7</v>
      </c>
    </row>
    <row r="7" spans="1:10" ht="25.5" x14ac:dyDescent="0.25">
      <c r="A7" s="9" t="s">
        <v>211</v>
      </c>
      <c r="B7" s="9" t="s">
        <v>295</v>
      </c>
      <c r="C7" s="9" t="s">
        <v>296</v>
      </c>
      <c r="D7" s="9" t="s">
        <v>297</v>
      </c>
      <c r="E7" s="9" t="s">
        <v>298</v>
      </c>
      <c r="F7" s="9" t="s">
        <v>299</v>
      </c>
      <c r="G7" s="9" t="s">
        <v>300</v>
      </c>
      <c r="H7" s="9" t="s">
        <v>67</v>
      </c>
      <c r="I7" s="9" t="s">
        <v>68</v>
      </c>
      <c r="J7" s="9" t="s">
        <v>69</v>
      </c>
    </row>
    <row r="8" spans="1:10" x14ac:dyDescent="0.25">
      <c r="A8" t="s">
        <v>301</v>
      </c>
      <c r="B8" s="5">
        <v>125000000</v>
      </c>
      <c r="C8" t="s">
        <v>302</v>
      </c>
      <c r="D8" t="s">
        <v>78</v>
      </c>
      <c r="E8" t="s">
        <v>78</v>
      </c>
      <c r="F8" t="s">
        <v>303</v>
      </c>
      <c r="G8" t="s">
        <v>304</v>
      </c>
      <c r="H8" t="str">
        <f>IF(AND(F8="Arrendamiento",G8="PPE"),"CRÍTICO","BAJO")</f>
        <v>CRÍTICO</v>
      </c>
      <c r="I8" t="str">
        <f>IF(H8="CRÍTICO","⛔ MAL CLASIFICADO","✓ CORRECTO")</f>
        <v>⛔ MAL CLASIFICADO</v>
      </c>
      <c r="J8" t="str">
        <f>IF(H8="CRÍTICO","Reclasificar a NIIF 16","Ninguna")</f>
        <v>Reclasificar a NIIF 16</v>
      </c>
    </row>
    <row r="9" spans="1:10" x14ac:dyDescent="0.25">
      <c r="A9" t="s">
        <v>305</v>
      </c>
      <c r="B9" s="5">
        <v>2800000000</v>
      </c>
      <c r="C9" t="s">
        <v>306</v>
      </c>
      <c r="D9" t="s">
        <v>79</v>
      </c>
      <c r="E9" t="s">
        <v>73</v>
      </c>
      <c r="F9" t="s">
        <v>304</v>
      </c>
      <c r="G9" t="s">
        <v>304</v>
      </c>
      <c r="H9" t="str">
        <f>IF(AND(F9="Arrendamiento",G9="PPE"),"CRÍTICO","BAJO")</f>
        <v>BAJO</v>
      </c>
      <c r="I9" t="str">
        <f>IF(H9="CRÍTICO","⛔ MAL CLASIFICADO","✓ CORRECTO")</f>
        <v>✓ CORRECTO</v>
      </c>
      <c r="J9" t="str">
        <f>IF(H9="CRÍTICO","Reclasificar a NIIF 16","Ninguna")</f>
        <v>Ninguna</v>
      </c>
    </row>
    <row r="10" spans="1:10" x14ac:dyDescent="0.25">
      <c r="A10" t="s">
        <v>307</v>
      </c>
      <c r="B10" s="5">
        <v>385000000</v>
      </c>
      <c r="C10" t="s">
        <v>308</v>
      </c>
      <c r="D10" t="s">
        <v>73</v>
      </c>
      <c r="E10" t="s">
        <v>73</v>
      </c>
      <c r="F10" t="s">
        <v>304</v>
      </c>
      <c r="G10" t="s">
        <v>304</v>
      </c>
      <c r="H10" t="str">
        <f>IF(AND(F10="Arrendamiento",G10="PPE"),"CRÍTICO","BAJO")</f>
        <v>BAJO</v>
      </c>
      <c r="I10" t="str">
        <f>IF(H10="CRÍTICO","⛔ MAL CLASIFICADO","✓ CORRECTO")</f>
        <v>✓ CORRECTO</v>
      </c>
      <c r="J10" t="str">
        <f>IF(H10="CRÍTICO","Reclasificar a NIIF 16","Ninguna")</f>
        <v>Ninguna</v>
      </c>
    </row>
    <row r="11" spans="1:10" x14ac:dyDescent="0.25">
      <c r="A11" t="s">
        <v>309</v>
      </c>
      <c r="B11" s="5">
        <v>0</v>
      </c>
      <c r="C11" t="s">
        <v>302</v>
      </c>
      <c r="D11" t="s">
        <v>78</v>
      </c>
      <c r="E11" t="s">
        <v>78</v>
      </c>
      <c r="F11" t="s">
        <v>303</v>
      </c>
      <c r="G11" t="s">
        <v>304</v>
      </c>
      <c r="H11" t="str">
        <f>IF(AND(F11="Arrendamiento",G11="PPE"),"CRÍTICO","BAJO")</f>
        <v>CRÍTICO</v>
      </c>
      <c r="I11" t="str">
        <f>IF(H11="CRÍTICO","⛔ MAL CLASIFICADO","✓ CORRECTO")</f>
        <v>⛔ MAL CLASIFICADO</v>
      </c>
      <c r="J11" t="str">
        <f>IF(H11="CRÍTICO","Reclasificar a NIIF 16","Ninguna")</f>
        <v>Reclasificar a NIIF 16</v>
      </c>
    </row>
    <row r="12" spans="1:10" x14ac:dyDescent="0.25">
      <c r="A12" t="s">
        <v>310</v>
      </c>
      <c r="B12" s="5">
        <v>520000000</v>
      </c>
      <c r="C12" t="s">
        <v>306</v>
      </c>
      <c r="D12" t="s">
        <v>79</v>
      </c>
      <c r="E12" t="s">
        <v>73</v>
      </c>
      <c r="F12" t="s">
        <v>304</v>
      </c>
      <c r="G12" t="s">
        <v>304</v>
      </c>
      <c r="H12" t="str">
        <f>IF(AND(F12="Arrendamiento",G12="PPE"),"CRÍTICO","BAJO")</f>
        <v>BAJO</v>
      </c>
      <c r="I12" t="str">
        <f>IF(H12="CRÍTICO","⛔ MAL CLASIFICADO","✓ CORRECTO")</f>
        <v>✓ CORRECTO</v>
      </c>
      <c r="J12" t="str">
        <f>IF(H12="CRÍTICO","Reclasificar a NIIF 16","Ninguna")</f>
        <v>Ninguna</v>
      </c>
    </row>
    <row r="14" spans="1:10" x14ac:dyDescent="0.25">
      <c r="A14" s="19" t="s">
        <v>311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t="s">
        <v>227</v>
      </c>
      <c r="B15">
        <f>COUNTA(A8:A12)</f>
        <v>5</v>
      </c>
    </row>
    <row r="16" spans="1:10" ht="15.75" x14ac:dyDescent="0.25">
      <c r="A16" t="s">
        <v>312</v>
      </c>
      <c r="B16" s="7">
        <f>COUNTIF(H8:H12,"CRÍTICO")</f>
        <v>2</v>
      </c>
      <c r="H16" t="s">
        <v>108</v>
      </c>
      <c r="I16" s="6" t="str">
        <f>IF(B16&gt;0,"CRÍTICO","BAJO")</f>
        <v>CRÍTICO</v>
      </c>
    </row>
    <row r="17" spans="1:4" x14ac:dyDescent="0.25">
      <c r="A17" t="s">
        <v>313</v>
      </c>
      <c r="B17" s="8">
        <f>SUMIF(H8:H12,"CRÍTICO",B8:B12)</f>
        <v>125000000</v>
      </c>
    </row>
    <row r="21" spans="1:4" x14ac:dyDescent="0.25">
      <c r="A21" t="s">
        <v>314</v>
      </c>
      <c r="B21">
        <f>B16</f>
        <v>2</v>
      </c>
    </row>
    <row r="22" spans="1:4" x14ac:dyDescent="0.25">
      <c r="D22" s="3">
        <f>B17</f>
        <v>125000000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baseColWidth="10" defaultColWidth="9.140625" defaultRowHeight="15" x14ac:dyDescent="0.25"/>
  <cols>
    <col min="1" max="1" width="18" customWidth="1"/>
    <col min="2" max="8" width="12" customWidth="1"/>
    <col min="9" max="9" width="18" customWidth="1"/>
    <col min="10" max="10" width="12" customWidth="1"/>
    <col min="11" max="11" width="20" customWidth="1"/>
  </cols>
  <sheetData>
    <row r="1" spans="1:11" ht="18.75" x14ac:dyDescent="0.25">
      <c r="A1" s="17" t="s">
        <v>315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316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317</v>
      </c>
      <c r="B4" t="s">
        <v>318</v>
      </c>
    </row>
    <row r="7" spans="1:11" ht="25.5" x14ac:dyDescent="0.25">
      <c r="A7" s="9" t="s">
        <v>319</v>
      </c>
      <c r="B7" s="9" t="s">
        <v>320</v>
      </c>
      <c r="C7" s="9" t="s">
        <v>321</v>
      </c>
      <c r="D7" s="9" t="s">
        <v>322</v>
      </c>
      <c r="E7" s="9" t="s">
        <v>323</v>
      </c>
      <c r="F7" s="9" t="s">
        <v>324</v>
      </c>
      <c r="G7" s="9" t="s">
        <v>218</v>
      </c>
      <c r="H7" s="9" t="s">
        <v>67</v>
      </c>
      <c r="I7" s="9" t="s">
        <v>68</v>
      </c>
      <c r="J7" s="9" t="s">
        <v>325</v>
      </c>
      <c r="K7" s="9" t="s">
        <v>69</v>
      </c>
    </row>
    <row r="8" spans="1:11" x14ac:dyDescent="0.25">
      <c r="A8" t="s">
        <v>326</v>
      </c>
      <c r="B8">
        <v>40</v>
      </c>
      <c r="C8">
        <v>50</v>
      </c>
      <c r="D8" t="s">
        <v>220</v>
      </c>
      <c r="E8" t="s">
        <v>220</v>
      </c>
      <c r="F8" s="12">
        <f t="shared" ref="F8:F13" si="0">B8-C8</f>
        <v>-10</v>
      </c>
      <c r="G8" s="10">
        <f t="shared" ref="G8:G13" si="1">IF(C8=0,0,F8/C8)</f>
        <v>-0.2</v>
      </c>
      <c r="H8" t="str">
        <f t="shared" ref="H8:H13" si="2">IF(ABS(G8)&gt;0.3,"ALTO",IF(ABS(G8)&gt;0.15,"MEDIO","BAJO"))</f>
        <v>MEDIO</v>
      </c>
      <c r="I8" t="str">
        <f t="shared" ref="I8:I13" si="3">IF(H8="ALTO",IF(F8&lt;0,"🔴 MUY ACELERADA","⚠ CONSERVADORA"),IF(H8="MEDIO","⚠ REVISAR","✓ RAZONABLE"))</f>
        <v>⚠ REVISAR</v>
      </c>
      <c r="J8" t="str">
        <f t="shared" ref="J8:J13" si="4">IF(F8&lt;0,"Mayor gasto","Menor gasto")</f>
        <v>Mayor gasto</v>
      </c>
      <c r="K8" t="str">
        <f t="shared" ref="K8:K13" si="5">IF(ABS(G8)&gt;0.3,"Revisar política","Ninguna")</f>
        <v>Ninguna</v>
      </c>
    </row>
    <row r="9" spans="1:11" x14ac:dyDescent="0.25">
      <c r="A9" t="s">
        <v>327</v>
      </c>
      <c r="B9">
        <v>5</v>
      </c>
      <c r="C9">
        <v>5</v>
      </c>
      <c r="D9" t="s">
        <v>220</v>
      </c>
      <c r="E9" t="s">
        <v>220</v>
      </c>
      <c r="F9" s="12">
        <f t="shared" si="0"/>
        <v>0</v>
      </c>
      <c r="G9" s="10">
        <f t="shared" si="1"/>
        <v>0</v>
      </c>
      <c r="H9" t="str">
        <f t="shared" si="2"/>
        <v>BAJO</v>
      </c>
      <c r="I9" t="str">
        <f t="shared" si="3"/>
        <v>✓ RAZONABLE</v>
      </c>
      <c r="J9" t="str">
        <f t="shared" si="4"/>
        <v>Menor gasto</v>
      </c>
      <c r="K9" t="str">
        <f t="shared" si="5"/>
        <v>Ninguna</v>
      </c>
    </row>
    <row r="10" spans="1:11" x14ac:dyDescent="0.25">
      <c r="A10" t="s">
        <v>328</v>
      </c>
      <c r="B10">
        <v>8</v>
      </c>
      <c r="C10">
        <v>12</v>
      </c>
      <c r="D10" t="s">
        <v>220</v>
      </c>
      <c r="E10" t="s">
        <v>220</v>
      </c>
      <c r="F10" s="12">
        <f t="shared" si="0"/>
        <v>-4</v>
      </c>
      <c r="G10" s="10">
        <f t="shared" si="1"/>
        <v>-0.33333333333333331</v>
      </c>
      <c r="H10" t="str">
        <f t="shared" si="2"/>
        <v>ALTO</v>
      </c>
      <c r="I10" t="str">
        <f t="shared" si="3"/>
        <v>🔴 MUY ACELERADA</v>
      </c>
      <c r="J10" t="str">
        <f t="shared" si="4"/>
        <v>Mayor gasto</v>
      </c>
      <c r="K10" t="str">
        <f t="shared" si="5"/>
        <v>Revisar política</v>
      </c>
    </row>
    <row r="11" spans="1:11" x14ac:dyDescent="0.25">
      <c r="A11" t="s">
        <v>135</v>
      </c>
      <c r="B11">
        <v>3</v>
      </c>
      <c r="C11">
        <v>3</v>
      </c>
      <c r="D11" t="s">
        <v>220</v>
      </c>
      <c r="E11" t="s">
        <v>220</v>
      </c>
      <c r="F11" s="12">
        <f t="shared" si="0"/>
        <v>0</v>
      </c>
      <c r="G11" s="10">
        <f t="shared" si="1"/>
        <v>0</v>
      </c>
      <c r="H11" t="str">
        <f t="shared" si="2"/>
        <v>BAJO</v>
      </c>
      <c r="I11" t="str">
        <f t="shared" si="3"/>
        <v>✓ RAZONABLE</v>
      </c>
      <c r="J11" t="str">
        <f t="shared" si="4"/>
        <v>Menor gasto</v>
      </c>
      <c r="K11" t="str">
        <f t="shared" si="5"/>
        <v>Ninguna</v>
      </c>
    </row>
    <row r="12" spans="1:11" x14ac:dyDescent="0.25">
      <c r="A12" t="s">
        <v>173</v>
      </c>
      <c r="B12">
        <v>10</v>
      </c>
      <c r="C12">
        <v>10</v>
      </c>
      <c r="D12" t="s">
        <v>220</v>
      </c>
      <c r="E12" t="s">
        <v>220</v>
      </c>
      <c r="F12" s="12">
        <f t="shared" si="0"/>
        <v>0</v>
      </c>
      <c r="G12" s="10">
        <f t="shared" si="1"/>
        <v>0</v>
      </c>
      <c r="H12" t="str">
        <f t="shared" si="2"/>
        <v>BAJO</v>
      </c>
      <c r="I12" t="str">
        <f t="shared" si="3"/>
        <v>✓ RAZONABLE</v>
      </c>
      <c r="J12" t="str">
        <f t="shared" si="4"/>
        <v>Menor gasto</v>
      </c>
      <c r="K12" t="str">
        <f t="shared" si="5"/>
        <v>Ninguna</v>
      </c>
    </row>
    <row r="13" spans="1:11" x14ac:dyDescent="0.25">
      <c r="A13" t="s">
        <v>329</v>
      </c>
      <c r="B13">
        <v>5</v>
      </c>
      <c r="C13">
        <v>10</v>
      </c>
      <c r="D13" t="s">
        <v>220</v>
      </c>
      <c r="E13" t="s">
        <v>220</v>
      </c>
      <c r="F13" s="12">
        <f t="shared" si="0"/>
        <v>-5</v>
      </c>
      <c r="G13" s="10">
        <f t="shared" si="1"/>
        <v>-0.5</v>
      </c>
      <c r="H13" t="str">
        <f t="shared" si="2"/>
        <v>ALTO</v>
      </c>
      <c r="I13" t="str">
        <f t="shared" si="3"/>
        <v>🔴 MUY ACELERADA</v>
      </c>
      <c r="J13" t="str">
        <f t="shared" si="4"/>
        <v>Mayor gasto</v>
      </c>
      <c r="K13" t="str">
        <f t="shared" si="5"/>
        <v>Revisar política</v>
      </c>
    </row>
    <row r="15" spans="1:11" x14ac:dyDescent="0.25">
      <c r="A15" s="19" t="s">
        <v>330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t="s">
        <v>331</v>
      </c>
      <c r="B16">
        <f>COUNTA(A8:A13)</f>
        <v>6</v>
      </c>
    </row>
    <row r="17" spans="1:10" ht="15.75" x14ac:dyDescent="0.25">
      <c r="A17" t="s">
        <v>332</v>
      </c>
      <c r="B17" s="11">
        <f>COUNTIF(H8:H13,"&lt;&gt;BAJO")</f>
        <v>3</v>
      </c>
      <c r="I17" t="s">
        <v>108</v>
      </c>
      <c r="J17" s="6" t="str">
        <f>IF(B18&gt;1,"ALTO",IF(B17&gt;2,"MEDIO","BAJO"))</f>
        <v>ALTO</v>
      </c>
    </row>
    <row r="18" spans="1:10" x14ac:dyDescent="0.25">
      <c r="A18" t="s">
        <v>333</v>
      </c>
      <c r="B18" s="7">
        <f>COUNTIFS(F8:F13,"&lt;0",H8:H13,"ALTO")</f>
        <v>2</v>
      </c>
    </row>
    <row r="23" spans="1:10" x14ac:dyDescent="0.25">
      <c r="A23" t="s">
        <v>334</v>
      </c>
      <c r="B23">
        <f>B17</f>
        <v>3</v>
      </c>
    </row>
    <row r="24" spans="1:10" x14ac:dyDescent="0.25">
      <c r="D24" t="s">
        <v>335</v>
      </c>
    </row>
  </sheetData>
  <mergeCells count="3">
    <mergeCell ref="A2:K2"/>
    <mergeCell ref="A15:K15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baseColWidth="10" defaultColWidth="9.140625" defaultRowHeight="15" x14ac:dyDescent="0.25"/>
  <cols>
    <col min="1" max="1" width="13" customWidth="1"/>
    <col min="2" max="2" width="20" customWidth="1"/>
    <col min="3" max="11" width="13" customWidth="1"/>
  </cols>
  <sheetData>
    <row r="1" spans="1:11" ht="18.75" x14ac:dyDescent="0.25">
      <c r="A1" s="17" t="s">
        <v>336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337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117</v>
      </c>
      <c r="B4" t="s">
        <v>118</v>
      </c>
    </row>
    <row r="7" spans="1:11" ht="25.5" x14ac:dyDescent="0.25">
      <c r="A7" s="9" t="s">
        <v>119</v>
      </c>
      <c r="B7" s="9" t="s">
        <v>211</v>
      </c>
      <c r="C7" s="9" t="s">
        <v>262</v>
      </c>
      <c r="D7" s="9" t="s">
        <v>263</v>
      </c>
      <c r="E7" s="9" t="s">
        <v>151</v>
      </c>
      <c r="F7" s="9" t="s">
        <v>338</v>
      </c>
      <c r="G7" s="9" t="s">
        <v>339</v>
      </c>
      <c r="H7" s="9" t="s">
        <v>340</v>
      </c>
      <c r="I7" s="9" t="s">
        <v>217</v>
      </c>
      <c r="J7" s="9" t="s">
        <v>67</v>
      </c>
      <c r="K7" s="9" t="s">
        <v>68</v>
      </c>
    </row>
    <row r="8" spans="1:11" x14ac:dyDescent="0.25">
      <c r="A8" s="4" t="s">
        <v>125</v>
      </c>
      <c r="B8" t="s">
        <v>219</v>
      </c>
      <c r="C8" s="5">
        <v>125000000</v>
      </c>
      <c r="D8" s="5">
        <v>75000000</v>
      </c>
      <c r="E8" s="5">
        <f>C8-D8</f>
        <v>50000000</v>
      </c>
      <c r="F8" s="5">
        <v>62000000</v>
      </c>
      <c r="G8" s="5">
        <f>F8-E8</f>
        <v>12000000</v>
      </c>
      <c r="H8" s="5">
        <v>12000000</v>
      </c>
      <c r="I8" s="5">
        <f>G8-H8</f>
        <v>0</v>
      </c>
      <c r="J8" t="str">
        <f>IF(ABS(I8)&gt;E8*0.1,"ALTO",IF(I8&lt;&gt;0,"MEDIO","BAJO"))</f>
        <v>BAJO</v>
      </c>
      <c r="K8" t="str">
        <f>IF(J8="ALTO","🔴 ERROR",IF(J8="MEDIO","⚠ REVISAR","✓ CORRECTO"))</f>
        <v>✓ CORRECTO</v>
      </c>
    </row>
    <row r="9" spans="1:11" x14ac:dyDescent="0.25">
      <c r="A9" s="4" t="s">
        <v>341</v>
      </c>
      <c r="B9" t="s">
        <v>221</v>
      </c>
      <c r="C9" s="5">
        <v>385000000</v>
      </c>
      <c r="D9" s="5">
        <v>230000000</v>
      </c>
      <c r="E9" s="5">
        <f>C9-D9</f>
        <v>155000000</v>
      </c>
      <c r="F9" s="5">
        <v>178000000</v>
      </c>
      <c r="G9" s="5">
        <f>F9-E9</f>
        <v>23000000</v>
      </c>
      <c r="H9" s="5">
        <v>23000000</v>
      </c>
      <c r="I9" s="5">
        <f>G9-H9</f>
        <v>0</v>
      </c>
      <c r="J9" t="str">
        <f>IF(ABS(I9)&gt;E9*0.1,"ALTO",IF(I9&lt;&gt;0,"MEDIO","BAJO"))</f>
        <v>BAJO</v>
      </c>
      <c r="K9" t="str">
        <f>IF(J9="ALTO","🔴 ERROR",IF(J9="MEDIO","⚠ REVISAR","✓ CORRECTO"))</f>
        <v>✓ CORRECTO</v>
      </c>
    </row>
    <row r="10" spans="1:11" x14ac:dyDescent="0.25">
      <c r="A10" s="4" t="s">
        <v>163</v>
      </c>
      <c r="B10" t="s">
        <v>250</v>
      </c>
      <c r="C10" s="5">
        <v>95000000</v>
      </c>
      <c r="D10" s="5">
        <v>85000000</v>
      </c>
      <c r="E10" s="5">
        <f>C10-D10</f>
        <v>10000000</v>
      </c>
      <c r="F10" s="5">
        <v>15000000</v>
      </c>
      <c r="G10" s="5">
        <f>F10-E10</f>
        <v>5000000</v>
      </c>
      <c r="H10" s="5">
        <v>5000000</v>
      </c>
      <c r="I10" s="5">
        <f>G10-H10</f>
        <v>0</v>
      </c>
      <c r="J10" t="str">
        <f>IF(ABS(I10)&gt;E10*0.1,"ALTO",IF(I10&lt;&gt;0,"MEDIO","BAJO"))</f>
        <v>BAJO</v>
      </c>
      <c r="K10" t="str">
        <f>IF(J10="ALTO","🔴 ERROR",IF(J10="MEDIO","⚠ REVISAR","✓ CORRECTO"))</f>
        <v>✓ CORRECTO</v>
      </c>
    </row>
    <row r="11" spans="1:11" x14ac:dyDescent="0.25">
      <c r="A11" s="4" t="s">
        <v>166</v>
      </c>
      <c r="B11" t="s">
        <v>135</v>
      </c>
      <c r="C11" s="5">
        <v>45000000</v>
      </c>
      <c r="D11" s="5">
        <v>40000000</v>
      </c>
      <c r="E11" s="5">
        <f>C11-D11</f>
        <v>5000000</v>
      </c>
      <c r="F11" s="5">
        <v>8000000</v>
      </c>
      <c r="G11" s="5">
        <f>F11-E11</f>
        <v>3000000</v>
      </c>
      <c r="H11" s="5">
        <v>3000000</v>
      </c>
      <c r="I11" s="5">
        <f>G11-H11</f>
        <v>0</v>
      </c>
      <c r="J11" t="str">
        <f>IF(ABS(I11)&gt;E11*0.1,"ALTO",IF(I11&lt;&gt;0,"MEDIO","BAJO"))</f>
        <v>BAJO</v>
      </c>
      <c r="K11" t="str">
        <f>IF(J11="ALTO","🔴 ERROR",IF(J11="MEDIO","⚠ REVISAR","✓ CORRECTO"))</f>
        <v>✓ CORRECTO</v>
      </c>
    </row>
    <row r="13" spans="1:11" x14ac:dyDescent="0.25">
      <c r="A13" s="19" t="s">
        <v>342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x14ac:dyDescent="0.25">
      <c r="A14" t="s">
        <v>343</v>
      </c>
      <c r="B14">
        <f>COUNTA(A8:A11)</f>
        <v>4</v>
      </c>
    </row>
    <row r="15" spans="1:11" x14ac:dyDescent="0.25">
      <c r="A15" t="s">
        <v>344</v>
      </c>
      <c r="B15">
        <f>COUNTIF(I8:I11,"&lt;&gt;0")</f>
        <v>0</v>
      </c>
    </row>
    <row r="16" spans="1:11" x14ac:dyDescent="0.25">
      <c r="A16" t="s">
        <v>345</v>
      </c>
      <c r="B16" s="8">
        <f>SUM(I8:I11)</f>
        <v>0</v>
      </c>
    </row>
    <row r="17" spans="1:10" ht="15.75" x14ac:dyDescent="0.25">
      <c r="A17" t="s">
        <v>257</v>
      </c>
      <c r="B17" s="3">
        <f>B16</f>
        <v>0</v>
      </c>
      <c r="I17" t="s">
        <v>108</v>
      </c>
      <c r="J17" s="6" t="str">
        <f>IF(COUNTIF(J8:J11,"ALTO")&gt;0,"ALTO",IF(B15&gt;0,"MEDIO","BAJO"))</f>
        <v>BAJO</v>
      </c>
    </row>
    <row r="23" spans="1:10" x14ac:dyDescent="0.25">
      <c r="A23" t="s">
        <v>231</v>
      </c>
      <c r="B23">
        <f>B15</f>
        <v>0</v>
      </c>
    </row>
    <row r="24" spans="1:10" x14ac:dyDescent="0.25">
      <c r="D24" s="3">
        <f>ABS(B16)</f>
        <v>0</v>
      </c>
    </row>
  </sheetData>
  <mergeCells count="3">
    <mergeCell ref="A2:K2"/>
    <mergeCell ref="A1:K1"/>
    <mergeCell ref="A13:K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baseColWidth="10" defaultColWidth="9.140625" defaultRowHeight="15" x14ac:dyDescent="0.25"/>
  <cols>
    <col min="1" max="1" width="14" customWidth="1"/>
    <col min="2" max="2" width="28" customWidth="1"/>
    <col min="3" max="9" width="14" customWidth="1"/>
    <col min="10" max="10" width="22" customWidth="1"/>
  </cols>
  <sheetData>
    <row r="1" spans="1:10" ht="18.75" x14ac:dyDescent="0.25">
      <c r="A1" s="17" t="s">
        <v>346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347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183</v>
      </c>
      <c r="B4" t="s">
        <v>7</v>
      </c>
    </row>
    <row r="7" spans="1:10" ht="25.5" x14ac:dyDescent="0.25">
      <c r="A7" s="9" t="s">
        <v>348</v>
      </c>
      <c r="B7" s="9" t="s">
        <v>60</v>
      </c>
      <c r="C7" s="9" t="s">
        <v>62</v>
      </c>
      <c r="D7" s="9" t="s">
        <v>349</v>
      </c>
      <c r="E7" s="9" t="s">
        <v>350</v>
      </c>
      <c r="F7" s="9" t="s">
        <v>351</v>
      </c>
      <c r="G7" s="9" t="s">
        <v>352</v>
      </c>
      <c r="H7" s="9" t="s">
        <v>67</v>
      </c>
      <c r="I7" s="9" t="s">
        <v>68</v>
      </c>
      <c r="J7" s="9" t="s">
        <v>69</v>
      </c>
    </row>
    <row r="8" spans="1:10" x14ac:dyDescent="0.25">
      <c r="A8" t="s">
        <v>353</v>
      </c>
      <c r="B8" t="s">
        <v>354</v>
      </c>
      <c r="C8" s="5">
        <v>385000000</v>
      </c>
      <c r="D8" t="s">
        <v>73</v>
      </c>
      <c r="E8" t="s">
        <v>78</v>
      </c>
      <c r="F8" t="s">
        <v>78</v>
      </c>
      <c r="G8" t="s">
        <v>78</v>
      </c>
      <c r="H8" t="str">
        <f>IF(OR(D8="NO",AND(E8="NO",G8="NO")),"CRÍTICO","BAJO")</f>
        <v>CRÍTICO</v>
      </c>
      <c r="I8" t="str">
        <f>IF(H8="CRÍTICO","⛔ FICTICIO","✓ EXISTE")</f>
        <v>⛔ FICTICIO</v>
      </c>
      <c r="J8" t="str">
        <f>IF(H8="CRÍTICO","Dar de baja inmediata","Ninguna")</f>
        <v>Dar de baja inmediata</v>
      </c>
    </row>
    <row r="9" spans="1:10" x14ac:dyDescent="0.25">
      <c r="A9" t="s">
        <v>355</v>
      </c>
      <c r="B9" t="s">
        <v>71</v>
      </c>
      <c r="C9" s="5">
        <v>125000000</v>
      </c>
      <c r="D9" t="s">
        <v>73</v>
      </c>
      <c r="E9" t="s">
        <v>73</v>
      </c>
      <c r="F9" t="s">
        <v>73</v>
      </c>
      <c r="G9" t="s">
        <v>73</v>
      </c>
      <c r="H9" t="str">
        <f>IF(OR(D9="NO",AND(E9="NO",G9="NO")),"CRÍTICO","BAJO")</f>
        <v>BAJO</v>
      </c>
      <c r="I9" t="str">
        <f>IF(H9="CRÍTICO","⛔ FICTICIO","✓ EXISTE")</f>
        <v>✓ EXISTE</v>
      </c>
      <c r="J9" t="str">
        <f>IF(H9="CRÍTICO","Dar de baja inmediata","Ninguna")</f>
        <v>Ninguna</v>
      </c>
    </row>
    <row r="10" spans="1:10" x14ac:dyDescent="0.25">
      <c r="A10" t="s">
        <v>356</v>
      </c>
      <c r="B10" t="s">
        <v>357</v>
      </c>
      <c r="C10" s="5">
        <v>520000000</v>
      </c>
      <c r="D10" t="s">
        <v>78</v>
      </c>
      <c r="E10" t="s">
        <v>78</v>
      </c>
      <c r="F10" t="s">
        <v>78</v>
      </c>
      <c r="G10" t="s">
        <v>78</v>
      </c>
      <c r="H10" t="str">
        <f>IF(OR(D10="NO",AND(E10="NO",G10="NO")),"CRÍTICO","BAJO")</f>
        <v>CRÍTICO</v>
      </c>
      <c r="I10" t="str">
        <f>IF(H10="CRÍTICO","⛔ FICTICIO","✓ EXISTE")</f>
        <v>⛔ FICTICIO</v>
      </c>
      <c r="J10" t="str">
        <f>IF(H10="CRÍTICO","Dar de baja inmediata","Ninguna")</f>
        <v>Dar de baja inmediata</v>
      </c>
    </row>
    <row r="11" spans="1:10" x14ac:dyDescent="0.25">
      <c r="A11" t="s">
        <v>358</v>
      </c>
      <c r="B11" t="s">
        <v>359</v>
      </c>
      <c r="C11" s="5">
        <v>2800000000</v>
      </c>
      <c r="D11" t="s">
        <v>73</v>
      </c>
      <c r="E11" t="s">
        <v>73</v>
      </c>
      <c r="F11" t="s">
        <v>79</v>
      </c>
      <c r="G11" t="s">
        <v>73</v>
      </c>
      <c r="H11" t="str">
        <f>IF(OR(D11="NO",AND(E11="NO",G11="NO")),"CRÍTICO","BAJO")</f>
        <v>BAJO</v>
      </c>
      <c r="I11" t="str">
        <f>IF(H11="CRÍTICO","⛔ FICTICIO","✓ EXISTE")</f>
        <v>✓ EXISTE</v>
      </c>
      <c r="J11" t="str">
        <f>IF(H11="CRÍTICO","Dar de baja inmediata","Ninguna")</f>
        <v>Ninguna</v>
      </c>
    </row>
    <row r="12" spans="1:10" x14ac:dyDescent="0.25">
      <c r="A12" t="s">
        <v>360</v>
      </c>
      <c r="B12" t="s">
        <v>361</v>
      </c>
      <c r="C12" s="5">
        <v>185000000</v>
      </c>
      <c r="D12" t="s">
        <v>73</v>
      </c>
      <c r="E12" t="s">
        <v>73</v>
      </c>
      <c r="F12" t="s">
        <v>73</v>
      </c>
      <c r="G12" t="s">
        <v>73</v>
      </c>
      <c r="H12" t="str">
        <f>IF(OR(D12="NO",AND(E12="NO",G12="NO")),"CRÍTICO","BAJO")</f>
        <v>BAJO</v>
      </c>
      <c r="I12" t="str">
        <f>IF(H12="CRÍTICO","⛔ FICTICIO","✓ EXISTE")</f>
        <v>✓ EXISTE</v>
      </c>
      <c r="J12" t="str">
        <f>IF(H12="CRÍTICO","Dar de baja inmediata","Ninguna")</f>
        <v>Ninguna</v>
      </c>
    </row>
    <row r="14" spans="1:10" x14ac:dyDescent="0.25">
      <c r="A14" s="19" t="s">
        <v>362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t="s">
        <v>363</v>
      </c>
      <c r="B15">
        <f>COUNTA(A8:A12)</f>
        <v>5</v>
      </c>
    </row>
    <row r="16" spans="1:10" ht="15.75" x14ac:dyDescent="0.25">
      <c r="A16" t="s">
        <v>364</v>
      </c>
      <c r="B16" s="7">
        <f>COUNTIF(H8:H12,"CRÍTICO")</f>
        <v>2</v>
      </c>
      <c r="H16" t="s">
        <v>108</v>
      </c>
      <c r="I16" s="6" t="str">
        <f>IF(B16&gt;0,"CRÍTICO","BAJO")</f>
        <v>CRÍTICO</v>
      </c>
    </row>
    <row r="17" spans="1:4" x14ac:dyDescent="0.25">
      <c r="A17" t="s">
        <v>365</v>
      </c>
      <c r="B17" s="8">
        <f>SUMIF(H8:H12,"CRÍTICO",C8:C12)</f>
        <v>905000000</v>
      </c>
    </row>
    <row r="21" spans="1:4" x14ac:dyDescent="0.25">
      <c r="A21" t="s">
        <v>366</v>
      </c>
      <c r="B21">
        <f>B16</f>
        <v>2</v>
      </c>
      <c r="C21" t="s">
        <v>367</v>
      </c>
    </row>
    <row r="22" spans="1:4" x14ac:dyDescent="0.25">
      <c r="D22" s="3">
        <f>B17</f>
        <v>905000000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ÍNDICE_GENERAL</vt:lpstr>
      <vt:lpstr>PT_D.1_InspeccionFisica</vt:lpstr>
      <vt:lpstr>PT_D.2_Adiciones</vt:lpstr>
      <vt:lpstr>PT_D.3_Retiros</vt:lpstr>
      <vt:lpstr>PT_D.4_Certificados</vt:lpstr>
      <vt:lpstr>PT_D.5_Depreciacion</vt:lpstr>
      <vt:lpstr>PT_D.6_Reparaciones</vt:lpstr>
      <vt:lpstr>PT_D.7_TotalDepreciados</vt:lpstr>
      <vt:lpstr>PT_D.8_Revaluaciones</vt:lpstr>
      <vt:lpstr>PT_D.9_Arrendados</vt:lpstr>
      <vt:lpstr>PT_D.10_Politicas</vt:lpstr>
      <vt:lpstr>PT_D.11_Ventas</vt:lpstr>
      <vt:lpstr>PT_D.12_Ficticios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2025-11-17T15:56:30Z</dcterms:created>
  <dcterms:modified xsi:type="dcterms:W3CDTF">2025-11-17T16:50:21Z</dcterms:modified>
</cp:coreProperties>
</file>