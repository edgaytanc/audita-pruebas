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Toño\Desktop\PAPELES COLOMBIA\1 AUDITORIA Y REVISORIA FISCAL\Pruebas de Deteccion de Fraudes\"/>
    </mc:Choice>
  </mc:AlternateContent>
  <bookViews>
    <workbookView xWindow="0" yWindow="0" windowWidth="25200" windowHeight="11580"/>
  </bookViews>
  <sheets>
    <sheet name="ÍNDICE" sheetId="1" r:id="rId1"/>
    <sheet name="PT I.1 - Tendencias" sheetId="2" r:id="rId2"/>
    <sheet name="PT I.2 - Cut-Off Ventas" sheetId="3" r:id="rId3"/>
    <sheet name="PT I.3 - NC Post-Cierre" sheetId="4" r:id="rId4"/>
    <sheet name="PT I.4 - Términos Inusuales" sheetId="5" r:id="rId5"/>
    <sheet name="PT I.5 - Duplicados" sheetId="6" r:id="rId6"/>
    <sheet name="PT I.6 - Devoluciones" sheetId="7" r:id="rId7"/>
    <sheet name="PT I.7 - Depósitos" sheetId="8" r:id="rId8"/>
    <sheet name="PT I.8 - CxC Rotación" sheetId="9" r:id="rId9"/>
    <sheet name="PT I.9 - Margen Bruto" sheetId="10" r:id="rId10"/>
    <sheet name="PT I.10 - Montos Redondos" sheetId="11" r:id="rId11"/>
    <sheet name="PT I.11 - JE Testing" sheetId="12" r:id="rId12"/>
  </sheets>
  <calcPr calcId="162913"/>
</workbook>
</file>

<file path=xl/calcChain.xml><?xml version="1.0" encoding="utf-8"?>
<calcChain xmlns="http://schemas.openxmlformats.org/spreadsheetml/2006/main">
  <c r="B17" i="12" l="1"/>
  <c r="B16" i="12"/>
  <c r="B15" i="12"/>
  <c r="B14" i="12"/>
  <c r="L10" i="12"/>
  <c r="K10" i="12"/>
  <c r="L9" i="12"/>
  <c r="K9" i="12"/>
  <c r="L8" i="12"/>
  <c r="K8" i="12"/>
  <c r="L7" i="12"/>
  <c r="K7" i="12"/>
  <c r="B18" i="11"/>
  <c r="H14" i="11"/>
  <c r="G14" i="11"/>
  <c r="I14" i="11" s="1"/>
  <c r="J14" i="11" s="1"/>
  <c r="F14" i="11"/>
  <c r="G13" i="11"/>
  <c r="I13" i="11" s="1"/>
  <c r="J13" i="11" s="1"/>
  <c r="F13" i="11"/>
  <c r="J12" i="11"/>
  <c r="I12" i="11"/>
  <c r="H12" i="11"/>
  <c r="G12" i="11"/>
  <c r="F12" i="11"/>
  <c r="I11" i="11"/>
  <c r="J11" i="11" s="1"/>
  <c r="G11" i="11"/>
  <c r="H11" i="11" s="1"/>
  <c r="F11" i="11"/>
  <c r="H10" i="11"/>
  <c r="G10" i="11"/>
  <c r="I10" i="11" s="1"/>
  <c r="J10" i="11" s="1"/>
  <c r="F10" i="11"/>
  <c r="G9" i="11"/>
  <c r="I9" i="11" s="1"/>
  <c r="J9" i="11" s="1"/>
  <c r="F9" i="11"/>
  <c r="J8" i="11"/>
  <c r="I8" i="11"/>
  <c r="H8" i="11"/>
  <c r="G8" i="11"/>
  <c r="F8" i="11"/>
  <c r="I7" i="11"/>
  <c r="J7" i="11" s="1"/>
  <c r="G7" i="11"/>
  <c r="H7" i="11" s="1"/>
  <c r="F7" i="11"/>
  <c r="F11" i="10"/>
  <c r="H11" i="10" s="1"/>
  <c r="I11" i="10" s="1"/>
  <c r="J11" i="10" s="1"/>
  <c r="E11" i="10"/>
  <c r="E10" i="10"/>
  <c r="F10" i="10" s="1"/>
  <c r="F9" i="10"/>
  <c r="I9" i="10" s="1"/>
  <c r="J9" i="10" s="1"/>
  <c r="E9" i="10"/>
  <c r="E8" i="10"/>
  <c r="F8" i="10" s="1"/>
  <c r="F7" i="10"/>
  <c r="B16" i="10" s="1"/>
  <c r="E7" i="10"/>
  <c r="B15" i="9"/>
  <c r="H11" i="9"/>
  <c r="E11" i="9"/>
  <c r="I11" i="9" s="1"/>
  <c r="J11" i="9" s="1"/>
  <c r="I10" i="9"/>
  <c r="J10" i="9" s="1"/>
  <c r="H10" i="9"/>
  <c r="G10" i="9"/>
  <c r="E10" i="9"/>
  <c r="H9" i="9"/>
  <c r="E9" i="9"/>
  <c r="G9" i="9" s="1"/>
  <c r="I8" i="9"/>
  <c r="J8" i="9" s="1"/>
  <c r="H8" i="9"/>
  <c r="G8" i="9"/>
  <c r="E8" i="9"/>
  <c r="H7" i="9"/>
  <c r="E7" i="9"/>
  <c r="B18" i="9" s="1"/>
  <c r="B15" i="8"/>
  <c r="H11" i="8"/>
  <c r="I11" i="8" s="1"/>
  <c r="J11" i="8" s="1"/>
  <c r="H10" i="8"/>
  <c r="I10" i="8" s="1"/>
  <c r="J10" i="8" s="1"/>
  <c r="J9" i="8"/>
  <c r="H9" i="8"/>
  <c r="I9" i="8" s="1"/>
  <c r="I8" i="8"/>
  <c r="J8" i="8" s="1"/>
  <c r="H8" i="8"/>
  <c r="H7" i="8"/>
  <c r="B22" i="7"/>
  <c r="H18" i="7"/>
  <c r="I18" i="7" s="1"/>
  <c r="J18" i="7" s="1"/>
  <c r="G18" i="7"/>
  <c r="F18" i="7"/>
  <c r="E18" i="7"/>
  <c r="I17" i="7"/>
  <c r="J17" i="7" s="1"/>
  <c r="H17" i="7"/>
  <c r="G17" i="7"/>
  <c r="F17" i="7"/>
  <c r="E17" i="7"/>
  <c r="H16" i="7"/>
  <c r="I16" i="7" s="1"/>
  <c r="J16" i="7" s="1"/>
  <c r="G16" i="7"/>
  <c r="F16" i="7"/>
  <c r="E16" i="7"/>
  <c r="I15" i="7"/>
  <c r="J15" i="7" s="1"/>
  <c r="H15" i="7"/>
  <c r="G15" i="7"/>
  <c r="F15" i="7"/>
  <c r="E15" i="7"/>
  <c r="H14" i="7"/>
  <c r="I14" i="7" s="1"/>
  <c r="J14" i="7" s="1"/>
  <c r="G14" i="7"/>
  <c r="F14" i="7"/>
  <c r="E14" i="7"/>
  <c r="I13" i="7"/>
  <c r="J13" i="7" s="1"/>
  <c r="H13" i="7"/>
  <c r="G13" i="7"/>
  <c r="F13" i="7"/>
  <c r="E13" i="7"/>
  <c r="H12" i="7"/>
  <c r="I12" i="7" s="1"/>
  <c r="J12" i="7" s="1"/>
  <c r="G12" i="7"/>
  <c r="F12" i="7"/>
  <c r="E12" i="7"/>
  <c r="I11" i="7"/>
  <c r="J11" i="7" s="1"/>
  <c r="H11" i="7"/>
  <c r="G11" i="7"/>
  <c r="F11" i="7"/>
  <c r="E11" i="7"/>
  <c r="H10" i="7"/>
  <c r="I10" i="7" s="1"/>
  <c r="J10" i="7" s="1"/>
  <c r="G10" i="7"/>
  <c r="F10" i="7"/>
  <c r="E10" i="7"/>
  <c r="I9" i="7"/>
  <c r="J9" i="7" s="1"/>
  <c r="H9" i="7"/>
  <c r="G9" i="7"/>
  <c r="F9" i="7"/>
  <c r="E9" i="7"/>
  <c r="H8" i="7"/>
  <c r="I8" i="7" s="1"/>
  <c r="J8" i="7" s="1"/>
  <c r="G8" i="7"/>
  <c r="B23" i="7" s="1"/>
  <c r="F8" i="7"/>
  <c r="E8" i="7"/>
  <c r="I7" i="7"/>
  <c r="J7" i="7" s="1"/>
  <c r="H7" i="7"/>
  <c r="B24" i="7" s="1"/>
  <c r="G7" i="7"/>
  <c r="F7" i="7"/>
  <c r="E7" i="7"/>
  <c r="B15" i="6"/>
  <c r="B13" i="6"/>
  <c r="K9" i="6"/>
  <c r="J9" i="6"/>
  <c r="I9" i="6"/>
  <c r="J8" i="6"/>
  <c r="K8" i="6" s="1"/>
  <c r="I8" i="6"/>
  <c r="I7" i="6"/>
  <c r="J7" i="6" s="1"/>
  <c r="B17" i="5"/>
  <c r="B15" i="5"/>
  <c r="B14" i="5"/>
  <c r="L10" i="5"/>
  <c r="H10" i="5"/>
  <c r="H9" i="5"/>
  <c r="L9" i="5" s="1"/>
  <c r="L8" i="5"/>
  <c r="H8" i="5"/>
  <c r="H7" i="5"/>
  <c r="L7" i="5" s="1"/>
  <c r="B16" i="5" s="1"/>
  <c r="B16" i="4"/>
  <c r="B15" i="4"/>
  <c r="K11" i="4"/>
  <c r="J11" i="4"/>
  <c r="K10" i="4"/>
  <c r="J10" i="4"/>
  <c r="K9" i="4"/>
  <c r="J9" i="4"/>
  <c r="K8" i="4"/>
  <c r="J8" i="4"/>
  <c r="K7" i="4"/>
  <c r="J7" i="4"/>
  <c r="B17" i="4" s="1"/>
  <c r="A20" i="4" s="1"/>
  <c r="B25" i="3"/>
  <c r="I21" i="3"/>
  <c r="H21" i="3"/>
  <c r="J21" i="3" s="1"/>
  <c r="L21" i="3" s="1"/>
  <c r="I20" i="3"/>
  <c r="H20" i="3"/>
  <c r="J20" i="3" s="1"/>
  <c r="K20" i="3" s="1"/>
  <c r="I19" i="3"/>
  <c r="J19" i="3" s="1"/>
  <c r="H19" i="3"/>
  <c r="J18" i="3"/>
  <c r="I18" i="3"/>
  <c r="H18" i="3"/>
  <c r="I17" i="3"/>
  <c r="H17" i="3"/>
  <c r="J17" i="3" s="1"/>
  <c r="L17" i="3" s="1"/>
  <c r="L16" i="3"/>
  <c r="I16" i="3"/>
  <c r="H16" i="3"/>
  <c r="J16" i="3" s="1"/>
  <c r="K16" i="3" s="1"/>
  <c r="I15" i="3"/>
  <c r="J15" i="3" s="1"/>
  <c r="H15" i="3"/>
  <c r="J14" i="3"/>
  <c r="I14" i="3"/>
  <c r="H14" i="3"/>
  <c r="K13" i="3"/>
  <c r="I13" i="3"/>
  <c r="H13" i="3"/>
  <c r="J13" i="3" s="1"/>
  <c r="L13" i="3" s="1"/>
  <c r="L12" i="3"/>
  <c r="I12" i="3"/>
  <c r="H12" i="3"/>
  <c r="J12" i="3" s="1"/>
  <c r="K12" i="3" s="1"/>
  <c r="I11" i="3"/>
  <c r="J11" i="3" s="1"/>
  <c r="H11" i="3"/>
  <c r="J10" i="3"/>
  <c r="I10" i="3"/>
  <c r="H10" i="3"/>
  <c r="K9" i="3"/>
  <c r="I9" i="3"/>
  <c r="H9" i="3"/>
  <c r="J9" i="3" s="1"/>
  <c r="L9" i="3" s="1"/>
  <c r="I8" i="3"/>
  <c r="H8" i="3"/>
  <c r="J8" i="3" s="1"/>
  <c r="K8" i="3" s="1"/>
  <c r="I7" i="3"/>
  <c r="J7" i="3" s="1"/>
  <c r="H7" i="3"/>
  <c r="B22" i="2"/>
  <c r="E18" i="2"/>
  <c r="F18" i="2" s="1"/>
  <c r="G18" i="2" s="1"/>
  <c r="D18" i="2"/>
  <c r="C18" i="2"/>
  <c r="F17" i="2"/>
  <c r="G17" i="2" s="1"/>
  <c r="E17" i="2"/>
  <c r="D17" i="2"/>
  <c r="C17" i="2"/>
  <c r="E16" i="2"/>
  <c r="F16" i="2" s="1"/>
  <c r="G16" i="2" s="1"/>
  <c r="D16" i="2"/>
  <c r="C16" i="2"/>
  <c r="F15" i="2"/>
  <c r="G15" i="2" s="1"/>
  <c r="E15" i="2"/>
  <c r="D15" i="2"/>
  <c r="C15" i="2"/>
  <c r="E14" i="2"/>
  <c r="F14" i="2" s="1"/>
  <c r="G14" i="2" s="1"/>
  <c r="D14" i="2"/>
  <c r="C14" i="2"/>
  <c r="F13" i="2"/>
  <c r="G13" i="2" s="1"/>
  <c r="E13" i="2"/>
  <c r="D13" i="2"/>
  <c r="C13" i="2"/>
  <c r="E12" i="2"/>
  <c r="F12" i="2" s="1"/>
  <c r="G12" i="2" s="1"/>
  <c r="D12" i="2"/>
  <c r="C12" i="2"/>
  <c r="F11" i="2"/>
  <c r="G11" i="2" s="1"/>
  <c r="E11" i="2"/>
  <c r="D11" i="2"/>
  <c r="C11" i="2"/>
  <c r="E10" i="2"/>
  <c r="F10" i="2" s="1"/>
  <c r="G10" i="2" s="1"/>
  <c r="D10" i="2"/>
  <c r="C10" i="2"/>
  <c r="E9" i="2"/>
  <c r="F9" i="2" s="1"/>
  <c r="G9" i="2" s="1"/>
  <c r="D9" i="2"/>
  <c r="C9" i="2"/>
  <c r="C8" i="2"/>
  <c r="D8" i="2" s="1"/>
  <c r="B23" i="2"/>
  <c r="H7" i="2" l="1"/>
  <c r="I7" i="2" s="1"/>
  <c r="H18" i="2"/>
  <c r="I18" i="2" s="1"/>
  <c r="J18" i="2" s="1"/>
  <c r="H15" i="2"/>
  <c r="I15" i="2" s="1"/>
  <c r="J15" i="2" s="1"/>
  <c r="H11" i="2"/>
  <c r="I11" i="2" s="1"/>
  <c r="J11" i="2" s="1"/>
  <c r="H17" i="2"/>
  <c r="I17" i="2" s="1"/>
  <c r="J17" i="2" s="1"/>
  <c r="H13" i="2"/>
  <c r="I13" i="2" s="1"/>
  <c r="J13" i="2" s="1"/>
  <c r="H9" i="2"/>
  <c r="I9" i="2" s="1"/>
  <c r="J9" i="2" s="1"/>
  <c r="H14" i="2"/>
  <c r="I14" i="2" s="1"/>
  <c r="J14" i="2" s="1"/>
  <c r="H10" i="2"/>
  <c r="I10" i="2" s="1"/>
  <c r="J10" i="2" s="1"/>
  <c r="H12" i="2"/>
  <c r="I12" i="2" s="1"/>
  <c r="J12" i="2" s="1"/>
  <c r="H16" i="2"/>
  <c r="I16" i="2" s="1"/>
  <c r="J16" i="2" s="1"/>
  <c r="H8" i="2"/>
  <c r="I8" i="2" s="1"/>
  <c r="J8" i="2" s="1"/>
  <c r="L15" i="3"/>
  <c r="K15" i="3"/>
  <c r="B26" i="3"/>
  <c r="L7" i="3"/>
  <c r="K7" i="3"/>
  <c r="L14" i="3"/>
  <c r="K14" i="3"/>
  <c r="L20" i="3"/>
  <c r="B18" i="8"/>
  <c r="I7" i="8"/>
  <c r="J7" i="8" s="1"/>
  <c r="B16" i="8" s="1"/>
  <c r="B17" i="8"/>
  <c r="K17" i="3"/>
  <c r="B28" i="2"/>
  <c r="L10" i="3"/>
  <c r="K10" i="3"/>
  <c r="L19" i="3"/>
  <c r="K19" i="3"/>
  <c r="H10" i="10"/>
  <c r="I10" i="10" s="1"/>
  <c r="J10" i="10" s="1"/>
  <c r="L8" i="3"/>
  <c r="L11" i="3"/>
  <c r="K11" i="3"/>
  <c r="L18" i="3"/>
  <c r="K18" i="3"/>
  <c r="K21" i="3"/>
  <c r="B14" i="6"/>
  <c r="K7" i="6"/>
  <c r="B25" i="7"/>
  <c r="B17" i="10"/>
  <c r="H8" i="10"/>
  <c r="I8" i="10"/>
  <c r="J8" i="10" s="1"/>
  <c r="B21" i="11"/>
  <c r="G7" i="9"/>
  <c r="I9" i="9"/>
  <c r="J9" i="9" s="1"/>
  <c r="G11" i="9"/>
  <c r="H9" i="10"/>
  <c r="H9" i="11"/>
  <c r="H13" i="11"/>
  <c r="B16" i="9"/>
  <c r="B15" i="10"/>
  <c r="B19" i="11"/>
  <c r="B20" i="11" s="1"/>
  <c r="I7" i="9"/>
  <c r="J7" i="9" s="1"/>
  <c r="B17" i="9" s="1"/>
  <c r="H7" i="10"/>
  <c r="I7" i="10" s="1"/>
  <c r="J7" i="10" s="1"/>
  <c r="B27" i="3" l="1"/>
  <c r="B28" i="3" s="1"/>
  <c r="B27" i="2"/>
  <c r="J7" i="2"/>
  <c r="B26" i="2"/>
</calcChain>
</file>

<file path=xl/sharedStrings.xml><?xml version="1.0" encoding="utf-8"?>
<sst xmlns="http://schemas.openxmlformats.org/spreadsheetml/2006/main" count="705" uniqueCount="401">
  <si>
    <t>PROGRAMA DE AUDITORÍA</t>
  </si>
  <si>
    <t>INGRESOS ORDINARIOS - ÁREA DE MAYOR RIESGO</t>
  </si>
  <si>
    <t>DETECCIÓN DE FRAUDE EN RECONOCIMIENTO DE INGRESOS (NIA 240)</t>
  </si>
  <si>
    <t>⚠️ PRESUNCIÓN DE RIESGO DE FRAUDE EN RECONOCIMIENTO DE INGRESOS</t>
  </si>
  <si>
    <t>REF.</t>
  </si>
  <si>
    <t>PAPEL DE TRABAJO</t>
  </si>
  <si>
    <t>NIA/MARCO</t>
  </si>
  <si>
    <t>OBJETIVO DETECCIÓN DE FRAUDE</t>
  </si>
  <si>
    <t>PT I.1</t>
  </si>
  <si>
    <t>Análisis Tendencias Mensuales</t>
  </si>
  <si>
    <t>NIA 240</t>
  </si>
  <si>
    <t>Detectar patrones inusuales y picos de ventas</t>
  </si>
  <si>
    <t>PT I.2</t>
  </si>
  <si>
    <t>Cut-Off de Ventas</t>
  </si>
  <si>
    <t>Identificar reconocimiento en período incorrecto</t>
  </si>
  <si>
    <t>PT I.3</t>
  </si>
  <si>
    <t>Notas Crédito Post-Cierre</t>
  </si>
  <si>
    <t>NIA 560</t>
  </si>
  <si>
    <t>Detectar sobrestimación de ingresos</t>
  </si>
  <si>
    <t>PT I.4</t>
  </si>
  <si>
    <t>Ventas con Términos Inusuales</t>
  </si>
  <si>
    <t>Identificar ventas ficticias o prematuras</t>
  </si>
  <si>
    <t>PT I.5</t>
  </si>
  <si>
    <t>Registros Duplicados</t>
  </si>
  <si>
    <t>Detectar duplicación fraudulenta de ingresos</t>
  </si>
  <si>
    <t>PT I.6</t>
  </si>
  <si>
    <t>Devoluciones y Descuentos</t>
  </si>
  <si>
    <t>Identificar patrones anormales de ajustes</t>
  </si>
  <si>
    <t>PT I.7</t>
  </si>
  <si>
    <t>Ingresos No Depositados</t>
  </si>
  <si>
    <t>Detectar apropiación indebida de efectivo</t>
  </si>
  <si>
    <t>PT I.8</t>
  </si>
  <si>
    <t>Días CxC y Rotación</t>
  </si>
  <si>
    <t>NIA 330</t>
  </si>
  <si>
    <t>Identificar ventas ficticias (CxC irrecuperable)</t>
  </si>
  <si>
    <t>PT I.9</t>
  </si>
  <si>
    <t>Margen Bruto Anormal</t>
  </si>
  <si>
    <t>NIA 520</t>
  </si>
  <si>
    <t>Detectar inconsistencias en costeo/ventas</t>
  </si>
  <si>
    <t>PT I.10</t>
  </si>
  <si>
    <t>Montos Redondos - Benford</t>
  </si>
  <si>
    <t>Identificar manipulación de cifras</t>
  </si>
  <si>
    <t>PT I.11</t>
  </si>
  <si>
    <t>Journal Entry Testing</t>
  </si>
  <si>
    <t>Detectar ajustes manuales no autorizados</t>
  </si>
  <si>
    <t>🚩 BANDERAS ROJAS DE FRAUDE EN INGRESOS (NIA 240)</t>
  </si>
  <si>
    <t>• Ingresos significativos cerca del cierre del período</t>
  </si>
  <si>
    <t>• Ajustes manuales inusuales en cuentas de ingresos</t>
  </si>
  <si>
    <t>• Transacciones con partes relacionadas en términos inusuales</t>
  </si>
  <si>
    <t>• Ventas significativas a clientes nuevos o desconocidos</t>
  </si>
  <si>
    <t>• Incrementos inusuales en días de cuentas por cobrar</t>
  </si>
  <si>
    <t>• Devoluciones significativas después del cierre</t>
  </si>
  <si>
    <t>• Términos de venta que difieren de las prácticas normales</t>
  </si>
  <si>
    <t>• Ventas sin documentación adecuada o aprobaciones</t>
  </si>
  <si>
    <t>NOTAS CRÍTICAS DE AUDITORÍA:</t>
  </si>
  <si>
    <t>⚠️ Los ingresos están sujetos a PRESUNCIÓN DE RIESGO DE FRAUDE (NIA 240 párr. 26)</t>
  </si>
  <si>
    <t>🔍 Aplicar escepticismo profesional incrementado en todas las pruebas</t>
  </si>
  <si>
    <t>📊 Todos los cálculos son automáticos - Actualizar con datos reales</t>
  </si>
  <si>
    <t>🔴 Alertas ROJAS requieren comunicación inmediata a dirección</t>
  </si>
  <si>
    <t>📝 Documentar extensamente el trabajo realizado</t>
  </si>
  <si>
    <t>👥 Considerar consulta con expertos forenses si se detectan patrones</t>
  </si>
  <si>
    <t>⚖️ Evaluar impacto en opinión de auditoría según NIA 240</t>
  </si>
  <si>
    <t>PT I.1 - ANÁLISIS DE TENDENCIAS MENSUALES - PATRONES INUSUALES</t>
  </si>
  <si>
    <t>CLIENTE:</t>
  </si>
  <si>
    <t>[Nombre del Cliente]</t>
  </si>
  <si>
    <t>PERÍODO:</t>
  </si>
  <si>
    <t>[AAAA]</t>
  </si>
  <si>
    <t>AUDITOR:</t>
  </si>
  <si>
    <t>[Nombre Auditor]</t>
  </si>
  <si>
    <t>FECHA:</t>
  </si>
  <si>
    <t>17/11/2025</t>
  </si>
  <si>
    <t>REF:</t>
  </si>
  <si>
    <t>PT I.1 - Tendencias</t>
  </si>
  <si>
    <t>RIESGO:</t>
  </si>
  <si>
    <t>ALTO - NIA 240</t>
  </si>
  <si>
    <t>MES</t>
  </si>
  <si>
    <t>INGRESOS</t>
  </si>
  <si>
    <t>VARIACIÓN vs MES ANTERIOR</t>
  </si>
  <si>
    <t>% VARIACIÓN</t>
  </si>
  <si>
    <t>PROMEDIO MÓVIL 3 MESES</t>
  </si>
  <si>
    <t>DESVIACIÓN vs PROMEDIO</t>
  </si>
  <si>
    <t>% DESVIACIÓN</t>
  </si>
  <si>
    <t>Z-SCORE</t>
  </si>
  <si>
    <t>EVALUACIÓN</t>
  </si>
  <si>
    <t>RIESGO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</si>
  <si>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</si>
  <si>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</si>
  <si>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</si>
  <si>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</si>
  <si>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</si>
  <si>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</si>
  <si>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</si>
  <si>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</si>
  <si>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</si>
  <si>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</si>
  <si>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</si>
  <si>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</si>
  <si>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ESTADÍSTICAS:</t>
  </si>
  <si>
    <t>Promedio Anual:</t>
  </si>
  <si>
    <t>Desviación Estándar:</t>
  </si>
  <si>
    <t>HALLAZGOS CRÍTICOS</t>
  </si>
  <si>
    <t>Meses con Patrón Extremo:</t>
  </si>
  <si>
    <t>Meses Inusuales:</t>
  </si>
  <si>
    <t>Variación Máxima:</t>
  </si>
  <si>
    <t>PT I.2 - CUT-OFF DE VENTAS (10 ÚLTIMAS PRE/POST CIERRE)</t>
  </si>
  <si>
    <t>PT I.2 - Cut-Off Ventas</t>
  </si>
  <si>
    <t>No.</t>
  </si>
  <si>
    <t>FACTURA</t>
  </si>
  <si>
    <t>FECHA FACTURA</t>
  </si>
  <si>
    <t>CLIENTE</t>
  </si>
  <si>
    <t>VALOR</t>
  </si>
  <si>
    <t>FECHA DESPACHO</t>
  </si>
  <si>
    <t>FECHA REGISTRO</t>
  </si>
  <si>
    <t>PERÍODO CORRECTO</t>
  </si>
  <si>
    <t>REGISTRADO EN</t>
  </si>
  <si>
    <t>ERROR CUT-OFF</t>
  </si>
  <si>
    <t>VALOR ERROR</t>
  </si>
  <si>
    <t>1</t>
  </si>
  <si>
    <t>FV-2024-4991</t>
  </si>
  <si>
    <t>2024-12-27</t>
  </si>
  <si>
    <t>Cliente A</t>
  </si>
  <si>
    <t>2024-12-28</t>
  </si>
  <si>
    <t>2</t>
  </si>
  <si>
    <t>FV-2024-4992</t>
  </si>
  <si>
    <t>Cliente B</t>
  </si>
  <si>
    <t>2024-12-29</t>
  </si>
  <si>
    <t>3</t>
  </si>
  <si>
    <t>FV-2024-4993</t>
  </si>
  <si>
    <t>Cliente C</t>
  </si>
  <si>
    <t>2024-12-30</t>
  </si>
  <si>
    <t>4</t>
  </si>
  <si>
    <t>FV-2024-4994</t>
  </si>
  <si>
    <t>Cliente D</t>
  </si>
  <si>
    <t>2024-12-31</t>
  </si>
  <si>
    <t>5</t>
  </si>
  <si>
    <t>FV-2024-4995</t>
  </si>
  <si>
    <t>Cliente E</t>
  </si>
  <si>
    <t>6</t>
  </si>
  <si>
    <t>FV-2024-4996</t>
  </si>
  <si>
    <t>Cliente F</t>
  </si>
  <si>
    <t>7</t>
  </si>
  <si>
    <t>FV-2024-4997</t>
  </si>
  <si>
    <t>Cliente G</t>
  </si>
  <si>
    <t>8</t>
  </si>
  <si>
    <t>FV-2024-4998</t>
  </si>
  <si>
    <t>Cliente H</t>
  </si>
  <si>
    <t>2025-01-02</t>
  </si>
  <si>
    <t>2025-01-08</t>
  </si>
  <si>
    <t>9</t>
  </si>
  <si>
    <t>FV-2024-4999</t>
  </si>
  <si>
    <t>Cliente I</t>
  </si>
  <si>
    <t>2025-01-03</t>
  </si>
  <si>
    <t>2025-01-10</t>
  </si>
  <si>
    <t>10</t>
  </si>
  <si>
    <t>FV-2024-5000</t>
  </si>
  <si>
    <t>Cliente J</t>
  </si>
  <si>
    <t>11</t>
  </si>
  <si>
    <t>FV-2025-0001</t>
  </si>
  <si>
    <t>Cliente K</t>
  </si>
  <si>
    <t>12</t>
  </si>
  <si>
    <t>FV-2025-0002</t>
  </si>
  <si>
    <t>Cliente L</t>
  </si>
  <si>
    <t>13</t>
  </si>
  <si>
    <t>FV-2025-0003</t>
  </si>
  <si>
    <t>Cliente M</t>
  </si>
  <si>
    <t>2025-01-04</t>
  </si>
  <si>
    <t>14</t>
  </si>
  <si>
    <t>FV-2024-4988</t>
  </si>
  <si>
    <t>Cliente N</t>
  </si>
  <si>
    <t>2025-01-05</t>
  </si>
  <si>
    <t>15</t>
  </si>
  <si>
    <t>FV-2025-0004</t>
  </si>
  <si>
    <t>Cliente O</t>
  </si>
  <si>
    <t>EVALUACIÓN CUT-OFF</t>
  </si>
  <si>
    <t>Total Transacciones Revisadas:</t>
  </si>
  <si>
    <t>Errores de Cut-Off:</t>
  </si>
  <si>
    <t>Valor Total a Ajustar:</t>
  </si>
  <si>
    <t>% Error vs Total Muestra:</t>
  </si>
  <si>
    <t>PT I.3 - NOTAS CRÉDITO EMITIDAS POST-CIERRE</t>
  </si>
  <si>
    <t>PT I.3 - NC Post-Cierre</t>
  </si>
  <si>
    <t>NOTA CRÉDITO</t>
  </si>
  <si>
    <t>FECHA EMISIÓN</t>
  </si>
  <si>
    <t>FACTURA ORIGINAL</t>
  </si>
  <si>
    <t>FECHA FACT ORIGINAL</t>
  </si>
  <si>
    <t>MOTIVO</t>
  </si>
  <si>
    <t>VALOR NC</t>
  </si>
  <si>
    <t>RELACIONADA CON 2024</t>
  </si>
  <si>
    <t>IMPACTO 2024</t>
  </si>
  <si>
    <t>AJUSTE REQUERIDO</t>
  </si>
  <si>
    <t>NC-2025-0001</t>
  </si>
  <si>
    <t>FV-2024-4850</t>
  </si>
  <si>
    <t>2024-11-15</t>
  </si>
  <si>
    <t>Cliente X</t>
  </si>
  <si>
    <t>Devolución parcial</t>
  </si>
  <si>
    <t>SÍ</t>
  </si>
  <si>
    <t>NC-2025-0002</t>
  </si>
  <si>
    <t>FV-2024-4920</t>
  </si>
  <si>
    <t>2024-12-05</t>
  </si>
  <si>
    <t>Cliente Y</t>
  </si>
  <si>
    <t>Descuento no aplicado</t>
  </si>
  <si>
    <t>NC-2025-0003</t>
  </si>
  <si>
    <t>2025-01-12</t>
  </si>
  <si>
    <t>FV-2025-0005</t>
  </si>
  <si>
    <t>Cliente Z</t>
  </si>
  <si>
    <t>Error facturación</t>
  </si>
  <si>
    <t>NO</t>
  </si>
  <si>
    <t>NC-2025-0004</t>
  </si>
  <si>
    <t>2025-01-15</t>
  </si>
  <si>
    <t>Calidad no conforme</t>
  </si>
  <si>
    <t>NC-2025-0005</t>
  </si>
  <si>
    <t>2025-01-18</t>
  </si>
  <si>
    <t>FV-2024-4780</t>
  </si>
  <si>
    <t>2024-10-20</t>
  </si>
  <si>
    <t>Cliente W</t>
  </si>
  <si>
    <t>Garantía</t>
  </si>
  <si>
    <t>IMPACTO EN ESTADOS FINANCIEROS 2024</t>
  </si>
  <si>
    <t>Total NC Post-Cierre:</t>
  </si>
  <si>
    <t>NC Relacionadas con 2024:</t>
  </si>
  <si>
    <t>Impacto Total Ventas 2024:</t>
  </si>
  <si>
    <t>CONCLUSIÓN:</t>
  </si>
  <si>
    <t>PT I.4 - VENTAS CON TÉRMINOS INUSUALES</t>
  </si>
  <si>
    <t>PT I.4 - Términos Inusuales</t>
  </si>
  <si>
    <t>FECHA</t>
  </si>
  <si>
    <t>PLAZO PAGO (días)</t>
  </si>
  <si>
    <t>PLAZO NORMAL</t>
  </si>
  <si>
    <t>EXCESO DÍAS</t>
  </si>
  <si>
    <t>DESCUENTO %</t>
  </si>
  <si>
    <t>CONDICIONES ESPECIALES</t>
  </si>
  <si>
    <t>APROBACIÓN</t>
  </si>
  <si>
    <t>Cliente Nuevo ABC</t>
  </si>
  <si>
    <t>15%</t>
  </si>
  <si>
    <t>Pago diferido 6 meses</t>
  </si>
  <si>
    <t>Gerente Ventas</t>
  </si>
  <si>
    <t>Empresa Relacionada XYZ</t>
  </si>
  <si>
    <t>8%</t>
  </si>
  <si>
    <t>Plazo extendido sin garantía</t>
  </si>
  <si>
    <t>Sin aprobación</t>
  </si>
  <si>
    <t>Cliente VIP</t>
  </si>
  <si>
    <t>0%</t>
  </si>
  <si>
    <t>Normales</t>
  </si>
  <si>
    <t>N/A</t>
  </si>
  <si>
    <t>Distribuidor DEF</t>
  </si>
  <si>
    <t>12%</t>
  </si>
  <si>
    <t>Consignación con derecho devolución</t>
  </si>
  <si>
    <t>Gerente General</t>
  </si>
  <si>
    <t>ANÁLISIS DE RIESGOS</t>
  </si>
  <si>
    <t>Ventas con Términos Inusuales:</t>
  </si>
  <si>
    <t>Sin Aprobación Adecuada:</t>
  </si>
  <si>
    <t>Valor Expuesto Alto Riesgo:</t>
  </si>
  <si>
    <t>Plazo Promedio Otorgado:</t>
  </si>
  <si>
    <t>PT I.5 - REGISTROS DUPLICADOS DE INGRESOS</t>
  </si>
  <si>
    <t>PT I.5 - Duplicados</t>
  </si>
  <si>
    <t>FACTURA 1</t>
  </si>
  <si>
    <t>FECHA 1</t>
  </si>
  <si>
    <t>FACTURA 2</t>
  </si>
  <si>
    <t>FECHA 2</t>
  </si>
  <si>
    <t>VALOR FACT 1</t>
  </si>
  <si>
    <t>VALOR FACT 2</t>
  </si>
  <si>
    <t>DIFERENCIA</t>
  </si>
  <si>
    <t>TIPO DUPLICADO</t>
  </si>
  <si>
    <t>ACCIÓN REQUERIDA</t>
  </si>
  <si>
    <t>FV-2024-3850</t>
  </si>
  <si>
    <t>2024-09-15</t>
  </si>
  <si>
    <t>FV-2024-3851</t>
  </si>
  <si>
    <t>Cliente ABC S.A.S.</t>
  </si>
  <si>
    <t>FV-2024-4120</t>
  </si>
  <si>
    <t>2024-10-22</t>
  </si>
  <si>
    <t>Cliente DEF Ltda</t>
  </si>
  <si>
    <t>FV-2024-4580</t>
  </si>
  <si>
    <t>2024-11-28</t>
  </si>
  <si>
    <t>FV-2024-4582</t>
  </si>
  <si>
    <t>Cliente GHI S.A.</t>
  </si>
  <si>
    <t>EVALUACIÓN DE DUPLICADOS</t>
  </si>
  <si>
    <t>Total Duplicados Identificados:</t>
  </si>
  <si>
    <t>Duplicados Mismo Número:</t>
  </si>
  <si>
    <t>Valor Total a Reversar:</t>
  </si>
  <si>
    <t>Se detectó registro duplicado de ingresos. HALLAZGO CRÍTICO que requiere ajuste inmediato. Revisar controles internos sobre autorización y registro de ventas.</t>
  </si>
  <si>
    <t>PT I.6 - DEVOLUCIONES Y DESCUENTOS COMO % DE VENTAS</t>
  </si>
  <si>
    <t>PT I.6 - Devoluciones</t>
  </si>
  <si>
    <t>VENTAS BRUTAS</t>
  </si>
  <si>
    <t>DEVOLUCIONES</t>
  </si>
  <si>
    <t>DESCUENTOS</t>
  </si>
  <si>
    <t>VENTAS NETAS</t>
  </si>
  <si>
    <t>% DEVOLUCIONES</t>
  </si>
  <si>
    <t>% DESCUENTOS</t>
  </si>
  <si>
    <t>% TOTAL REBAJA</t>
  </si>
  <si>
    <t>ESTADÍSTICAS ANUALES</t>
  </si>
  <si>
    <t>Promedio % Devoluciones:</t>
  </si>
  <si>
    <t>Promedio % Descuentos:</t>
  </si>
  <si>
    <t>Máximo % Total Rebaja:</t>
  </si>
  <si>
    <t>Meses con Riesgo Crítico:</t>
  </si>
  <si>
    <t>PT I.7 - INGRESOS NO DEPOSITADOS OPORTUNAMENTE</t>
  </si>
  <si>
    <t>PT I.7 - Depósitos</t>
  </si>
  <si>
    <t>FORMA PAGO</t>
  </si>
  <si>
    <t>FECHA RECAUDO</t>
  </si>
  <si>
    <t>FECHA DEPÓSITO</t>
  </si>
  <si>
    <t>DÍAS DEMORA</t>
  </si>
  <si>
    <t>OBSERVACIONES</t>
  </si>
  <si>
    <t>FV-2024-4500</t>
  </si>
  <si>
    <t>2024-11-05</t>
  </si>
  <si>
    <t>Efectivo</t>
  </si>
  <si>
    <t>2024-11-06</t>
  </si>
  <si>
    <t>FV-2024-4520</t>
  </si>
  <si>
    <t>2024-11-08</t>
  </si>
  <si>
    <t>Cheque</t>
  </si>
  <si>
    <t>FV-2024-4620</t>
  </si>
  <si>
    <t>2024-11-20</t>
  </si>
  <si>
    <t>Transferencia</t>
  </si>
  <si>
    <t>2024-12-01</t>
  </si>
  <si>
    <t>2024-12-18</t>
  </si>
  <si>
    <t>ANÁLISIS DE CONTROLES</t>
  </si>
  <si>
    <t>Total Recaudos Revisados:</t>
  </si>
  <si>
    <t>Depósitos con Demora Crítica:</t>
  </si>
  <si>
    <t>Valor Expuesto (&gt;10 días):</t>
  </si>
  <si>
    <t>Demora Promedio:</t>
  </si>
  <si>
    <t>PT I.8 - DÍAS DE CxC Y ROTACIÓN POR CLIENTE</t>
  </si>
  <si>
    <t>PT I.8 - CxC Rotación</t>
  </si>
  <si>
    <t>VENTAS ANUALES</t>
  </si>
  <si>
    <t>SALDO CxC</t>
  </si>
  <si>
    <t>DÍAS CxC</t>
  </si>
  <si>
    <t>PROMEDIO INDUSTRIA</t>
  </si>
  <si>
    <t>% MOROSIDAD</t>
  </si>
  <si>
    <t>Cliente AAA S.A.S.</t>
  </si>
  <si>
    <t>Cliente BBB Ltda</t>
  </si>
  <si>
    <t>Cliente CCC S.A.</t>
  </si>
  <si>
    <t>Cliente DDD Corp</t>
  </si>
  <si>
    <t>Cliente EEE Group</t>
  </si>
  <si>
    <t>INDICADORES DE CARTERA</t>
  </si>
  <si>
    <t>Total Clientes Analizados:</t>
  </si>
  <si>
    <t>Días CxC Promedio:</t>
  </si>
  <si>
    <t>Clientes Riesgo Crítico:</t>
  </si>
  <si>
    <t>Cartera &gt; 90 días:</t>
  </si>
  <si>
    <t>PT I.9 - MARGEN BRUTO POR PRODUCTO/CLIENTE</t>
  </si>
  <si>
    <t>PT I.9 - Margen Bruto</t>
  </si>
  <si>
    <t>PRODUCTO/CLIENTE</t>
  </si>
  <si>
    <t>VENTAS</t>
  </si>
  <si>
    <t>COSTO VENTAS</t>
  </si>
  <si>
    <t>MARGEN BRUTO</t>
  </si>
  <si>
    <t>% MARGEN</t>
  </si>
  <si>
    <t>% PROMEDIO EMPRESA</t>
  </si>
  <si>
    <t>DESVIACIÓN</t>
  </si>
  <si>
    <t>Producto A</t>
  </si>
  <si>
    <t>Producto B</t>
  </si>
  <si>
    <t>Cliente Especial X</t>
  </si>
  <si>
    <t>Producto C</t>
  </si>
  <si>
    <t>Cliente VIP Y</t>
  </si>
  <si>
    <t>ANÁLISIS DE RENTABILIDAD</t>
  </si>
  <si>
    <t>Margen Bruto Promedio:</t>
  </si>
  <si>
    <t>Productos/Clientes con Margen Bajo:</t>
  </si>
  <si>
    <t>Margen Más Bajo:</t>
  </si>
  <si>
    <t>PT I.10 - MONTOS REDONDOS SOSPECHOSOS (ANÁLISIS BENFORD)</t>
  </si>
  <si>
    <t>PT I.10 - Montos Redondos</t>
  </si>
  <si>
    <t>ÚLTIMO DÍGITO</t>
  </si>
  <si>
    <t>TIPO MONTO</t>
  </si>
  <si>
    <t>FRECUENCIA ESPERADA</t>
  </si>
  <si>
    <t>FV-2024-5010</t>
  </si>
  <si>
    <t>2024-12-10</t>
  </si>
  <si>
    <t>FV-2024-5025</t>
  </si>
  <si>
    <t>2024-12-15</t>
  </si>
  <si>
    <t>FV-2024-5050</t>
  </si>
  <si>
    <t>2024-12-20</t>
  </si>
  <si>
    <t>FV-2024-5075</t>
  </si>
  <si>
    <t>2024-12-25</t>
  </si>
  <si>
    <t>FV-2024-5099</t>
  </si>
  <si>
    <t>ANÁLISIS ESTADÍSTICO BENFORD</t>
  </si>
  <si>
    <t>Total Facturas Analizadas:</t>
  </si>
  <si>
    <t>Montos Redondos (&gt;1 millón):</t>
  </si>
  <si>
    <t>% Montos Redondos:</t>
  </si>
  <si>
    <t>Montos Sospechosos:</t>
  </si>
  <si>
    <t>NOTA: Más del 10% de montos redondos puede indicar manipulación</t>
  </si>
  <si>
    <t>PT I.11 - JOURNAL ENTRY TESTING - AJUSTES MANUALES EN INGRESOS</t>
  </si>
  <si>
    <t>PT I.11 - JE Testing</t>
  </si>
  <si>
    <t>ASIENTO</t>
  </si>
  <si>
    <t>USUARIO</t>
  </si>
  <si>
    <t>CUENTA</t>
  </si>
  <si>
    <t>DESCRIPCIÓN</t>
  </si>
  <si>
    <t>DÉBITO</t>
  </si>
  <si>
    <t>CRÉDITO</t>
  </si>
  <si>
    <t>TIPO AJUSTE</t>
  </si>
  <si>
    <t>AJ-2024-1250</t>
  </si>
  <si>
    <t>Usuario1</t>
  </si>
  <si>
    <t>4105 - Ingresos Ordinarios</t>
  </si>
  <si>
    <t>Ajuste ventas diciembre</t>
  </si>
  <si>
    <t>Manual</t>
  </si>
  <si>
    <t>Contador</t>
  </si>
  <si>
    <t>AJ-2024-1255</t>
  </si>
  <si>
    <t>Usuario2</t>
  </si>
  <si>
    <t>Regularización ingresos</t>
  </si>
  <si>
    <t>AJ-2024-1260</t>
  </si>
  <si>
    <t>Usuario3</t>
  </si>
  <si>
    <t>Reconocimiento ingreso</t>
  </si>
  <si>
    <t>Gerente Financiero</t>
  </si>
  <si>
    <t>AJ-2024-1265</t>
  </si>
  <si>
    <t>Ajuste final año</t>
  </si>
  <si>
    <t>HALLAZGOS CRÍTICOS - AJUSTES MANUALES</t>
  </si>
  <si>
    <t>Total Ajustes Manuales:</t>
  </si>
  <si>
    <t>Ajustes Sin Aprobación:</t>
  </si>
  <si>
    <t>Valor Total Ajustes:</t>
  </si>
  <si>
    <t>Ajustes Últimos 3 Días Año:</t>
  </si>
  <si>
    <t>ALERTA NIA 240:</t>
  </si>
  <si>
    <t>Ajustes manuales significativos cerca del cierre sin aprobación adecuada constituyen BANDERA ROJA de posible fraude. Requiere investigación inmediata y comunicación a alta dirección.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</si>
</sst>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\$#,##0"/>
    <numFmt numFmtId="166" formatCode="dd/mm/yyyy"/>
    <numFmt numFmtId="167" formatCode="0&quot; días&quot;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6"/>
      <color rgb="FFFFFFFF"/>
      <name val="Arial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0066CC"/>
        <bgColor rgb="FF0066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7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3" fillId="0" borderId="0" xfId="0" applyNumberFormat="1" applyFont="1"/>
    <xf numFmtId="166" fontId="0" fillId="0" borderId="0" xfId="0" applyNumberFormat="1"/>
    <xf numFmtId="165" fontId="2" fillId="0" borderId="0" xfId="0" applyNumberFormat="1" applyFont="1"/>
    <xf numFmtId="1" fontId="0" fillId="0" borderId="0" xfId="0" applyNumberFormat="1"/>
    <xf numFmtId="167" fontId="0" fillId="0" borderId="0" xfId="0" applyNumberFormat="1"/>
    <xf numFmtId="10" fontId="0" fillId="0" borderId="0" xfId="0" applyNumberFormat="1"/>
    <xf numFmtId="10" fontId="2" fillId="0" borderId="0" xfId="0" applyNumberFormat="1" applyFont="1"/>
    <xf numFmtId="165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3" fillId="0" borderId="0" xfId="0" applyNumberFormat="1" applyFont="1"/>
    <xf numFmtId="0" fontId="10" fillId="5" borderId="0" xfId="0" applyFont="1" applyFill="1"/>
    <xf numFmtId="0" fontId="0" fillId="0" borderId="0" xfId="0"/>
    <xf numFmtId="0" fontId="0" fillId="0" borderId="0" xfId="0" applyAlignment="1">
      <alignment wrapText="1"/>
    </xf>
    <xf numFmtId="0" fontId="12" fillId="0" borderId="0" xfId="0" applyFont="1"/>
    <xf numFmtId="0" fontId="7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4" borderId="0" xfId="0" applyFont="1" applyFill="1"/>
    <xf numFmtId="0" fontId="8" fillId="0" borderId="0" xfId="0" applyFont="1" applyAlignment="1">
      <alignment horizontal="center" vertical="center"/>
    </xf>
    <xf numFmtId="0" fontId="5" fillId="4" borderId="0" xfId="0" applyFont="1" applyFill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3" fillId="5" borderId="0" xfId="0" applyFont="1" applyFill="1"/>
    <xf numFmtId="0" fontId="3" fillId="6" borderId="0" xfId="0" applyFont="1" applyFill="1"/>
    <xf numFmtId="0" fontId="0" fillId="5" borderId="0" xfId="0" applyFill="1" applyAlignment="1">
      <alignment wrapText="1"/>
    </xf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sqref="A1:D1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5" customWidth="1"/>
    <col min="4" max="4" width="40" customWidth="1"/>
  </cols>
  <sheetData>
    <row r="1" spans="1:4" ht="30" customHeight="1" x14ac:dyDescent="0.25">
      <c r="A1" s="26" t="s">
        <v>0</v>
      </c>
      <c r="B1" s="23"/>
      <c r="C1" s="23"/>
      <c r="D1" s="23"/>
    </row>
    <row r="2" spans="1:4" ht="15.75" x14ac:dyDescent="0.25">
      <c r="A2" s="29" t="s">
        <v>1</v>
      </c>
      <c r="B2" s="23"/>
      <c r="C2" s="23"/>
      <c r="D2" s="23"/>
    </row>
    <row r="3" spans="1:4" x14ac:dyDescent="0.25">
      <c r="A3" s="27" t="s">
        <v>2</v>
      </c>
      <c r="B3" s="23"/>
      <c r="C3" s="23"/>
      <c r="D3" s="23"/>
    </row>
    <row r="5" spans="1:4" x14ac:dyDescent="0.25">
      <c r="A5" s="22" t="s">
        <v>3</v>
      </c>
      <c r="B5" s="23"/>
      <c r="C5" s="23"/>
      <c r="D5" s="23"/>
    </row>
    <row r="7" spans="1:4" x14ac:dyDescent="0.25">
      <c r="A7" s="1" t="s">
        <v>4</v>
      </c>
      <c r="B7" s="1" t="s">
        <v>5</v>
      </c>
      <c r="C7" s="1" t="s">
        <v>6</v>
      </c>
      <c r="D7" s="1" t="s">
        <v>7</v>
      </c>
    </row>
    <row r="8" spans="1:4" ht="30" x14ac:dyDescent="0.25">
      <c r="A8" s="2" t="s">
        <v>8</v>
      </c>
      <c r="B8" s="3" t="s">
        <v>9</v>
      </c>
      <c r="C8" s="3" t="s">
        <v>10</v>
      </c>
      <c r="D8" s="3" t="s">
        <v>11</v>
      </c>
    </row>
    <row r="9" spans="1:4" ht="30" x14ac:dyDescent="0.25">
      <c r="A9" s="2" t="s">
        <v>12</v>
      </c>
      <c r="B9" s="3" t="s">
        <v>13</v>
      </c>
      <c r="C9" s="3" t="s">
        <v>10</v>
      </c>
      <c r="D9" s="3" t="s">
        <v>14</v>
      </c>
    </row>
    <row r="10" spans="1:4" x14ac:dyDescent="0.25">
      <c r="A10" s="2" t="s">
        <v>15</v>
      </c>
      <c r="B10" s="3" t="s">
        <v>16</v>
      </c>
      <c r="C10" s="3" t="s">
        <v>17</v>
      </c>
      <c r="D10" s="3" t="s">
        <v>18</v>
      </c>
    </row>
    <row r="11" spans="1:4" x14ac:dyDescent="0.25">
      <c r="A11" s="2" t="s">
        <v>19</v>
      </c>
      <c r="B11" s="3" t="s">
        <v>20</v>
      </c>
      <c r="C11" s="3" t="s">
        <v>10</v>
      </c>
      <c r="D11" s="3" t="s">
        <v>21</v>
      </c>
    </row>
    <row r="12" spans="1:4" ht="30" x14ac:dyDescent="0.25">
      <c r="A12" s="2" t="s">
        <v>22</v>
      </c>
      <c r="B12" s="3" t="s">
        <v>23</v>
      </c>
      <c r="C12" s="3" t="s">
        <v>10</v>
      </c>
      <c r="D12" s="3" t="s">
        <v>24</v>
      </c>
    </row>
    <row r="13" spans="1:4" x14ac:dyDescent="0.25">
      <c r="A13" s="2" t="s">
        <v>25</v>
      </c>
      <c r="B13" s="3" t="s">
        <v>26</v>
      </c>
      <c r="C13" s="3" t="s">
        <v>10</v>
      </c>
      <c r="D13" s="3" t="s">
        <v>27</v>
      </c>
    </row>
    <row r="14" spans="1:4" x14ac:dyDescent="0.25">
      <c r="A14" s="2" t="s">
        <v>28</v>
      </c>
      <c r="B14" s="3" t="s">
        <v>29</v>
      </c>
      <c r="C14" s="3" t="s">
        <v>10</v>
      </c>
      <c r="D14" s="3" t="s">
        <v>30</v>
      </c>
    </row>
    <row r="15" spans="1:4" ht="30" x14ac:dyDescent="0.25">
      <c r="A15" s="2" t="s">
        <v>31</v>
      </c>
      <c r="B15" s="3" t="s">
        <v>32</v>
      </c>
      <c r="C15" s="3" t="s">
        <v>33</v>
      </c>
      <c r="D15" s="3" t="s">
        <v>34</v>
      </c>
    </row>
    <row r="16" spans="1:4" x14ac:dyDescent="0.25">
      <c r="A16" s="2" t="s">
        <v>35</v>
      </c>
      <c r="B16" s="3" t="s">
        <v>36</v>
      </c>
      <c r="C16" s="3" t="s">
        <v>37</v>
      </c>
      <c r="D16" s="3" t="s">
        <v>38</v>
      </c>
    </row>
    <row r="17" spans="1:4" x14ac:dyDescent="0.25">
      <c r="A17" s="2" t="s">
        <v>39</v>
      </c>
      <c r="B17" s="3" t="s">
        <v>40</v>
      </c>
      <c r="C17" s="3" t="s">
        <v>10</v>
      </c>
      <c r="D17" s="3" t="s">
        <v>41</v>
      </c>
    </row>
    <row r="18" spans="1:4" x14ac:dyDescent="0.25">
      <c r="A18" s="2" t="s">
        <v>42</v>
      </c>
      <c r="B18" s="3" t="s">
        <v>43</v>
      </c>
      <c r="C18" s="3" t="s">
        <v>10</v>
      </c>
      <c r="D18" s="3" t="s">
        <v>44</v>
      </c>
    </row>
    <row r="21" spans="1:4" x14ac:dyDescent="0.25">
      <c r="A21" s="28" t="s">
        <v>45</v>
      </c>
      <c r="B21" s="23"/>
      <c r="C21" s="23"/>
      <c r="D21" s="23"/>
    </row>
    <row r="22" spans="1:4" x14ac:dyDescent="0.25">
      <c r="A22" s="23" t="s">
        <v>46</v>
      </c>
      <c r="B22" s="23"/>
      <c r="C22" s="23"/>
      <c r="D22" s="23"/>
    </row>
    <row r="23" spans="1:4" x14ac:dyDescent="0.25">
      <c r="A23" s="23" t="s">
        <v>47</v>
      </c>
      <c r="B23" s="23"/>
      <c r="C23" s="23"/>
      <c r="D23" s="23"/>
    </row>
    <row r="24" spans="1:4" x14ac:dyDescent="0.25">
      <c r="A24" s="23" t="s">
        <v>48</v>
      </c>
      <c r="B24" s="23"/>
      <c r="C24" s="23"/>
      <c r="D24" s="23"/>
    </row>
    <row r="25" spans="1:4" x14ac:dyDescent="0.25">
      <c r="A25" s="23" t="s">
        <v>49</v>
      </c>
      <c r="B25" s="23"/>
      <c r="C25" s="23"/>
      <c r="D25" s="23"/>
    </row>
    <row r="26" spans="1:4" x14ac:dyDescent="0.25">
      <c r="A26" s="23" t="s">
        <v>50</v>
      </c>
      <c r="B26" s="23"/>
      <c r="C26" s="23"/>
      <c r="D26" s="23"/>
    </row>
    <row r="27" spans="1:4" x14ac:dyDescent="0.25">
      <c r="A27" s="23" t="s">
        <v>51</v>
      </c>
      <c r="B27" s="23"/>
      <c r="C27" s="23"/>
      <c r="D27" s="23"/>
    </row>
    <row r="28" spans="1:4" x14ac:dyDescent="0.25">
      <c r="A28" s="23" t="s">
        <v>52</v>
      </c>
      <c r="B28" s="23"/>
      <c r="C28" s="23"/>
      <c r="D28" s="23"/>
    </row>
    <row r="29" spans="1:4" x14ac:dyDescent="0.25">
      <c r="A29" s="23" t="s">
        <v>53</v>
      </c>
      <c r="B29" s="23"/>
      <c r="C29" s="23"/>
      <c r="D29" s="23"/>
    </row>
    <row r="31" spans="1:4" x14ac:dyDescent="0.25">
      <c r="A31" s="25" t="s">
        <v>54</v>
      </c>
      <c r="B31" s="23"/>
      <c r="C31" s="23"/>
      <c r="D31" s="23"/>
    </row>
    <row r="32" spans="1:4" x14ac:dyDescent="0.25">
      <c r="A32" s="24" t="s">
        <v>55</v>
      </c>
      <c r="B32" s="23"/>
      <c r="C32" s="23"/>
      <c r="D32" s="23"/>
    </row>
    <row r="33" spans="1:4" x14ac:dyDescent="0.25">
      <c r="A33" s="24" t="s">
        <v>56</v>
      </c>
      <c r="B33" s="23"/>
      <c r="C33" s="23"/>
      <c r="D33" s="23"/>
    </row>
    <row r="34" spans="1:4" x14ac:dyDescent="0.25">
      <c r="A34" s="24" t="s">
        <v>57</v>
      </c>
      <c r="B34" s="23"/>
      <c r="C34" s="23"/>
      <c r="D34" s="23"/>
    </row>
    <row r="35" spans="1:4" x14ac:dyDescent="0.25">
      <c r="A35" s="24" t="s">
        <v>58</v>
      </c>
      <c r="B35" s="23"/>
      <c r="C35" s="23"/>
      <c r="D35" s="23"/>
    </row>
    <row r="36" spans="1:4" x14ac:dyDescent="0.25">
      <c r="A36" s="24" t="s">
        <v>59</v>
      </c>
      <c r="B36" s="23"/>
      <c r="C36" s="23"/>
      <c r="D36" s="23"/>
    </row>
    <row r="37" spans="1:4" x14ac:dyDescent="0.25">
      <c r="A37" s="24" t="s">
        <v>60</v>
      </c>
      <c r="B37" s="23"/>
      <c r="C37" s="23"/>
      <c r="D37" s="23"/>
    </row>
    <row r="38" spans="1:4" x14ac:dyDescent="0.25">
      <c r="A38" s="24" t="s">
        <v>61</v>
      </c>
      <c r="B38" s="23"/>
      <c r="C38" s="23"/>
      <c r="D38" s="23"/>
    </row>
  </sheetData>
  <mergeCells count="21">
    <mergeCell ref="A1:D1"/>
    <mergeCell ref="A25:D25"/>
    <mergeCell ref="A37:D37"/>
    <mergeCell ref="A27:D27"/>
    <mergeCell ref="A3:D3"/>
    <mergeCell ref="A21:D21"/>
    <mergeCell ref="A26:D26"/>
    <mergeCell ref="A2:D2"/>
    <mergeCell ref="A33:D33"/>
    <mergeCell ref="A32:D32"/>
    <mergeCell ref="A5:D5"/>
    <mergeCell ref="A23:D23"/>
    <mergeCell ref="A22:D22"/>
    <mergeCell ref="A35:D35"/>
    <mergeCell ref="A38:D38"/>
    <mergeCell ref="A29:D29"/>
    <mergeCell ref="A28:D28"/>
    <mergeCell ref="A31:D31"/>
    <mergeCell ref="A34:D34"/>
    <mergeCell ref="A24:D2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B8" sqref="B8"/>
    </sheetView>
  </sheetViews>
  <sheetFormatPr baseColWidth="10" defaultColWidth="9.140625" defaultRowHeight="15" x14ac:dyDescent="0.25"/>
  <cols>
    <col min="1" max="10" width="16" customWidth="1"/>
  </cols>
  <sheetData>
    <row r="1" spans="1:10" ht="18" x14ac:dyDescent="0.25">
      <c r="A1" s="31" t="s">
        <v>62</v>
      </c>
      <c r="B1" s="23"/>
      <c r="C1" s="23"/>
      <c r="D1" s="23"/>
      <c r="E1" s="23"/>
      <c r="F1" s="23"/>
      <c r="G1" s="23"/>
      <c r="H1" s="23"/>
    </row>
    <row r="2" spans="1:10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0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0" x14ac:dyDescent="0.25">
      <c r="A4" s="4" t="s">
        <v>71</v>
      </c>
      <c r="B4" t="s">
        <v>72</v>
      </c>
      <c r="E4" s="4" t="s">
        <v>73</v>
      </c>
      <c r="F4" s="5" t="s">
        <v>74</v>
      </c>
    </row>
    <row r="6" spans="1:10" ht="45" x14ac:dyDescent="0.25">
      <c r="A6" s="6" t="s">
        <v>75</v>
      </c>
      <c r="B6" s="6" t="s">
        <v>76</v>
      </c>
      <c r="C6" s="6" t="s">
        <v>77</v>
      </c>
      <c r="D6" s="6" t="s">
        <v>78</v>
      </c>
      <c r="E6" s="6" t="s">
        <v>79</v>
      </c>
      <c r="F6" s="6" t="s">
        <v>80</v>
      </c>
      <c r="G6" s="6" t="s">
        <v>81</v>
      </c>
      <c r="H6" s="6" t="s">
        <v>82</v>
      </c>
      <c r="I6" s="6" t="s">
        <v>83</v>
      </c>
      <c r="J6" s="6" t="s">
        <v>84</v>
      </c>
    </row>
    <row r="7" spans="1:10" x14ac:dyDescent="0.25">
      <c r="A7" t="s">
        <v>85</v>
      </c>
      <c r="B7" s="7">
        <v>1000</v>
      </c>
      <c r="H7" s="8" t="e">
        <f t="shared" ref="H7:H18" ca="1" si="0">(B7-$B$22)/$B$23</f>
        <v>#NAME?</v>
      </c>
      <c r="I7" t="e">
        <f t="shared" ref="I7:I18" ca="1" si="1">IF(ABS(H7)&gt;3,"EXTREMO - INVESTIGAR",IF(ABS(H7)&gt;2,"INUSUAL",IF(ABS(H7)&gt;1.5,"ATENCIÓN","NORMAL")))</f>
        <v>#NAME?</v>
      </c>
      <c r="J7" t="e">
        <f t="shared" ref="J7:J18" ca="1" si="2">IF(I7="EXTREMO - INVESTIGAR","CRÍTICO",IF(I7="INUSUAL","ALTO",IF(I7="ATENCIÓN","MEDIO","BAJO")))</f>
        <v>#NAME?</v>
      </c>
    </row>
    <row r="8" spans="1:10" x14ac:dyDescent="0.25">
      <c r="A8" t="s">
        <v>86</v>
      </c>
      <c r="B8" s="7">
        <v>820000000</v>
      </c>
      <c r="C8" s="7">
        <f t="shared" ref="C8:C18" si="3">B8-B7</f>
        <v>819999000</v>
      </c>
      <c r="D8" s="9">
        <f t="shared" ref="D8:D18" si="4">C8/B7</f>
        <v>819999</v>
      </c>
      <c r="H8" s="8" t="e">
        <f t="shared" ca="1" si="0"/>
        <v>#NAME?</v>
      </c>
      <c r="I8" t="e">
        <f t="shared" ca="1" si="1"/>
        <v>#NAME?</v>
      </c>
      <c r="J8" t="e">
        <f t="shared" ca="1" si="2"/>
        <v>#NAME?</v>
      </c>
    </row>
    <row r="9" spans="1:10" x14ac:dyDescent="0.25">
      <c r="A9" t="s">
        <v>87</v>
      </c>
      <c r="B9" s="7">
        <v>890000000</v>
      </c>
      <c r="C9" s="7">
        <f t="shared" si="3"/>
        <v>70000000</v>
      </c>
      <c r="D9" s="9">
        <f t="shared" si="4"/>
        <v>8.5365853658536592E-2</v>
      </c>
      <c r="E9" s="7">
        <f t="shared" ref="E9:E18" si="5">AVERAGE(B7:B9)</f>
        <v>570000333.33333337</v>
      </c>
      <c r="F9" s="7">
        <f t="shared" ref="F9:F18" si="6">B9-E9</f>
        <v>319999666.66666663</v>
      </c>
      <c r="G9" s="9">
        <f t="shared" ref="G9:G18" si="7">F9/E9</f>
        <v>0.5614025956709966</v>
      </c>
      <c r="H9" s="8" t="e">
        <f t="shared" ca="1" si="0"/>
        <v>#NAME?</v>
      </c>
      <c r="I9" t="e">
        <f t="shared" ca="1" si="1"/>
        <v>#NAME?</v>
      </c>
      <c r="J9" t="e">
        <f t="shared" ca="1" si="2"/>
        <v>#NAME?</v>
      </c>
    </row>
    <row r="10" spans="1:10" x14ac:dyDescent="0.25">
      <c r="A10" t="s">
        <v>88</v>
      </c>
      <c r="B10" s="7">
        <v>875000000</v>
      </c>
      <c r="C10" s="7">
        <f t="shared" si="3"/>
        <v>-15000000</v>
      </c>
      <c r="D10" s="9">
        <f t="shared" si="4"/>
        <v>-1.6853932584269662E-2</v>
      </c>
      <c r="E10" s="7">
        <f t="shared" si="5"/>
        <v>861666666.66666663</v>
      </c>
      <c r="F10" s="7">
        <f t="shared" si="6"/>
        <v>13333333.333333373</v>
      </c>
      <c r="G10" s="9">
        <f t="shared" si="7"/>
        <v>1.5473887814313393E-2</v>
      </c>
      <c r="H10" s="8" t="e">
        <f t="shared" ca="1" si="0"/>
        <v>#NAME?</v>
      </c>
      <c r="I10" t="e">
        <f t="shared" ca="1" si="1"/>
        <v>#NAME?</v>
      </c>
      <c r="J10" t="e">
        <f t="shared" ca="1" si="2"/>
        <v>#NAME?</v>
      </c>
    </row>
    <row r="11" spans="1:10" x14ac:dyDescent="0.25">
      <c r="A11" t="s">
        <v>89</v>
      </c>
      <c r="B11" s="7">
        <v>910000000</v>
      </c>
      <c r="C11" s="7">
        <f t="shared" si="3"/>
        <v>35000000</v>
      </c>
      <c r="D11" s="9">
        <f t="shared" si="4"/>
        <v>0.04</v>
      </c>
      <c r="E11" s="7">
        <f t="shared" si="5"/>
        <v>891666666.66666663</v>
      </c>
      <c r="F11" s="7">
        <f t="shared" si="6"/>
        <v>18333333.333333373</v>
      </c>
      <c r="G11" s="9">
        <f t="shared" si="7"/>
        <v>2.0560747663551447E-2</v>
      </c>
      <c r="H11" s="8" t="e">
        <f t="shared" ca="1" si="0"/>
        <v>#NAME?</v>
      </c>
      <c r="I11" t="e">
        <f t="shared" ca="1" si="1"/>
        <v>#NAME?</v>
      </c>
      <c r="J11" t="e">
        <f t="shared" ca="1" si="2"/>
        <v>#NAME?</v>
      </c>
    </row>
    <row r="12" spans="1:10" x14ac:dyDescent="0.25">
      <c r="A12" t="s">
        <v>90</v>
      </c>
      <c r="B12" s="7">
        <v>895000000</v>
      </c>
      <c r="C12" s="7">
        <f t="shared" si="3"/>
        <v>-15000000</v>
      </c>
      <c r="D12" s="9">
        <f t="shared" si="4"/>
        <v>-1.6483516483516484E-2</v>
      </c>
      <c r="E12" s="7">
        <f t="shared" si="5"/>
        <v>893333333.33333337</v>
      </c>
      <c r="F12" s="7">
        <f t="shared" si="6"/>
        <v>1666666.6666666269</v>
      </c>
      <c r="G12" s="9">
        <f t="shared" si="7"/>
        <v>1.8656716417910003E-3</v>
      </c>
      <c r="H12" s="8" t="e">
        <f t="shared" ca="1" si="0"/>
        <v>#NAME?</v>
      </c>
      <c r="I12" t="e">
        <f t="shared" ca="1" si="1"/>
        <v>#NAME?</v>
      </c>
      <c r="J12" t="e">
        <f t="shared" ca="1" si="2"/>
        <v>#NAME?</v>
      </c>
    </row>
    <row r="13" spans="1:10" x14ac:dyDescent="0.25">
      <c r="A13" t="s">
        <v>91</v>
      </c>
      <c r="B13" s="7">
        <v>880000000</v>
      </c>
      <c r="C13" s="7">
        <f t="shared" si="3"/>
        <v>-15000000</v>
      </c>
      <c r="D13" s="9">
        <f t="shared" si="4"/>
        <v>-1.6759776536312849E-2</v>
      </c>
      <c r="E13" s="7">
        <f t="shared" si="5"/>
        <v>895000000</v>
      </c>
      <c r="F13" s="7">
        <f t="shared" si="6"/>
        <v>-15000000</v>
      </c>
      <c r="G13" s="9">
        <f t="shared" si="7"/>
        <v>-1.6759776536312849E-2</v>
      </c>
      <c r="H13" s="8" t="e">
        <f t="shared" ca="1" si="0"/>
        <v>#NAME?</v>
      </c>
      <c r="I13" t="e">
        <f t="shared" ca="1" si="1"/>
        <v>#NAME?</v>
      </c>
      <c r="J13" t="e">
        <f t="shared" ca="1" si="2"/>
        <v>#NAME?</v>
      </c>
    </row>
    <row r="14" spans="1:10" x14ac:dyDescent="0.25">
      <c r="A14" t="s">
        <v>92</v>
      </c>
      <c r="B14" s="7">
        <v>905000000</v>
      </c>
      <c r="C14" s="7">
        <f t="shared" si="3"/>
        <v>25000000</v>
      </c>
      <c r="D14" s="9">
        <f t="shared" si="4"/>
        <v>2.8409090909090908E-2</v>
      </c>
      <c r="E14" s="7">
        <f t="shared" si="5"/>
        <v>893333333.33333337</v>
      </c>
      <c r="F14" s="7">
        <f t="shared" si="6"/>
        <v>11666666.666666627</v>
      </c>
      <c r="G14" s="9">
        <f t="shared" si="7"/>
        <v>1.3059701492537268E-2</v>
      </c>
      <c r="H14" s="8" t="e">
        <f t="shared" ca="1" si="0"/>
        <v>#NAME?</v>
      </c>
      <c r="I14" t="e">
        <f t="shared" ca="1" si="1"/>
        <v>#NAME?</v>
      </c>
      <c r="J14" t="e">
        <f t="shared" ca="1" si="2"/>
        <v>#NAME?</v>
      </c>
    </row>
    <row r="15" spans="1:10" x14ac:dyDescent="0.25">
      <c r="A15" t="s">
        <v>93</v>
      </c>
      <c r="B15" s="7">
        <v>920000000</v>
      </c>
      <c r="C15" s="7">
        <f t="shared" si="3"/>
        <v>15000000</v>
      </c>
      <c r="D15" s="9">
        <f t="shared" si="4"/>
        <v>1.6574585635359115E-2</v>
      </c>
      <c r="E15" s="7">
        <f t="shared" si="5"/>
        <v>901666666.66666663</v>
      </c>
      <c r="F15" s="7">
        <f t="shared" si="6"/>
        <v>18333333.333333373</v>
      </c>
      <c r="G15" s="9">
        <f t="shared" si="7"/>
        <v>2.0332717190388216E-2</v>
      </c>
      <c r="H15" s="8" t="e">
        <f t="shared" ca="1" si="0"/>
        <v>#NAME?</v>
      </c>
      <c r="I15" t="e">
        <f t="shared" ca="1" si="1"/>
        <v>#NAME?</v>
      </c>
      <c r="J15" t="e">
        <f t="shared" ca="1" si="2"/>
        <v>#NAME?</v>
      </c>
    </row>
    <row r="16" spans="1:10" x14ac:dyDescent="0.25">
      <c r="A16" t="s">
        <v>94</v>
      </c>
      <c r="B16" s="7">
        <v>895000000</v>
      </c>
      <c r="C16" s="7">
        <f t="shared" si="3"/>
        <v>-25000000</v>
      </c>
      <c r="D16" s="9">
        <f t="shared" si="4"/>
        <v>-2.717391304347826E-2</v>
      </c>
      <c r="E16" s="7">
        <f t="shared" si="5"/>
        <v>906666666.66666663</v>
      </c>
      <c r="F16" s="7">
        <f t="shared" si="6"/>
        <v>-11666666.666666627</v>
      </c>
      <c r="G16" s="9">
        <f t="shared" si="7"/>
        <v>-1.2867647058823485E-2</v>
      </c>
      <c r="H16" s="8" t="e">
        <f t="shared" ca="1" si="0"/>
        <v>#NAME?</v>
      </c>
      <c r="I16" t="e">
        <f t="shared" ca="1" si="1"/>
        <v>#NAME?</v>
      </c>
      <c r="J16" t="e">
        <f t="shared" ca="1" si="2"/>
        <v>#NAME?</v>
      </c>
    </row>
    <row r="17" spans="1:10" x14ac:dyDescent="0.25">
      <c r="A17" t="s">
        <v>95</v>
      </c>
      <c r="B17" s="7">
        <v>910000000</v>
      </c>
      <c r="C17" s="7">
        <f t="shared" si="3"/>
        <v>15000000</v>
      </c>
      <c r="D17" s="9">
        <f t="shared" si="4"/>
        <v>1.6759776536312849E-2</v>
      </c>
      <c r="E17" s="7">
        <f t="shared" si="5"/>
        <v>908333333.33333337</v>
      </c>
      <c r="F17" s="7">
        <f t="shared" si="6"/>
        <v>1666666.6666666269</v>
      </c>
      <c r="G17" s="9">
        <f t="shared" si="7"/>
        <v>1.834862385321057E-3</v>
      </c>
      <c r="H17" s="8" t="e">
        <f t="shared" ca="1" si="0"/>
        <v>#NAME?</v>
      </c>
      <c r="I17" t="e">
        <f t="shared" ca="1" si="1"/>
        <v>#NAME?</v>
      </c>
      <c r="J17" t="e">
        <f t="shared" ca="1" si="2"/>
        <v>#NAME?</v>
      </c>
    </row>
    <row r="18" spans="1:10" x14ac:dyDescent="0.25">
      <c r="A18" t="s">
        <v>96</v>
      </c>
      <c r="B18" s="7">
        <v>1450000000</v>
      </c>
      <c r="C18" s="7">
        <f t="shared" si="3"/>
        <v>540000000</v>
      </c>
      <c r="D18" s="9">
        <f t="shared" si="4"/>
        <v>0.59340659340659341</v>
      </c>
      <c r="E18" s="7">
        <f t="shared" si="5"/>
        <v>1085000000</v>
      </c>
      <c r="F18" s="7">
        <f t="shared" si="6"/>
        <v>365000000</v>
      </c>
      <c r="G18" s="9">
        <f t="shared" si="7"/>
        <v>0.33640552995391704</v>
      </c>
      <c r="H18" s="8" t="e">
        <f t="shared" ca="1" si="0"/>
        <v>#NAME?</v>
      </c>
      <c r="I18" t="e">
        <f t="shared" ca="1" si="1"/>
        <v>#NAME?</v>
      </c>
      <c r="J18" t="e">
        <f t="shared" ca="1" si="2"/>
        <v>#NAME?</v>
      </c>
    </row>
    <row r="21" spans="1:10" x14ac:dyDescent="0.25">
      <c r="A21" s="4" t="s">
        <v>97</v>
      </c>
    </row>
    <row r="22" spans="1:10" x14ac:dyDescent="0.25">
      <c r="A22" t="s">
        <v>98</v>
      </c>
      <c r="B22" s="10">
        <f>AVERAGE(B7:B18)</f>
        <v>862500083.33333337</v>
      </c>
    </row>
    <row r="23" spans="1:10" x14ac:dyDescent="0.25">
      <c r="A23" t="s">
        <v>99</v>
      </c>
      <c r="B23" s="10" t="e">
        <f ca="1">_xludf.STDEV.S(B7:B18)</f>
        <v>#NAME?</v>
      </c>
    </row>
    <row r="25" spans="1:10" x14ac:dyDescent="0.25">
      <c r="A25" s="30" t="s">
        <v>100</v>
      </c>
      <c r="B25" s="23"/>
      <c r="C25" s="23"/>
      <c r="D25" s="23"/>
    </row>
    <row r="26" spans="1:10" x14ac:dyDescent="0.25">
      <c r="A26" t="s">
        <v>101</v>
      </c>
      <c r="B26" s="5">
        <f ca="1">COUNTIF(I7:I18,"EXTREMO*")</f>
        <v>0</v>
      </c>
    </row>
    <row r="27" spans="1:10" x14ac:dyDescent="0.25">
      <c r="A27" t="s">
        <v>102</v>
      </c>
      <c r="B27">
        <f ca="1">COUNTIF(I7:I18,"INUSUAL")</f>
        <v>0</v>
      </c>
    </row>
    <row r="28" spans="1:10" x14ac:dyDescent="0.25">
      <c r="A28" t="s">
        <v>103</v>
      </c>
      <c r="B28" s="11">
        <f>MAX(D8:D18)</f>
        <v>819999</v>
      </c>
    </row>
  </sheetData>
  <mergeCells count="2">
    <mergeCell ref="A25:D2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H1"/>
    </sheetView>
  </sheetViews>
  <sheetFormatPr baseColWidth="10" defaultColWidth="9.140625" defaultRowHeight="15" x14ac:dyDescent="0.25"/>
  <cols>
    <col min="1" max="12" width="15" customWidth="1"/>
  </cols>
  <sheetData>
    <row r="1" spans="1:12" ht="18" x14ac:dyDescent="0.25">
      <c r="A1" s="31" t="s">
        <v>104</v>
      </c>
      <c r="B1" s="23"/>
      <c r="C1" s="23"/>
      <c r="D1" s="23"/>
      <c r="E1" s="23"/>
      <c r="F1" s="23"/>
      <c r="G1" s="23"/>
      <c r="H1" s="23"/>
    </row>
    <row r="2" spans="1:12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2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2" x14ac:dyDescent="0.25">
      <c r="A4" s="4" t="s">
        <v>71</v>
      </c>
      <c r="B4" t="s">
        <v>105</v>
      </c>
      <c r="E4" s="4" t="s">
        <v>73</v>
      </c>
      <c r="F4" s="5" t="s">
        <v>74</v>
      </c>
    </row>
    <row r="6" spans="1:12" ht="30" x14ac:dyDescent="0.25">
      <c r="A6" s="6" t="s">
        <v>106</v>
      </c>
      <c r="B6" s="6" t="s">
        <v>107</v>
      </c>
      <c r="C6" s="6" t="s">
        <v>108</v>
      </c>
      <c r="D6" s="6" t="s">
        <v>109</v>
      </c>
      <c r="E6" s="6" t="s">
        <v>110</v>
      </c>
      <c r="F6" s="6" t="s">
        <v>111</v>
      </c>
      <c r="G6" s="6" t="s">
        <v>112</v>
      </c>
      <c r="H6" s="6" t="s">
        <v>113</v>
      </c>
      <c r="I6" s="6" t="s">
        <v>114</v>
      </c>
      <c r="J6" s="6" t="s">
        <v>115</v>
      </c>
      <c r="K6" s="6" t="s">
        <v>116</v>
      </c>
      <c r="L6" s="6" t="s">
        <v>84</v>
      </c>
    </row>
    <row r="7" spans="1:12" x14ac:dyDescent="0.25">
      <c r="A7" t="s">
        <v>117</v>
      </c>
      <c r="B7" t="s">
        <v>118</v>
      </c>
      <c r="C7" s="12" t="s">
        <v>119</v>
      </c>
      <c r="D7" t="s">
        <v>120</v>
      </c>
      <c r="E7" s="7">
        <v>45000000</v>
      </c>
      <c r="F7" s="12" t="s">
        <v>119</v>
      </c>
      <c r="G7" s="12" t="s">
        <v>121</v>
      </c>
      <c r="H7" t="str">
        <f t="shared" ref="H7:H21" si="0">IF(F7&lt;=DATE(2024,12,31),"2024","2025")</f>
        <v>2025</v>
      </c>
      <c r="I7" t="str">
        <f t="shared" ref="I7:I21" si="1">IF(G7&lt;=DATE(2024,12,31),"2024","2025")</f>
        <v>2025</v>
      </c>
      <c r="J7" t="str">
        <f t="shared" ref="J7:J21" si="2">IF(H7&lt;&gt;I7,"SÍ","NO")</f>
        <v>NO</v>
      </c>
      <c r="K7" s="7">
        <f t="shared" ref="K7:K21" si="3">IF(J7="SÍ",E7,0)</f>
        <v>0</v>
      </c>
      <c r="L7" t="str">
        <f t="shared" ref="L7:L21" si="4">IF(J7="SÍ","ALTO - AJUSTAR","OK")</f>
        <v>OK</v>
      </c>
    </row>
    <row r="8" spans="1:12" x14ac:dyDescent="0.25">
      <c r="A8" t="s">
        <v>122</v>
      </c>
      <c r="B8" t="s">
        <v>123</v>
      </c>
      <c r="C8" s="12" t="s">
        <v>121</v>
      </c>
      <c r="D8" t="s">
        <v>124</v>
      </c>
      <c r="E8" s="7">
        <v>32000000</v>
      </c>
      <c r="F8" s="12" t="s">
        <v>121</v>
      </c>
      <c r="G8" s="12" t="s">
        <v>125</v>
      </c>
      <c r="H8" t="str">
        <f t="shared" si="0"/>
        <v>2025</v>
      </c>
      <c r="I8" t="str">
        <f t="shared" si="1"/>
        <v>2025</v>
      </c>
      <c r="J8" t="str">
        <f t="shared" si="2"/>
        <v>NO</v>
      </c>
      <c r="K8" s="7">
        <f t="shared" si="3"/>
        <v>0</v>
      </c>
      <c r="L8" t="str">
        <f t="shared" si="4"/>
        <v>OK</v>
      </c>
    </row>
    <row r="9" spans="1:12" x14ac:dyDescent="0.25">
      <c r="A9" t="s">
        <v>126</v>
      </c>
      <c r="B9" t="s">
        <v>127</v>
      </c>
      <c r="C9" s="12" t="s">
        <v>125</v>
      </c>
      <c r="D9" t="s">
        <v>128</v>
      </c>
      <c r="E9" s="7">
        <v>28000000</v>
      </c>
      <c r="F9" s="12" t="s">
        <v>125</v>
      </c>
      <c r="G9" s="12" t="s">
        <v>129</v>
      </c>
      <c r="H9" t="str">
        <f t="shared" si="0"/>
        <v>2025</v>
      </c>
      <c r="I9" t="str">
        <f t="shared" si="1"/>
        <v>2025</v>
      </c>
      <c r="J9" t="str">
        <f t="shared" si="2"/>
        <v>NO</v>
      </c>
      <c r="K9" s="7">
        <f t="shared" si="3"/>
        <v>0</v>
      </c>
      <c r="L9" t="str">
        <f t="shared" si="4"/>
        <v>OK</v>
      </c>
    </row>
    <row r="10" spans="1:12" x14ac:dyDescent="0.25">
      <c r="A10" t="s">
        <v>130</v>
      </c>
      <c r="B10" t="s">
        <v>131</v>
      </c>
      <c r="C10" s="12" t="s">
        <v>129</v>
      </c>
      <c r="D10" t="s">
        <v>132</v>
      </c>
      <c r="E10" s="7">
        <v>55000000</v>
      </c>
      <c r="F10" s="12" t="s">
        <v>129</v>
      </c>
      <c r="G10" s="12" t="s">
        <v>133</v>
      </c>
      <c r="H10" t="str">
        <f t="shared" si="0"/>
        <v>2025</v>
      </c>
      <c r="I10" t="str">
        <f t="shared" si="1"/>
        <v>2025</v>
      </c>
      <c r="J10" t="str">
        <f t="shared" si="2"/>
        <v>NO</v>
      </c>
      <c r="K10" s="7">
        <f t="shared" si="3"/>
        <v>0</v>
      </c>
      <c r="L10" t="str">
        <f t="shared" si="4"/>
        <v>OK</v>
      </c>
    </row>
    <row r="11" spans="1:12" x14ac:dyDescent="0.25">
      <c r="A11" t="s">
        <v>134</v>
      </c>
      <c r="B11" t="s">
        <v>135</v>
      </c>
      <c r="C11" s="12" t="s">
        <v>129</v>
      </c>
      <c r="D11" t="s">
        <v>136</v>
      </c>
      <c r="E11" s="7">
        <v>38000000</v>
      </c>
      <c r="F11" s="12" t="s">
        <v>133</v>
      </c>
      <c r="G11" s="12" t="s">
        <v>133</v>
      </c>
      <c r="H11" t="str">
        <f t="shared" si="0"/>
        <v>2025</v>
      </c>
      <c r="I11" t="str">
        <f t="shared" si="1"/>
        <v>2025</v>
      </c>
      <c r="J11" t="str">
        <f t="shared" si="2"/>
        <v>NO</v>
      </c>
      <c r="K11" s="7">
        <f t="shared" si="3"/>
        <v>0</v>
      </c>
      <c r="L11" t="str">
        <f t="shared" si="4"/>
        <v>OK</v>
      </c>
    </row>
    <row r="12" spans="1:12" x14ac:dyDescent="0.25">
      <c r="A12" t="s">
        <v>137</v>
      </c>
      <c r="B12" t="s">
        <v>138</v>
      </c>
      <c r="C12" s="12" t="s">
        <v>133</v>
      </c>
      <c r="D12" t="s">
        <v>139</v>
      </c>
      <c r="E12" s="7">
        <v>62000000</v>
      </c>
      <c r="F12" s="12" t="s">
        <v>133</v>
      </c>
      <c r="G12" s="12" t="s">
        <v>133</v>
      </c>
      <c r="H12" t="str">
        <f t="shared" si="0"/>
        <v>2025</v>
      </c>
      <c r="I12" t="str">
        <f t="shared" si="1"/>
        <v>2025</v>
      </c>
      <c r="J12" t="str">
        <f t="shared" si="2"/>
        <v>NO</v>
      </c>
      <c r="K12" s="7">
        <f t="shared" si="3"/>
        <v>0</v>
      </c>
      <c r="L12" t="str">
        <f t="shared" si="4"/>
        <v>OK</v>
      </c>
    </row>
    <row r="13" spans="1:12" x14ac:dyDescent="0.25">
      <c r="A13" t="s">
        <v>140</v>
      </c>
      <c r="B13" t="s">
        <v>141</v>
      </c>
      <c r="C13" s="12" t="s">
        <v>133</v>
      </c>
      <c r="D13" t="s">
        <v>142</v>
      </c>
      <c r="E13" s="7">
        <v>41000000</v>
      </c>
      <c r="F13" s="12" t="s">
        <v>133</v>
      </c>
      <c r="G13" s="12" t="s">
        <v>133</v>
      </c>
      <c r="H13" t="str">
        <f t="shared" si="0"/>
        <v>2025</v>
      </c>
      <c r="I13" t="str">
        <f t="shared" si="1"/>
        <v>2025</v>
      </c>
      <c r="J13" t="str">
        <f t="shared" si="2"/>
        <v>NO</v>
      </c>
      <c r="K13" s="7">
        <f t="shared" si="3"/>
        <v>0</v>
      </c>
      <c r="L13" t="str">
        <f t="shared" si="4"/>
        <v>OK</v>
      </c>
    </row>
    <row r="14" spans="1:12" x14ac:dyDescent="0.25">
      <c r="A14" t="s">
        <v>143</v>
      </c>
      <c r="B14" t="s">
        <v>144</v>
      </c>
      <c r="C14" s="12" t="s">
        <v>133</v>
      </c>
      <c r="D14" t="s">
        <v>145</v>
      </c>
      <c r="E14" s="7">
        <v>35000000</v>
      </c>
      <c r="F14" s="12" t="s">
        <v>146</v>
      </c>
      <c r="G14" s="12" t="s">
        <v>147</v>
      </c>
      <c r="H14" t="str">
        <f t="shared" si="0"/>
        <v>2025</v>
      </c>
      <c r="I14" t="str">
        <f t="shared" si="1"/>
        <v>2025</v>
      </c>
      <c r="J14" t="str">
        <f t="shared" si="2"/>
        <v>NO</v>
      </c>
      <c r="K14" s="7">
        <f t="shared" si="3"/>
        <v>0</v>
      </c>
      <c r="L14" t="str">
        <f t="shared" si="4"/>
        <v>OK</v>
      </c>
    </row>
    <row r="15" spans="1:12" x14ac:dyDescent="0.25">
      <c r="A15" t="s">
        <v>148</v>
      </c>
      <c r="B15" t="s">
        <v>149</v>
      </c>
      <c r="C15" s="12" t="s">
        <v>133</v>
      </c>
      <c r="D15" t="s">
        <v>150</v>
      </c>
      <c r="E15" s="7">
        <v>49000000</v>
      </c>
      <c r="F15" s="12" t="s">
        <v>151</v>
      </c>
      <c r="G15" s="12" t="s">
        <v>152</v>
      </c>
      <c r="H15" t="str">
        <f t="shared" si="0"/>
        <v>2025</v>
      </c>
      <c r="I15" t="str">
        <f t="shared" si="1"/>
        <v>2025</v>
      </c>
      <c r="J15" t="str">
        <f t="shared" si="2"/>
        <v>NO</v>
      </c>
      <c r="K15" s="7">
        <f t="shared" si="3"/>
        <v>0</v>
      </c>
      <c r="L15" t="str">
        <f t="shared" si="4"/>
        <v>OK</v>
      </c>
    </row>
    <row r="16" spans="1:12" x14ac:dyDescent="0.25">
      <c r="A16" t="s">
        <v>153</v>
      </c>
      <c r="B16" t="s">
        <v>154</v>
      </c>
      <c r="C16" s="12" t="s">
        <v>133</v>
      </c>
      <c r="D16" t="s">
        <v>155</v>
      </c>
      <c r="E16" s="7">
        <v>72000000</v>
      </c>
      <c r="F16" s="12" t="s">
        <v>133</v>
      </c>
      <c r="G16" s="12" t="s">
        <v>133</v>
      </c>
      <c r="H16" t="str">
        <f t="shared" si="0"/>
        <v>2025</v>
      </c>
      <c r="I16" t="str">
        <f t="shared" si="1"/>
        <v>2025</v>
      </c>
      <c r="J16" t="str">
        <f t="shared" si="2"/>
        <v>NO</v>
      </c>
      <c r="K16" s="7">
        <f t="shared" si="3"/>
        <v>0</v>
      </c>
      <c r="L16" t="str">
        <f t="shared" si="4"/>
        <v>OK</v>
      </c>
    </row>
    <row r="17" spans="1:12" x14ac:dyDescent="0.25">
      <c r="A17" t="s">
        <v>156</v>
      </c>
      <c r="B17" t="s">
        <v>157</v>
      </c>
      <c r="C17" s="12" t="s">
        <v>146</v>
      </c>
      <c r="D17" t="s">
        <v>158</v>
      </c>
      <c r="E17" s="7">
        <v>33000000</v>
      </c>
      <c r="F17" s="12" t="s">
        <v>146</v>
      </c>
      <c r="G17" s="12" t="s">
        <v>146</v>
      </c>
      <c r="H17" t="str">
        <f t="shared" si="0"/>
        <v>2025</v>
      </c>
      <c r="I17" t="str">
        <f t="shared" si="1"/>
        <v>2025</v>
      </c>
      <c r="J17" t="str">
        <f t="shared" si="2"/>
        <v>NO</v>
      </c>
      <c r="K17" s="7">
        <f t="shared" si="3"/>
        <v>0</v>
      </c>
      <c r="L17" t="str">
        <f t="shared" si="4"/>
        <v>OK</v>
      </c>
    </row>
    <row r="18" spans="1:12" x14ac:dyDescent="0.25">
      <c r="A18" t="s">
        <v>159</v>
      </c>
      <c r="B18" t="s">
        <v>160</v>
      </c>
      <c r="C18" s="12" t="s">
        <v>146</v>
      </c>
      <c r="D18" t="s">
        <v>161</v>
      </c>
      <c r="E18" s="7">
        <v>27000000</v>
      </c>
      <c r="F18" s="12" t="s">
        <v>146</v>
      </c>
      <c r="G18" s="12" t="s">
        <v>151</v>
      </c>
      <c r="H18" t="str">
        <f t="shared" si="0"/>
        <v>2025</v>
      </c>
      <c r="I18" t="str">
        <f t="shared" si="1"/>
        <v>2025</v>
      </c>
      <c r="J18" t="str">
        <f t="shared" si="2"/>
        <v>NO</v>
      </c>
      <c r="K18" s="7">
        <f t="shared" si="3"/>
        <v>0</v>
      </c>
      <c r="L18" t="str">
        <f t="shared" si="4"/>
        <v>OK</v>
      </c>
    </row>
    <row r="19" spans="1:12" x14ac:dyDescent="0.25">
      <c r="A19" t="s">
        <v>162</v>
      </c>
      <c r="B19" t="s">
        <v>163</v>
      </c>
      <c r="C19" s="12" t="s">
        <v>151</v>
      </c>
      <c r="D19" t="s">
        <v>164</v>
      </c>
      <c r="E19" s="7">
        <v>44000000</v>
      </c>
      <c r="F19" s="12" t="s">
        <v>151</v>
      </c>
      <c r="G19" s="12" t="s">
        <v>165</v>
      </c>
      <c r="H19" t="str">
        <f t="shared" si="0"/>
        <v>2025</v>
      </c>
      <c r="I19" t="str">
        <f t="shared" si="1"/>
        <v>2025</v>
      </c>
      <c r="J19" t="str">
        <f t="shared" si="2"/>
        <v>NO</v>
      </c>
      <c r="K19" s="7">
        <f t="shared" si="3"/>
        <v>0</v>
      </c>
      <c r="L19" t="str">
        <f t="shared" si="4"/>
        <v>OK</v>
      </c>
    </row>
    <row r="20" spans="1:12" x14ac:dyDescent="0.25">
      <c r="A20" t="s">
        <v>166</v>
      </c>
      <c r="B20" t="s">
        <v>167</v>
      </c>
      <c r="C20" s="12" t="s">
        <v>129</v>
      </c>
      <c r="D20" t="s">
        <v>168</v>
      </c>
      <c r="E20" s="7">
        <v>38000000</v>
      </c>
      <c r="F20" s="12" t="s">
        <v>129</v>
      </c>
      <c r="G20" s="12" t="s">
        <v>169</v>
      </c>
      <c r="H20" t="str">
        <f t="shared" si="0"/>
        <v>2025</v>
      </c>
      <c r="I20" t="str">
        <f t="shared" si="1"/>
        <v>2025</v>
      </c>
      <c r="J20" t="str">
        <f t="shared" si="2"/>
        <v>NO</v>
      </c>
      <c r="K20" s="7">
        <f t="shared" si="3"/>
        <v>0</v>
      </c>
      <c r="L20" t="str">
        <f t="shared" si="4"/>
        <v>OK</v>
      </c>
    </row>
    <row r="21" spans="1:12" x14ac:dyDescent="0.25">
      <c r="A21" t="s">
        <v>170</v>
      </c>
      <c r="B21" t="s">
        <v>171</v>
      </c>
      <c r="C21" s="12" t="s">
        <v>151</v>
      </c>
      <c r="D21" t="s">
        <v>172</v>
      </c>
      <c r="E21" s="7">
        <v>31000000</v>
      </c>
      <c r="F21" s="12" t="s">
        <v>151</v>
      </c>
      <c r="G21" s="12" t="s">
        <v>165</v>
      </c>
      <c r="H21" t="str">
        <f t="shared" si="0"/>
        <v>2025</v>
      </c>
      <c r="I21" t="str">
        <f t="shared" si="1"/>
        <v>2025</v>
      </c>
      <c r="J21" t="str">
        <f t="shared" si="2"/>
        <v>NO</v>
      </c>
      <c r="K21" s="7">
        <f t="shared" si="3"/>
        <v>0</v>
      </c>
      <c r="L21" t="str">
        <f t="shared" si="4"/>
        <v>OK</v>
      </c>
    </row>
    <row r="24" spans="1:12" x14ac:dyDescent="0.25">
      <c r="A24" s="30" t="s">
        <v>173</v>
      </c>
      <c r="B24" s="23"/>
      <c r="C24" s="23"/>
      <c r="D24" s="23"/>
    </row>
    <row r="25" spans="1:12" x14ac:dyDescent="0.25">
      <c r="A25" t="s">
        <v>174</v>
      </c>
      <c r="B25">
        <f>COUNTA(A7:A21)</f>
        <v>15</v>
      </c>
    </row>
    <row r="26" spans="1:12" x14ac:dyDescent="0.25">
      <c r="A26" t="s">
        <v>175</v>
      </c>
      <c r="B26" s="5">
        <f>COUNTIF(J7:J21,"SÍ")</f>
        <v>0</v>
      </c>
    </row>
    <row r="27" spans="1:12" x14ac:dyDescent="0.25">
      <c r="A27" t="s">
        <v>176</v>
      </c>
      <c r="B27" s="13">
        <f>SUM(K7:K21)</f>
        <v>0</v>
      </c>
    </row>
    <row r="28" spans="1:12" x14ac:dyDescent="0.25">
      <c r="A28" t="s">
        <v>177</v>
      </c>
      <c r="B28" s="9">
        <f>B27/SUM(E7:E21)</f>
        <v>0</v>
      </c>
    </row>
  </sheetData>
  <mergeCells count="2">
    <mergeCell ref="A24:D2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/>
  </sheetViews>
  <sheetFormatPr baseColWidth="10" defaultColWidth="9.140625" defaultRowHeight="15" x14ac:dyDescent="0.25"/>
  <cols>
    <col min="1" max="11" width="16" customWidth="1"/>
  </cols>
  <sheetData>
    <row r="1" spans="1:11" ht="18" x14ac:dyDescent="0.25">
      <c r="A1" s="31" t="s">
        <v>178</v>
      </c>
      <c r="B1" s="23"/>
      <c r="C1" s="23"/>
      <c r="D1" s="23"/>
      <c r="E1" s="23"/>
      <c r="F1" s="23"/>
      <c r="G1" s="23"/>
      <c r="H1" s="23"/>
    </row>
    <row r="2" spans="1:11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1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1" x14ac:dyDescent="0.25">
      <c r="A4" s="4" t="s">
        <v>71</v>
      </c>
      <c r="B4" t="s">
        <v>179</v>
      </c>
      <c r="E4" s="4" t="s">
        <v>73</v>
      </c>
      <c r="F4" s="5" t="s">
        <v>74</v>
      </c>
    </row>
    <row r="6" spans="1:11" ht="30" x14ac:dyDescent="0.25">
      <c r="A6" s="6" t="s">
        <v>106</v>
      </c>
      <c r="B6" s="6" t="s">
        <v>180</v>
      </c>
      <c r="C6" s="6" t="s">
        <v>181</v>
      </c>
      <c r="D6" s="6" t="s">
        <v>182</v>
      </c>
      <c r="E6" s="6" t="s">
        <v>183</v>
      </c>
      <c r="F6" s="6" t="s">
        <v>109</v>
      </c>
      <c r="G6" s="6" t="s">
        <v>184</v>
      </c>
      <c r="H6" s="6" t="s">
        <v>185</v>
      </c>
      <c r="I6" s="6" t="s">
        <v>186</v>
      </c>
      <c r="J6" s="6" t="s">
        <v>187</v>
      </c>
      <c r="K6" s="6" t="s">
        <v>188</v>
      </c>
    </row>
    <row r="7" spans="1:11" x14ac:dyDescent="0.25">
      <c r="A7" t="s">
        <v>117</v>
      </c>
      <c r="B7" t="s">
        <v>189</v>
      </c>
      <c r="C7" s="12" t="s">
        <v>147</v>
      </c>
      <c r="D7" t="s">
        <v>190</v>
      </c>
      <c r="E7" s="12" t="s">
        <v>191</v>
      </c>
      <c r="F7" t="s">
        <v>192</v>
      </c>
      <c r="G7" t="s">
        <v>193</v>
      </c>
      <c r="H7" s="7">
        <v>12000000</v>
      </c>
      <c r="I7" t="s">
        <v>194</v>
      </c>
      <c r="J7" s="7">
        <f>IF(I7="SÍ",H7,0)</f>
        <v>12000000</v>
      </c>
      <c r="K7" t="str">
        <f>IF(I7="SÍ","SÍ - AJUSTAR VENTAS 2024","NO")</f>
        <v>SÍ - AJUSTAR VENTAS 2024</v>
      </c>
    </row>
    <row r="8" spans="1:11" x14ac:dyDescent="0.25">
      <c r="A8" t="s">
        <v>122</v>
      </c>
      <c r="B8" t="s">
        <v>195</v>
      </c>
      <c r="C8" s="12" t="s">
        <v>152</v>
      </c>
      <c r="D8" t="s">
        <v>196</v>
      </c>
      <c r="E8" s="12" t="s">
        <v>197</v>
      </c>
      <c r="F8" t="s">
        <v>198</v>
      </c>
      <c r="G8" t="s">
        <v>199</v>
      </c>
      <c r="H8" s="7">
        <v>8500000</v>
      </c>
      <c r="I8" t="s">
        <v>194</v>
      </c>
      <c r="J8" s="7">
        <f>IF(I8="SÍ",H8,0)</f>
        <v>8500000</v>
      </c>
      <c r="K8" t="str">
        <f>IF(I8="SÍ","SÍ - AJUSTAR VENTAS 2024","NO")</f>
        <v>SÍ - AJUSTAR VENTAS 2024</v>
      </c>
    </row>
    <row r="9" spans="1:11" x14ac:dyDescent="0.25">
      <c r="A9" t="s">
        <v>126</v>
      </c>
      <c r="B9" t="s">
        <v>200</v>
      </c>
      <c r="C9" s="12" t="s">
        <v>201</v>
      </c>
      <c r="D9" t="s">
        <v>202</v>
      </c>
      <c r="E9" s="12" t="s">
        <v>169</v>
      </c>
      <c r="F9" t="s">
        <v>203</v>
      </c>
      <c r="G9" t="s">
        <v>204</v>
      </c>
      <c r="H9" s="7">
        <v>5200000</v>
      </c>
      <c r="I9" t="s">
        <v>205</v>
      </c>
      <c r="J9" s="7">
        <f>IF(I9="SÍ",H9,0)</f>
        <v>0</v>
      </c>
      <c r="K9" t="str">
        <f>IF(I9="SÍ","SÍ - AJUSTAR VENTAS 2024","NO")</f>
        <v>NO</v>
      </c>
    </row>
    <row r="10" spans="1:11" x14ac:dyDescent="0.25">
      <c r="A10" t="s">
        <v>130</v>
      </c>
      <c r="B10" t="s">
        <v>206</v>
      </c>
      <c r="C10" s="12" t="s">
        <v>207</v>
      </c>
      <c r="D10" t="s">
        <v>135</v>
      </c>
      <c r="E10" s="12" t="s">
        <v>129</v>
      </c>
      <c r="F10" t="s">
        <v>136</v>
      </c>
      <c r="G10" t="s">
        <v>208</v>
      </c>
      <c r="H10" s="7">
        <v>18500000</v>
      </c>
      <c r="I10" t="s">
        <v>194</v>
      </c>
      <c r="J10" s="7">
        <f>IF(I10="SÍ",H10,0)</f>
        <v>18500000</v>
      </c>
      <c r="K10" t="str">
        <f>IF(I10="SÍ","SÍ - AJUSTAR VENTAS 2024","NO")</f>
        <v>SÍ - AJUSTAR VENTAS 2024</v>
      </c>
    </row>
    <row r="11" spans="1:11" x14ac:dyDescent="0.25">
      <c r="A11" t="s">
        <v>134</v>
      </c>
      <c r="B11" t="s">
        <v>209</v>
      </c>
      <c r="C11" s="12" t="s">
        <v>210</v>
      </c>
      <c r="D11" t="s">
        <v>211</v>
      </c>
      <c r="E11" s="12" t="s">
        <v>212</v>
      </c>
      <c r="F11" t="s">
        <v>213</v>
      </c>
      <c r="G11" t="s">
        <v>214</v>
      </c>
      <c r="H11" s="7">
        <v>15000000</v>
      </c>
      <c r="I11" t="s">
        <v>194</v>
      </c>
      <c r="J11" s="7">
        <f>IF(I11="SÍ",H11,0)</f>
        <v>15000000</v>
      </c>
      <c r="K11" t="str">
        <f>IF(I11="SÍ","SÍ - AJUSTAR VENTAS 2024","NO")</f>
        <v>SÍ - AJUSTAR VENTAS 2024</v>
      </c>
    </row>
    <row r="14" spans="1:11" x14ac:dyDescent="0.25">
      <c r="A14" s="33" t="s">
        <v>215</v>
      </c>
      <c r="B14" s="23"/>
      <c r="C14" s="23"/>
      <c r="D14" s="23"/>
    </row>
    <row r="15" spans="1:11" x14ac:dyDescent="0.25">
      <c r="A15" t="s">
        <v>216</v>
      </c>
      <c r="B15">
        <f>COUNTA(A7:A11)</f>
        <v>5</v>
      </c>
    </row>
    <row r="16" spans="1:11" x14ac:dyDescent="0.25">
      <c r="A16" t="s">
        <v>217</v>
      </c>
      <c r="B16">
        <f>COUNTIF(I7:I11,"SÍ")</f>
        <v>4</v>
      </c>
    </row>
    <row r="17" spans="1:11" x14ac:dyDescent="0.25">
      <c r="A17" t="s">
        <v>218</v>
      </c>
      <c r="B17" s="13">
        <f>SUM(J7:J11)</f>
        <v>54000000</v>
      </c>
    </row>
    <row r="19" spans="1:11" x14ac:dyDescent="0.25">
      <c r="A19" s="32" t="s">
        <v>219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1:11" x14ac:dyDescent="0.25">
      <c r="A20" s="24" t="str">
        <f>CONCATENATE("Se requiere ajustar ventas 2024 por $",TEXT(B17,"#,##0")," correspondiente a ",B16," notas crédito emitidas en 2025 pero relacionadas con ventas del período auditado.")</f>
        <v>Se requiere ajustar ventas 2024 por $54,000,000 correspondiente a 4 notas crédito emitidas en 2025 pero relacionadas con ventas del período auditado.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</row>
  </sheetData>
  <mergeCells count="4">
    <mergeCell ref="A19:K19"/>
    <mergeCell ref="A20:K20"/>
    <mergeCell ref="A14:D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baseColWidth="10" defaultColWidth="9.140625" defaultRowHeight="15" x14ac:dyDescent="0.25"/>
  <cols>
    <col min="1" max="12" width="18" customWidth="1"/>
  </cols>
  <sheetData>
    <row r="1" spans="1:12" ht="18" x14ac:dyDescent="0.25">
      <c r="A1" s="31" t="s">
        <v>220</v>
      </c>
      <c r="B1" s="23"/>
      <c r="C1" s="23"/>
      <c r="D1" s="23"/>
      <c r="E1" s="23"/>
      <c r="F1" s="23"/>
      <c r="G1" s="23"/>
      <c r="H1" s="23"/>
    </row>
    <row r="2" spans="1:12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2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2" x14ac:dyDescent="0.25">
      <c r="A4" s="4" t="s">
        <v>71</v>
      </c>
      <c r="B4" t="s">
        <v>221</v>
      </c>
      <c r="E4" s="4" t="s">
        <v>73</v>
      </c>
      <c r="F4" s="5" t="s">
        <v>74</v>
      </c>
    </row>
    <row r="6" spans="1:12" ht="30" x14ac:dyDescent="0.25">
      <c r="A6" s="6" t="s">
        <v>106</v>
      </c>
      <c r="B6" s="6" t="s">
        <v>107</v>
      </c>
      <c r="C6" s="6" t="s">
        <v>222</v>
      </c>
      <c r="D6" s="6" t="s">
        <v>109</v>
      </c>
      <c r="E6" s="6" t="s">
        <v>110</v>
      </c>
      <c r="F6" s="6" t="s">
        <v>223</v>
      </c>
      <c r="G6" s="6" t="s">
        <v>224</v>
      </c>
      <c r="H6" s="6" t="s">
        <v>225</v>
      </c>
      <c r="I6" s="6" t="s">
        <v>226</v>
      </c>
      <c r="J6" s="6" t="s">
        <v>227</v>
      </c>
      <c r="K6" s="6" t="s">
        <v>228</v>
      </c>
      <c r="L6" s="6" t="s">
        <v>84</v>
      </c>
    </row>
    <row r="7" spans="1:12" x14ac:dyDescent="0.25">
      <c r="A7" t="s">
        <v>117</v>
      </c>
      <c r="B7" t="s">
        <v>190</v>
      </c>
      <c r="C7" s="12" t="s">
        <v>191</v>
      </c>
      <c r="D7" t="s">
        <v>229</v>
      </c>
      <c r="E7" s="7">
        <v>85000000</v>
      </c>
      <c r="F7">
        <v>180</v>
      </c>
      <c r="G7">
        <v>30</v>
      </c>
      <c r="H7" s="14">
        <f>F7-G7</f>
        <v>150</v>
      </c>
      <c r="I7" t="s">
        <v>230</v>
      </c>
      <c r="J7" t="s">
        <v>231</v>
      </c>
      <c r="K7" t="s">
        <v>232</v>
      </c>
      <c r="L7" t="str">
        <f>IF(K7="Sin aprobación","CRÍTICO",IF(H7&gt;90,"ALTO - Términos muy inusuales",IF(H7&gt;30,"MEDIO","BAJO")))</f>
        <v>ALTO - Términos muy inusuales</v>
      </c>
    </row>
    <row r="8" spans="1:12" x14ac:dyDescent="0.25">
      <c r="A8" t="s">
        <v>122</v>
      </c>
      <c r="B8" t="s">
        <v>196</v>
      </c>
      <c r="C8" s="12" t="s">
        <v>197</v>
      </c>
      <c r="D8" t="s">
        <v>233</v>
      </c>
      <c r="E8" s="7">
        <v>120000000</v>
      </c>
      <c r="F8">
        <v>90</v>
      </c>
      <c r="G8">
        <v>30</v>
      </c>
      <c r="H8" s="14">
        <f>F8-G8</f>
        <v>60</v>
      </c>
      <c r="I8" t="s">
        <v>234</v>
      </c>
      <c r="J8" t="s">
        <v>235</v>
      </c>
      <c r="K8" t="s">
        <v>236</v>
      </c>
      <c r="L8" t="str">
        <f>IF(K8="Sin aprobación","CRÍTICO",IF(H8&gt;90,"ALTO - Términos muy inusuales",IF(H8&gt;30,"MEDIO","BAJO")))</f>
        <v>CRÍTICO</v>
      </c>
    </row>
    <row r="9" spans="1:12" x14ac:dyDescent="0.25">
      <c r="A9" t="s">
        <v>126</v>
      </c>
      <c r="B9" t="s">
        <v>135</v>
      </c>
      <c r="C9" s="12" t="s">
        <v>129</v>
      </c>
      <c r="D9" t="s">
        <v>237</v>
      </c>
      <c r="E9" s="7">
        <v>95000000</v>
      </c>
      <c r="F9">
        <v>30</v>
      </c>
      <c r="G9">
        <v>30</v>
      </c>
      <c r="H9" s="14">
        <f>F9-G9</f>
        <v>0</v>
      </c>
      <c r="I9" t="s">
        <v>238</v>
      </c>
      <c r="J9" t="s">
        <v>239</v>
      </c>
      <c r="K9" t="s">
        <v>240</v>
      </c>
      <c r="L9" t="str">
        <f>IF(K9="Sin aprobación","CRÍTICO",IF(H9&gt;90,"ALTO - Términos muy inusuales",IF(H9&gt;30,"MEDIO","BAJO")))</f>
        <v>BAJO</v>
      </c>
    </row>
    <row r="10" spans="1:12" x14ac:dyDescent="0.25">
      <c r="A10" t="s">
        <v>130</v>
      </c>
      <c r="B10" t="s">
        <v>154</v>
      </c>
      <c r="C10" s="12" t="s">
        <v>133</v>
      </c>
      <c r="D10" t="s">
        <v>241</v>
      </c>
      <c r="E10" s="7">
        <v>150000000</v>
      </c>
      <c r="F10">
        <v>120</v>
      </c>
      <c r="G10">
        <v>30</v>
      </c>
      <c r="H10" s="14">
        <f>F10-G10</f>
        <v>90</v>
      </c>
      <c r="I10" t="s">
        <v>242</v>
      </c>
      <c r="J10" t="s">
        <v>243</v>
      </c>
      <c r="K10" t="s">
        <v>244</v>
      </c>
      <c r="L10" t="str">
        <f>IF(K10="Sin aprobación","CRÍTICO",IF(H10&gt;90,"ALTO - Términos muy inusuales",IF(H10&gt;30,"MEDIO","BAJO")))</f>
        <v>MEDIO</v>
      </c>
    </row>
    <row r="13" spans="1:12" x14ac:dyDescent="0.25">
      <c r="A13" s="34" t="s">
        <v>245</v>
      </c>
      <c r="B13" s="23"/>
      <c r="C13" s="23"/>
      <c r="D13" s="23"/>
    </row>
    <row r="14" spans="1:12" x14ac:dyDescent="0.25">
      <c r="A14" t="s">
        <v>246</v>
      </c>
      <c r="B14">
        <f>COUNTA(A7:A10)</f>
        <v>4</v>
      </c>
    </row>
    <row r="15" spans="1:12" x14ac:dyDescent="0.25">
      <c r="A15" t="s">
        <v>247</v>
      </c>
      <c r="B15" s="5">
        <f>COUNTIF(K7:K10,"Sin aprobación")</f>
        <v>1</v>
      </c>
    </row>
    <row r="16" spans="1:12" x14ac:dyDescent="0.25">
      <c r="A16" t="s">
        <v>248</v>
      </c>
      <c r="B16" s="10">
        <f>SUMIF(L7:L10,"CRÍTICO",E7:E10)+SUMIF(L7:L10,"ALTO*",E7:E10)</f>
        <v>205000000</v>
      </c>
    </row>
    <row r="17" spans="1:2" x14ac:dyDescent="0.25">
      <c r="A17" t="s">
        <v>249</v>
      </c>
      <c r="B17" s="15">
        <f>AVERAGE(F7:F10)</f>
        <v>105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31" t="s">
        <v>250</v>
      </c>
      <c r="B1" s="23"/>
      <c r="C1" s="23"/>
      <c r="D1" s="23"/>
      <c r="E1" s="23"/>
      <c r="F1" s="23"/>
      <c r="G1" s="23"/>
      <c r="H1" s="23"/>
    </row>
    <row r="2" spans="1:11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1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1" x14ac:dyDescent="0.25">
      <c r="A4" s="4" t="s">
        <v>71</v>
      </c>
      <c r="B4" t="s">
        <v>251</v>
      </c>
      <c r="E4" s="4" t="s">
        <v>73</v>
      </c>
      <c r="F4" s="5" t="s">
        <v>74</v>
      </c>
    </row>
    <row r="6" spans="1:11" ht="30" x14ac:dyDescent="0.25">
      <c r="A6" s="6" t="s">
        <v>106</v>
      </c>
      <c r="B6" s="6" t="s">
        <v>252</v>
      </c>
      <c r="C6" s="6" t="s">
        <v>253</v>
      </c>
      <c r="D6" s="6" t="s">
        <v>254</v>
      </c>
      <c r="E6" s="6" t="s">
        <v>255</v>
      </c>
      <c r="F6" s="6" t="s">
        <v>109</v>
      </c>
      <c r="G6" s="6" t="s">
        <v>256</v>
      </c>
      <c r="H6" s="6" t="s">
        <v>257</v>
      </c>
      <c r="I6" s="6" t="s">
        <v>258</v>
      </c>
      <c r="J6" s="6" t="s">
        <v>259</v>
      </c>
      <c r="K6" s="6" t="s">
        <v>260</v>
      </c>
    </row>
    <row r="7" spans="1:11" x14ac:dyDescent="0.25">
      <c r="A7" t="s">
        <v>117</v>
      </c>
      <c r="B7" t="s">
        <v>261</v>
      </c>
      <c r="C7" s="12" t="s">
        <v>262</v>
      </c>
      <c r="D7" t="s">
        <v>263</v>
      </c>
      <c r="E7" s="12" t="s">
        <v>262</v>
      </c>
      <c r="F7" t="s">
        <v>264</v>
      </c>
      <c r="G7" s="7">
        <v>45000000</v>
      </c>
      <c r="H7" s="7">
        <v>45000000</v>
      </c>
      <c r="I7" s="7">
        <f>ABS(H7-G7)</f>
        <v>0</v>
      </c>
      <c r="J7" t="str">
        <f>IF(B7=D7,"MISMO NÚMERO - CRÍTICO",IF(I7=0,"VALORES IDÉNTICOS - REVISAR","VALORES DIFERENTES"))</f>
        <v>VALORES IDÉNTICOS - REVISAR</v>
      </c>
      <c r="K7" t="str">
        <f>IF(J7="MISMO NÚMERO - CRÍTICO","REVERSAR DUPLICADO INMEDIATO","INVESTIGAR Y REVERSAR SI PROCEDE")</f>
        <v>INVESTIGAR Y REVERSAR SI PROCEDE</v>
      </c>
    </row>
    <row r="8" spans="1:11" x14ac:dyDescent="0.25">
      <c r="A8" t="s">
        <v>122</v>
      </c>
      <c r="B8" t="s">
        <v>265</v>
      </c>
      <c r="C8" s="12" t="s">
        <v>212</v>
      </c>
      <c r="D8" t="s">
        <v>265</v>
      </c>
      <c r="E8" s="12" t="s">
        <v>266</v>
      </c>
      <c r="F8" t="s">
        <v>267</v>
      </c>
      <c r="G8" s="7">
        <v>32000000</v>
      </c>
      <c r="H8" s="7">
        <v>32000000</v>
      </c>
      <c r="I8" s="7">
        <f>ABS(H8-G8)</f>
        <v>0</v>
      </c>
      <c r="J8" t="str">
        <f>IF(B8=D8,"MISMO NÚMERO - CRÍTICO",IF(I8=0,"VALORES IDÉNTICOS - REVISAR","VALORES DIFERENTES"))</f>
        <v>MISMO NÚMERO - CRÍTICO</v>
      </c>
      <c r="K8" t="str">
        <f>IF(J8="MISMO NÚMERO - CRÍTICO","REVERSAR DUPLICADO INMEDIATO","INVESTIGAR Y REVERSAR SI PROCEDE")</f>
        <v>REVERSAR DUPLICADO INMEDIATO</v>
      </c>
    </row>
    <row r="9" spans="1:11" x14ac:dyDescent="0.25">
      <c r="A9" t="s">
        <v>126</v>
      </c>
      <c r="B9" t="s">
        <v>268</v>
      </c>
      <c r="C9" s="12" t="s">
        <v>269</v>
      </c>
      <c r="D9" t="s">
        <v>270</v>
      </c>
      <c r="E9" s="12" t="s">
        <v>269</v>
      </c>
      <c r="F9" t="s">
        <v>271</v>
      </c>
      <c r="G9" s="7">
        <v>28500000</v>
      </c>
      <c r="H9" s="7">
        <v>28500000</v>
      </c>
      <c r="I9" s="7">
        <f>ABS(H9-G9)</f>
        <v>0</v>
      </c>
      <c r="J9" t="str">
        <f>IF(B9=D9,"MISMO NÚMERO - CRÍTICO",IF(I9=0,"VALORES IDÉNTICOS - REVISAR","VALORES DIFERENTES"))</f>
        <v>VALORES IDÉNTICOS - REVISAR</v>
      </c>
      <c r="K9" t="str">
        <f>IF(J9="MISMO NÚMERO - CRÍTICO","REVERSAR DUPLICADO INMEDIATO","INVESTIGAR Y REVERSAR SI PROCEDE")</f>
        <v>INVESTIGAR Y REVERSAR SI PROCEDE</v>
      </c>
    </row>
    <row r="12" spans="1:11" x14ac:dyDescent="0.25">
      <c r="A12" s="30" t="s">
        <v>272</v>
      </c>
      <c r="B12" s="23"/>
      <c r="C12" s="23"/>
      <c r="D12" s="23"/>
    </row>
    <row r="13" spans="1:11" x14ac:dyDescent="0.25">
      <c r="A13" t="s">
        <v>273</v>
      </c>
      <c r="B13" s="5">
        <f>COUNTA(A7:A9)</f>
        <v>3</v>
      </c>
    </row>
    <row r="14" spans="1:11" x14ac:dyDescent="0.25">
      <c r="A14" t="s">
        <v>274</v>
      </c>
      <c r="B14">
        <f>COUNTIF(J7:J9,"MISMO NÚMERO*")</f>
        <v>1</v>
      </c>
    </row>
    <row r="15" spans="1:11" x14ac:dyDescent="0.25">
      <c r="A15" t="s">
        <v>275</v>
      </c>
      <c r="B15" s="13">
        <f>SUM(H7:H9)</f>
        <v>105500000</v>
      </c>
    </row>
    <row r="17" spans="1:11" x14ac:dyDescent="0.25">
      <c r="A17" s="32" t="s">
        <v>219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1:11" x14ac:dyDescent="0.25">
      <c r="A18" s="35" t="s">
        <v>276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</row>
  </sheetData>
  <mergeCells count="4">
    <mergeCell ref="A12:D12"/>
    <mergeCell ref="A17:K17"/>
    <mergeCell ref="A18:K1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baseColWidth="10" defaultColWidth="9.140625" defaultRowHeight="15" x14ac:dyDescent="0.25"/>
  <cols>
    <col min="1" max="10" width="16" customWidth="1"/>
  </cols>
  <sheetData>
    <row r="1" spans="1:10" ht="18" x14ac:dyDescent="0.25">
      <c r="A1" s="31" t="s">
        <v>277</v>
      </c>
      <c r="B1" s="23"/>
      <c r="C1" s="23"/>
      <c r="D1" s="23"/>
      <c r="E1" s="23"/>
      <c r="F1" s="23"/>
      <c r="G1" s="23"/>
      <c r="H1" s="23"/>
    </row>
    <row r="2" spans="1:10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0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0" x14ac:dyDescent="0.25">
      <c r="A4" s="4" t="s">
        <v>71</v>
      </c>
      <c r="B4" t="s">
        <v>278</v>
      </c>
      <c r="E4" s="4" t="s">
        <v>73</v>
      </c>
      <c r="F4" s="5" t="s">
        <v>74</v>
      </c>
    </row>
    <row r="6" spans="1:10" ht="45" x14ac:dyDescent="0.25">
      <c r="A6" s="6" t="s">
        <v>75</v>
      </c>
      <c r="B6" s="6" t="s">
        <v>279</v>
      </c>
      <c r="C6" s="6" t="s">
        <v>280</v>
      </c>
      <c r="D6" s="6" t="s">
        <v>281</v>
      </c>
      <c r="E6" s="6" t="s">
        <v>282</v>
      </c>
      <c r="F6" s="6" t="s">
        <v>283</v>
      </c>
      <c r="G6" s="6" t="s">
        <v>284</v>
      </c>
      <c r="H6" s="6" t="s">
        <v>285</v>
      </c>
      <c r="I6" s="6" t="s">
        <v>83</v>
      </c>
      <c r="J6" s="6" t="s">
        <v>84</v>
      </c>
    </row>
    <row r="7" spans="1:10" x14ac:dyDescent="0.25">
      <c r="A7" t="s">
        <v>85</v>
      </c>
      <c r="B7" s="7">
        <v>850000000</v>
      </c>
      <c r="C7" s="7">
        <v>15000000</v>
      </c>
      <c r="D7" s="7">
        <v>8500000</v>
      </c>
      <c r="E7" s="7">
        <f t="shared" ref="E7:E18" si="0">B7-C7-D7</f>
        <v>826500000</v>
      </c>
      <c r="F7" s="9">
        <f t="shared" ref="F7:F18" si="1">C7/B7</f>
        <v>1.7647058823529412E-2</v>
      </c>
      <c r="G7" s="9">
        <f t="shared" ref="G7:G18" si="2">D7/B7</f>
        <v>0.01</v>
      </c>
      <c r="H7" s="9">
        <f t="shared" ref="H7:H18" si="3">(C7+D7)/B7</f>
        <v>2.7647058823529413E-2</v>
      </c>
      <c r="I7" t="str">
        <f t="shared" ref="I7:I18" si="4">IF(H7&gt;0.25,"CRÍTICO - Investigar inmediato",IF(H7&gt;0.15,"ALTO - Revisar",IF(H7&gt;0.05,"MODERADO","NORMAL")))</f>
        <v>NORMAL</v>
      </c>
      <c r="J7" t="str">
        <f t="shared" ref="J7:J18" si="5">IF(I7="CRÍTICO*","CRÍTICO",IF(I7="ALTO*","ALTO","BAJO"))</f>
        <v>BAJO</v>
      </c>
    </row>
    <row r="8" spans="1:10" x14ac:dyDescent="0.25">
      <c r="A8" t="s">
        <v>86</v>
      </c>
      <c r="B8" s="7">
        <v>820000000</v>
      </c>
      <c r="C8" s="7">
        <v>12000000</v>
      </c>
      <c r="D8" s="7">
        <v>8200000</v>
      </c>
      <c r="E8" s="7">
        <f t="shared" si="0"/>
        <v>799800000</v>
      </c>
      <c r="F8" s="9">
        <f t="shared" si="1"/>
        <v>1.4634146341463415E-2</v>
      </c>
      <c r="G8" s="9">
        <f t="shared" si="2"/>
        <v>0.01</v>
      </c>
      <c r="H8" s="9">
        <f t="shared" si="3"/>
        <v>2.4634146341463416E-2</v>
      </c>
      <c r="I8" t="str">
        <f t="shared" si="4"/>
        <v>NORMAL</v>
      </c>
      <c r="J8" t="str">
        <f t="shared" si="5"/>
        <v>BAJO</v>
      </c>
    </row>
    <row r="9" spans="1:10" x14ac:dyDescent="0.25">
      <c r="A9" t="s">
        <v>87</v>
      </c>
      <c r="B9" s="7">
        <v>890000000</v>
      </c>
      <c r="C9" s="7">
        <v>18000000</v>
      </c>
      <c r="D9" s="7">
        <v>8900000</v>
      </c>
      <c r="E9" s="7">
        <f t="shared" si="0"/>
        <v>863100000</v>
      </c>
      <c r="F9" s="9">
        <f t="shared" si="1"/>
        <v>2.0224719101123594E-2</v>
      </c>
      <c r="G9" s="9">
        <f t="shared" si="2"/>
        <v>0.01</v>
      </c>
      <c r="H9" s="9">
        <f t="shared" si="3"/>
        <v>3.0224719101123596E-2</v>
      </c>
      <c r="I9" t="str">
        <f t="shared" si="4"/>
        <v>NORMAL</v>
      </c>
      <c r="J9" t="str">
        <f t="shared" si="5"/>
        <v>BAJO</v>
      </c>
    </row>
    <row r="10" spans="1:10" x14ac:dyDescent="0.25">
      <c r="A10" t="s">
        <v>88</v>
      </c>
      <c r="B10" s="7">
        <v>875000000</v>
      </c>
      <c r="C10" s="7">
        <v>16000000</v>
      </c>
      <c r="D10" s="7">
        <v>8750000</v>
      </c>
      <c r="E10" s="7">
        <f t="shared" si="0"/>
        <v>850250000</v>
      </c>
      <c r="F10" s="9">
        <f t="shared" si="1"/>
        <v>1.8285714285714287E-2</v>
      </c>
      <c r="G10" s="9">
        <f t="shared" si="2"/>
        <v>0.01</v>
      </c>
      <c r="H10" s="9">
        <f t="shared" si="3"/>
        <v>2.8285714285714286E-2</v>
      </c>
      <c r="I10" t="str">
        <f t="shared" si="4"/>
        <v>NORMAL</v>
      </c>
      <c r="J10" t="str">
        <f t="shared" si="5"/>
        <v>BAJO</v>
      </c>
    </row>
    <row r="11" spans="1:10" x14ac:dyDescent="0.25">
      <c r="A11" t="s">
        <v>89</v>
      </c>
      <c r="B11" s="7">
        <v>910000000</v>
      </c>
      <c r="C11" s="7">
        <v>17000000</v>
      </c>
      <c r="D11" s="7">
        <v>9100000</v>
      </c>
      <c r="E11" s="7">
        <f t="shared" si="0"/>
        <v>883900000</v>
      </c>
      <c r="F11" s="9">
        <f t="shared" si="1"/>
        <v>1.8681318681318681E-2</v>
      </c>
      <c r="G11" s="9">
        <f t="shared" si="2"/>
        <v>0.01</v>
      </c>
      <c r="H11" s="9">
        <f t="shared" si="3"/>
        <v>2.8681318681318683E-2</v>
      </c>
      <c r="I11" t="str">
        <f t="shared" si="4"/>
        <v>NORMAL</v>
      </c>
      <c r="J11" t="str">
        <f t="shared" si="5"/>
        <v>BAJO</v>
      </c>
    </row>
    <row r="12" spans="1:10" x14ac:dyDescent="0.25">
      <c r="A12" t="s">
        <v>90</v>
      </c>
      <c r="B12" s="7">
        <v>895000000</v>
      </c>
      <c r="C12" s="7">
        <v>16500000</v>
      </c>
      <c r="D12" s="7">
        <v>8950000</v>
      </c>
      <c r="E12" s="7">
        <f t="shared" si="0"/>
        <v>869550000</v>
      </c>
      <c r="F12" s="9">
        <f t="shared" si="1"/>
        <v>1.8435754189944135E-2</v>
      </c>
      <c r="G12" s="9">
        <f t="shared" si="2"/>
        <v>0.01</v>
      </c>
      <c r="H12" s="9">
        <f t="shared" si="3"/>
        <v>2.8435754189944134E-2</v>
      </c>
      <c r="I12" t="str">
        <f t="shared" si="4"/>
        <v>NORMAL</v>
      </c>
      <c r="J12" t="str">
        <f t="shared" si="5"/>
        <v>BAJO</v>
      </c>
    </row>
    <row r="13" spans="1:10" x14ac:dyDescent="0.25">
      <c r="A13" t="s">
        <v>91</v>
      </c>
      <c r="B13" s="7">
        <v>880000000</v>
      </c>
      <c r="C13" s="7">
        <v>15500000</v>
      </c>
      <c r="D13" s="7">
        <v>8800000</v>
      </c>
      <c r="E13" s="7">
        <f t="shared" si="0"/>
        <v>855700000</v>
      </c>
      <c r="F13" s="9">
        <f t="shared" si="1"/>
        <v>1.7613636363636363E-2</v>
      </c>
      <c r="G13" s="9">
        <f t="shared" si="2"/>
        <v>0.01</v>
      </c>
      <c r="H13" s="9">
        <f t="shared" si="3"/>
        <v>2.7613636363636365E-2</v>
      </c>
      <c r="I13" t="str">
        <f t="shared" si="4"/>
        <v>NORMAL</v>
      </c>
      <c r="J13" t="str">
        <f t="shared" si="5"/>
        <v>BAJO</v>
      </c>
    </row>
    <row r="14" spans="1:10" x14ac:dyDescent="0.25">
      <c r="A14" t="s">
        <v>92</v>
      </c>
      <c r="B14" s="7">
        <v>905000000</v>
      </c>
      <c r="C14" s="7">
        <v>17000000</v>
      </c>
      <c r="D14" s="7">
        <v>9050000</v>
      </c>
      <c r="E14" s="7">
        <f t="shared" si="0"/>
        <v>878950000</v>
      </c>
      <c r="F14" s="9">
        <f t="shared" si="1"/>
        <v>1.8784530386740331E-2</v>
      </c>
      <c r="G14" s="9">
        <f t="shared" si="2"/>
        <v>0.01</v>
      </c>
      <c r="H14" s="9">
        <f t="shared" si="3"/>
        <v>2.878453038674033E-2</v>
      </c>
      <c r="I14" t="str">
        <f t="shared" si="4"/>
        <v>NORMAL</v>
      </c>
      <c r="J14" t="str">
        <f t="shared" si="5"/>
        <v>BAJO</v>
      </c>
    </row>
    <row r="15" spans="1:10" x14ac:dyDescent="0.25">
      <c r="A15" t="s">
        <v>93</v>
      </c>
      <c r="B15" s="7">
        <v>920000000</v>
      </c>
      <c r="C15" s="7">
        <v>18000000</v>
      </c>
      <c r="D15" s="7">
        <v>9200000</v>
      </c>
      <c r="E15" s="7">
        <f t="shared" si="0"/>
        <v>892800000</v>
      </c>
      <c r="F15" s="9">
        <f t="shared" si="1"/>
        <v>1.9565217391304349E-2</v>
      </c>
      <c r="G15" s="9">
        <f t="shared" si="2"/>
        <v>0.01</v>
      </c>
      <c r="H15" s="9">
        <f t="shared" si="3"/>
        <v>2.9565217391304348E-2</v>
      </c>
      <c r="I15" t="str">
        <f t="shared" si="4"/>
        <v>NORMAL</v>
      </c>
      <c r="J15" t="str">
        <f t="shared" si="5"/>
        <v>BAJO</v>
      </c>
    </row>
    <row r="16" spans="1:10" x14ac:dyDescent="0.25">
      <c r="A16" t="s">
        <v>94</v>
      </c>
      <c r="B16" s="7">
        <v>895000000</v>
      </c>
      <c r="C16" s="7">
        <v>16000000</v>
      </c>
      <c r="D16" s="7">
        <v>8950000</v>
      </c>
      <c r="E16" s="7">
        <f t="shared" si="0"/>
        <v>870050000</v>
      </c>
      <c r="F16" s="9">
        <f t="shared" si="1"/>
        <v>1.7877094972067038E-2</v>
      </c>
      <c r="G16" s="9">
        <f t="shared" si="2"/>
        <v>0.01</v>
      </c>
      <c r="H16" s="9">
        <f t="shared" si="3"/>
        <v>2.787709497206704E-2</v>
      </c>
      <c r="I16" t="str">
        <f t="shared" si="4"/>
        <v>NORMAL</v>
      </c>
      <c r="J16" t="str">
        <f t="shared" si="5"/>
        <v>BAJO</v>
      </c>
    </row>
    <row r="17" spans="1:10" x14ac:dyDescent="0.25">
      <c r="A17" t="s">
        <v>95</v>
      </c>
      <c r="B17" s="7">
        <v>910000000</v>
      </c>
      <c r="C17" s="7">
        <v>17500000</v>
      </c>
      <c r="D17" s="7">
        <v>9100000</v>
      </c>
      <c r="E17" s="7">
        <f t="shared" si="0"/>
        <v>883400000</v>
      </c>
      <c r="F17" s="9">
        <f t="shared" si="1"/>
        <v>1.9230769230769232E-2</v>
      </c>
      <c r="G17" s="9">
        <f t="shared" si="2"/>
        <v>0.01</v>
      </c>
      <c r="H17" s="9">
        <f t="shared" si="3"/>
        <v>2.923076923076923E-2</v>
      </c>
      <c r="I17" t="str">
        <f t="shared" si="4"/>
        <v>NORMAL</v>
      </c>
      <c r="J17" t="str">
        <f t="shared" si="5"/>
        <v>BAJO</v>
      </c>
    </row>
    <row r="18" spans="1:10" x14ac:dyDescent="0.25">
      <c r="A18" t="s">
        <v>96</v>
      </c>
      <c r="B18" s="7">
        <v>1450000000</v>
      </c>
      <c r="C18" s="7">
        <v>285000000</v>
      </c>
      <c r="D18" s="7">
        <v>72500000</v>
      </c>
      <c r="E18" s="7">
        <f t="shared" si="0"/>
        <v>1092500000</v>
      </c>
      <c r="F18" s="9">
        <f t="shared" si="1"/>
        <v>0.19655172413793104</v>
      </c>
      <c r="G18" s="9">
        <f t="shared" si="2"/>
        <v>0.05</v>
      </c>
      <c r="H18" s="9">
        <f t="shared" si="3"/>
        <v>0.24655172413793103</v>
      </c>
      <c r="I18" t="str">
        <f t="shared" si="4"/>
        <v>ALTO - Revisar</v>
      </c>
      <c r="J18" t="str">
        <f t="shared" si="5"/>
        <v>BAJO</v>
      </c>
    </row>
    <row r="21" spans="1:10" x14ac:dyDescent="0.25">
      <c r="A21" s="36" t="s">
        <v>286</v>
      </c>
      <c r="B21" s="23"/>
      <c r="C21" s="23"/>
      <c r="D21" s="23"/>
    </row>
    <row r="22" spans="1:10" x14ac:dyDescent="0.25">
      <c r="A22" t="s">
        <v>287</v>
      </c>
      <c r="B22" s="16">
        <f>AVERAGE(F7:F18)</f>
        <v>3.3127640325461824E-2</v>
      </c>
    </row>
    <row r="23" spans="1:10" x14ac:dyDescent="0.25">
      <c r="A23" t="s">
        <v>288</v>
      </c>
      <c r="B23" s="16">
        <f>AVERAGE(G7:G18)</f>
        <v>1.3333333333333331E-2</v>
      </c>
    </row>
    <row r="24" spans="1:10" x14ac:dyDescent="0.25">
      <c r="A24" t="s">
        <v>289</v>
      </c>
      <c r="B24" s="17">
        <f>MAX(H7:H18)</f>
        <v>0.24655172413793103</v>
      </c>
    </row>
    <row r="25" spans="1:10" x14ac:dyDescent="0.25">
      <c r="A25" t="s">
        <v>290</v>
      </c>
      <c r="B25" s="5">
        <f>COUNTIF(J7:J18,"CRÍTICO")</f>
        <v>0</v>
      </c>
    </row>
  </sheetData>
  <mergeCells count="2">
    <mergeCell ref="A21:D2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31" t="s">
        <v>291</v>
      </c>
      <c r="B1" s="23"/>
      <c r="C1" s="23"/>
      <c r="D1" s="23"/>
      <c r="E1" s="23"/>
      <c r="F1" s="23"/>
      <c r="G1" s="23"/>
      <c r="H1" s="23"/>
    </row>
    <row r="2" spans="1:11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1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1" x14ac:dyDescent="0.25">
      <c r="A4" s="4" t="s">
        <v>71</v>
      </c>
      <c r="B4" t="s">
        <v>292</v>
      </c>
      <c r="E4" s="4" t="s">
        <v>73</v>
      </c>
      <c r="F4" s="5" t="s">
        <v>74</v>
      </c>
    </row>
    <row r="6" spans="1:11" ht="30" x14ac:dyDescent="0.25">
      <c r="A6" s="6" t="s">
        <v>106</v>
      </c>
      <c r="B6" s="6" t="s">
        <v>107</v>
      </c>
      <c r="C6" s="6" t="s">
        <v>108</v>
      </c>
      <c r="D6" s="6" t="s">
        <v>293</v>
      </c>
      <c r="E6" s="6" t="s">
        <v>110</v>
      </c>
      <c r="F6" s="6" t="s">
        <v>294</v>
      </c>
      <c r="G6" s="6" t="s">
        <v>295</v>
      </c>
      <c r="H6" s="6" t="s">
        <v>296</v>
      </c>
      <c r="I6" s="6" t="s">
        <v>83</v>
      </c>
      <c r="J6" s="6" t="s">
        <v>84</v>
      </c>
      <c r="K6" s="6" t="s">
        <v>297</v>
      </c>
    </row>
    <row r="7" spans="1:11" x14ac:dyDescent="0.25">
      <c r="A7" t="s">
        <v>117</v>
      </c>
      <c r="B7" t="s">
        <v>298</v>
      </c>
      <c r="C7" s="12" t="s">
        <v>299</v>
      </c>
      <c r="D7" t="s">
        <v>300</v>
      </c>
      <c r="E7" s="7">
        <v>8500000</v>
      </c>
      <c r="F7" s="12" t="s">
        <v>299</v>
      </c>
      <c r="G7" s="12" t="s">
        <v>301</v>
      </c>
      <c r="H7" s="14">
        <f>G7-F7</f>
        <v>1</v>
      </c>
      <c r="I7" t="str">
        <f>IF(H7&gt;10,"CRÍTICO - Posible apropiación",IF(H7&gt;5,"ALTO - Control débil",IF(H7&gt;2,"MODERADO","ACEPTABLE")))</f>
        <v>ACEPTABLE</v>
      </c>
      <c r="J7" t="str">
        <f>IF(I7="CRÍTICO*","CRÍTICO",IF(I7="ALTO*","ALTO","MEDIO"))</f>
        <v>MEDIO</v>
      </c>
    </row>
    <row r="8" spans="1:11" x14ac:dyDescent="0.25">
      <c r="A8" t="s">
        <v>122</v>
      </c>
      <c r="B8" t="s">
        <v>302</v>
      </c>
      <c r="C8" s="12" t="s">
        <v>303</v>
      </c>
      <c r="D8" t="s">
        <v>304</v>
      </c>
      <c r="E8" s="7">
        <v>15000000</v>
      </c>
      <c r="F8" s="12" t="s">
        <v>303</v>
      </c>
      <c r="G8" s="12" t="s">
        <v>191</v>
      </c>
      <c r="H8" s="14">
        <f>G8-F8</f>
        <v>7</v>
      </c>
      <c r="I8" t="str">
        <f>IF(H8&gt;10,"CRÍTICO - Posible apropiación",IF(H8&gt;5,"ALTO - Control débil",IF(H8&gt;2,"MODERADO","ACEPTABLE")))</f>
        <v>ALTO - Control débil</v>
      </c>
      <c r="J8" t="str">
        <f>IF(I8="CRÍTICO*","CRÍTICO",IF(I8="ALTO*","ALTO","MEDIO"))</f>
        <v>MEDIO</v>
      </c>
    </row>
    <row r="9" spans="1:11" x14ac:dyDescent="0.25">
      <c r="A9" t="s">
        <v>126</v>
      </c>
      <c r="B9" t="s">
        <v>268</v>
      </c>
      <c r="C9" s="12" t="s">
        <v>191</v>
      </c>
      <c r="D9" t="s">
        <v>300</v>
      </c>
      <c r="E9" s="7">
        <v>12000000</v>
      </c>
      <c r="F9" s="12" t="s">
        <v>191</v>
      </c>
      <c r="G9" s="12" t="s">
        <v>269</v>
      </c>
      <c r="H9" s="14">
        <f>G9-F9</f>
        <v>13</v>
      </c>
      <c r="I9" t="str">
        <f>IF(H9&gt;10,"CRÍTICO - Posible apropiación",IF(H9&gt;5,"ALTO - Control débil",IF(H9&gt;2,"MODERADO","ACEPTABLE")))</f>
        <v>CRÍTICO - Posible apropiación</v>
      </c>
      <c r="J9" t="str">
        <f>IF(I9="CRÍTICO*","CRÍTICO",IF(I9="ALTO*","ALTO","MEDIO"))</f>
        <v>MEDIO</v>
      </c>
    </row>
    <row r="10" spans="1:11" x14ac:dyDescent="0.25">
      <c r="A10" t="s">
        <v>130</v>
      </c>
      <c r="B10" t="s">
        <v>305</v>
      </c>
      <c r="C10" s="12" t="s">
        <v>306</v>
      </c>
      <c r="D10" t="s">
        <v>307</v>
      </c>
      <c r="E10" s="7">
        <v>25000000</v>
      </c>
      <c r="F10" s="12" t="s">
        <v>306</v>
      </c>
      <c r="G10" s="12" t="s">
        <v>306</v>
      </c>
      <c r="H10" s="14">
        <f>G10-F10</f>
        <v>0</v>
      </c>
      <c r="I10" t="str">
        <f>IF(H10&gt;10,"CRÍTICO - Posible apropiación",IF(H10&gt;5,"ALTO - Control débil",IF(H10&gt;2,"MODERADO","ACEPTABLE")))</f>
        <v>ACEPTABLE</v>
      </c>
      <c r="J10" t="str">
        <f>IF(I10="CRÍTICO*","CRÍTICO",IF(I10="ALTO*","ALTO","MEDIO"))</f>
        <v>MEDIO</v>
      </c>
    </row>
    <row r="11" spans="1:11" x14ac:dyDescent="0.25">
      <c r="A11" t="s">
        <v>134</v>
      </c>
      <c r="B11" t="s">
        <v>190</v>
      </c>
      <c r="C11" s="12" t="s">
        <v>308</v>
      </c>
      <c r="D11" t="s">
        <v>300</v>
      </c>
      <c r="E11" s="7">
        <v>9500000</v>
      </c>
      <c r="F11" s="12" t="s">
        <v>308</v>
      </c>
      <c r="G11" s="12" t="s">
        <v>309</v>
      </c>
      <c r="H11" s="14">
        <f>G11-F11</f>
        <v>17</v>
      </c>
      <c r="I11" t="str">
        <f>IF(H11&gt;10,"CRÍTICO - Posible apropiación",IF(H11&gt;5,"ALTO - Control débil",IF(H11&gt;2,"MODERADO","ACEPTABLE")))</f>
        <v>CRÍTICO - Posible apropiación</v>
      </c>
      <c r="J11" t="str">
        <f>IF(I11="CRÍTICO*","CRÍTICO",IF(I11="ALTO*","ALTO","MEDIO"))</f>
        <v>MEDIO</v>
      </c>
    </row>
    <row r="14" spans="1:11" x14ac:dyDescent="0.25">
      <c r="A14" s="30" t="s">
        <v>310</v>
      </c>
      <c r="B14" s="23"/>
      <c r="C14" s="23"/>
      <c r="D14" s="23"/>
    </row>
    <row r="15" spans="1:11" x14ac:dyDescent="0.25">
      <c r="A15" t="s">
        <v>311</v>
      </c>
      <c r="B15">
        <f>COUNTA(A7:A11)</f>
        <v>5</v>
      </c>
    </row>
    <row r="16" spans="1:11" x14ac:dyDescent="0.25">
      <c r="A16" t="s">
        <v>312</v>
      </c>
      <c r="B16" s="5">
        <f>COUNTIF(J7:J11,"CRÍTICO")</f>
        <v>0</v>
      </c>
    </row>
    <row r="17" spans="1:2" x14ac:dyDescent="0.25">
      <c r="A17" t="s">
        <v>313</v>
      </c>
      <c r="B17" s="18">
        <f>SUMIF(H7:H11,"&gt;10",E7:E11)</f>
        <v>21500000</v>
      </c>
    </row>
    <row r="18" spans="1:2" x14ac:dyDescent="0.25">
      <c r="A18" t="s">
        <v>314</v>
      </c>
      <c r="B18" s="15">
        <f>AVERAGE(H7:H11)</f>
        <v>7.6</v>
      </c>
    </row>
  </sheetData>
  <mergeCells count="2">
    <mergeCell ref="A14:D14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31" t="s">
        <v>315</v>
      </c>
      <c r="B1" s="23"/>
      <c r="C1" s="23"/>
      <c r="D1" s="23"/>
      <c r="E1" s="23"/>
      <c r="F1" s="23"/>
      <c r="G1" s="23"/>
      <c r="H1" s="23"/>
    </row>
    <row r="2" spans="1:10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0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0" x14ac:dyDescent="0.25">
      <c r="A4" s="4" t="s">
        <v>71</v>
      </c>
      <c r="B4" t="s">
        <v>316</v>
      </c>
      <c r="E4" s="4" t="s">
        <v>73</v>
      </c>
      <c r="F4" s="5" t="s">
        <v>74</v>
      </c>
    </row>
    <row r="6" spans="1:10" ht="30" x14ac:dyDescent="0.25">
      <c r="A6" s="6" t="s">
        <v>106</v>
      </c>
      <c r="B6" s="6" t="s">
        <v>109</v>
      </c>
      <c r="C6" s="6" t="s">
        <v>317</v>
      </c>
      <c r="D6" s="6" t="s">
        <v>318</v>
      </c>
      <c r="E6" s="6" t="s">
        <v>319</v>
      </c>
      <c r="F6" s="6" t="s">
        <v>320</v>
      </c>
      <c r="G6" s="6" t="s">
        <v>225</v>
      </c>
      <c r="H6" s="6" t="s">
        <v>321</v>
      </c>
      <c r="I6" s="6" t="s">
        <v>83</v>
      </c>
      <c r="J6" s="6" t="s">
        <v>84</v>
      </c>
    </row>
    <row r="7" spans="1:10" x14ac:dyDescent="0.25">
      <c r="A7" t="s">
        <v>117</v>
      </c>
      <c r="B7" t="s">
        <v>322</v>
      </c>
      <c r="C7" s="7">
        <v>450000000</v>
      </c>
      <c r="D7" s="7">
        <v>45000000</v>
      </c>
      <c r="E7" s="14">
        <f>(D7/C7)*365</f>
        <v>36.5</v>
      </c>
      <c r="F7">
        <v>45</v>
      </c>
      <c r="G7" s="14">
        <f>E7-F7</f>
        <v>-8.5</v>
      </c>
      <c r="H7" s="9">
        <f>D7/C7</f>
        <v>0.1</v>
      </c>
      <c r="I7" t="str">
        <f>IF(E7&gt;120,"CRÍTICO - Posible incobrabilidad",IF(E7&gt;90,"ALTO - Gestión cobro urgente",IF(E7&gt;60,"MEDIO - Seguimiento","NORMAL")))</f>
        <v>NORMAL</v>
      </c>
      <c r="J7" t="str">
        <f>IF(I7="CRÍTICO*","CRÍTICO",IF(I7="ALTO*","ALTO","BAJO"))</f>
        <v>BAJO</v>
      </c>
    </row>
    <row r="8" spans="1:10" x14ac:dyDescent="0.25">
      <c r="A8" t="s">
        <v>122</v>
      </c>
      <c r="B8" t="s">
        <v>323</v>
      </c>
      <c r="C8" s="7">
        <v>320000000</v>
      </c>
      <c r="D8" s="7">
        <v>78000000</v>
      </c>
      <c r="E8" s="14">
        <f>(D8/C8)*365</f>
        <v>88.96875</v>
      </c>
      <c r="F8">
        <v>45</v>
      </c>
      <c r="G8" s="14">
        <f>E8-F8</f>
        <v>43.96875</v>
      </c>
      <c r="H8" s="9">
        <f>D8/C8</f>
        <v>0.24374999999999999</v>
      </c>
      <c r="I8" t="str">
        <f>IF(E8&gt;120,"CRÍTICO - Posible incobrabilidad",IF(E8&gt;90,"ALTO - Gestión cobro urgente",IF(E8&gt;60,"MEDIO - Seguimiento","NORMAL")))</f>
        <v>MEDIO - Seguimiento</v>
      </c>
      <c r="J8" t="str">
        <f>IF(I8="CRÍTICO*","CRÍTICO",IF(I8="ALTO*","ALTO","BAJO"))</f>
        <v>BAJO</v>
      </c>
    </row>
    <row r="9" spans="1:10" x14ac:dyDescent="0.25">
      <c r="A9" t="s">
        <v>126</v>
      </c>
      <c r="B9" t="s">
        <v>324</v>
      </c>
      <c r="C9" s="7">
        <v>580000000</v>
      </c>
      <c r="D9" s="7">
        <v>52000000</v>
      </c>
      <c r="E9" s="14">
        <f>(D9/C9)*365</f>
        <v>32.724137931034484</v>
      </c>
      <c r="F9">
        <v>45</v>
      </c>
      <c r="G9" s="14">
        <f>E9-F9</f>
        <v>-12.275862068965516</v>
      </c>
      <c r="H9" s="9">
        <f>D9/C9</f>
        <v>8.9655172413793102E-2</v>
      </c>
      <c r="I9" t="str">
        <f>IF(E9&gt;120,"CRÍTICO - Posible incobrabilidad",IF(E9&gt;90,"ALTO - Gestión cobro urgente",IF(E9&gt;60,"MEDIO - Seguimiento","NORMAL")))</f>
        <v>NORMAL</v>
      </c>
      <c r="J9" t="str">
        <f>IF(I9="CRÍTICO*","CRÍTICO",IF(I9="ALTO*","ALTO","BAJO"))</f>
        <v>BAJO</v>
      </c>
    </row>
    <row r="10" spans="1:10" x14ac:dyDescent="0.25">
      <c r="A10" t="s">
        <v>130</v>
      </c>
      <c r="B10" t="s">
        <v>325</v>
      </c>
      <c r="C10" s="7">
        <v>280000000</v>
      </c>
      <c r="D10" s="7">
        <v>95000000</v>
      </c>
      <c r="E10" s="14">
        <f>(D10/C10)*365</f>
        <v>123.83928571428572</v>
      </c>
      <c r="F10">
        <v>45</v>
      </c>
      <c r="G10" s="14">
        <f>E10-F10</f>
        <v>78.839285714285722</v>
      </c>
      <c r="H10" s="9">
        <f>D10/C10</f>
        <v>0.3392857142857143</v>
      </c>
      <c r="I10" t="str">
        <f>IF(E10&gt;120,"CRÍTICO - Posible incobrabilidad",IF(E10&gt;90,"ALTO - Gestión cobro urgente",IF(E10&gt;60,"MEDIO - Seguimiento","NORMAL")))</f>
        <v>CRÍTICO - Posible incobrabilidad</v>
      </c>
      <c r="J10" t="str">
        <f>IF(I10="CRÍTICO*","CRÍTICO",IF(I10="ALTO*","ALTO","BAJO"))</f>
        <v>BAJO</v>
      </c>
    </row>
    <row r="11" spans="1:10" x14ac:dyDescent="0.25">
      <c r="A11" t="s">
        <v>134</v>
      </c>
      <c r="B11" t="s">
        <v>326</v>
      </c>
      <c r="C11" s="7">
        <v>420000000</v>
      </c>
      <c r="D11" s="7">
        <v>38000000</v>
      </c>
      <c r="E11" s="14">
        <f>(D11/C11)*365</f>
        <v>33.023809523809526</v>
      </c>
      <c r="F11">
        <v>45</v>
      </c>
      <c r="G11" s="14">
        <f>E11-F11</f>
        <v>-11.976190476190474</v>
      </c>
      <c r="H11" s="9">
        <f>D11/C11</f>
        <v>9.0476190476190474E-2</v>
      </c>
      <c r="I11" t="str">
        <f>IF(E11&gt;120,"CRÍTICO - Posible incobrabilidad",IF(E11&gt;90,"ALTO - Gestión cobro urgente",IF(E11&gt;60,"MEDIO - Seguimiento","NORMAL")))</f>
        <v>NORMAL</v>
      </c>
      <c r="J11" t="str">
        <f>IF(I11="CRÍTICO*","CRÍTICO",IF(I11="ALTO*","ALTO","BAJO"))</f>
        <v>BAJO</v>
      </c>
    </row>
    <row r="14" spans="1:10" x14ac:dyDescent="0.25">
      <c r="A14" s="36" t="s">
        <v>327</v>
      </c>
      <c r="B14" s="23"/>
      <c r="C14" s="23"/>
      <c r="D14" s="23"/>
    </row>
    <row r="15" spans="1:10" x14ac:dyDescent="0.25">
      <c r="A15" t="s">
        <v>328</v>
      </c>
      <c r="B15">
        <f>COUNTA(A7:A11)</f>
        <v>5</v>
      </c>
    </row>
    <row r="16" spans="1:10" x14ac:dyDescent="0.25">
      <c r="A16" t="s">
        <v>329</v>
      </c>
      <c r="B16" s="15">
        <f>AVERAGE(E7:E11)</f>
        <v>63.011196633825946</v>
      </c>
    </row>
    <row r="17" spans="1:2" x14ac:dyDescent="0.25">
      <c r="A17" t="s">
        <v>330</v>
      </c>
      <c r="B17" s="19">
        <f>COUNTIF(J7:J11,"CRÍTICO")</f>
        <v>0</v>
      </c>
    </row>
    <row r="18" spans="1:2" x14ac:dyDescent="0.25">
      <c r="A18" t="s">
        <v>331</v>
      </c>
      <c r="B18" s="10">
        <f>SUMIF(E7:E11,"&gt;90",D7:D11)</f>
        <v>95000000</v>
      </c>
    </row>
  </sheetData>
  <mergeCells count="2">
    <mergeCell ref="A14:D14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31" t="s">
        <v>332</v>
      </c>
      <c r="B1" s="23"/>
      <c r="C1" s="23"/>
      <c r="D1" s="23"/>
      <c r="E1" s="23"/>
      <c r="F1" s="23"/>
      <c r="G1" s="23"/>
      <c r="H1" s="23"/>
    </row>
    <row r="2" spans="1:10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0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0" x14ac:dyDescent="0.25">
      <c r="A4" s="4" t="s">
        <v>71</v>
      </c>
      <c r="B4" t="s">
        <v>333</v>
      </c>
      <c r="E4" s="4" t="s">
        <v>73</v>
      </c>
      <c r="F4" s="5" t="s">
        <v>74</v>
      </c>
    </row>
    <row r="6" spans="1:10" ht="30" x14ac:dyDescent="0.25">
      <c r="A6" s="6" t="s">
        <v>106</v>
      </c>
      <c r="B6" s="6" t="s">
        <v>334</v>
      </c>
      <c r="C6" s="6" t="s">
        <v>335</v>
      </c>
      <c r="D6" s="6" t="s">
        <v>336</v>
      </c>
      <c r="E6" s="6" t="s">
        <v>337</v>
      </c>
      <c r="F6" s="6" t="s">
        <v>338</v>
      </c>
      <c r="G6" s="6" t="s">
        <v>339</v>
      </c>
      <c r="H6" s="6" t="s">
        <v>340</v>
      </c>
      <c r="I6" s="6" t="s">
        <v>83</v>
      </c>
      <c r="J6" s="6" t="s">
        <v>84</v>
      </c>
    </row>
    <row r="7" spans="1:10" x14ac:dyDescent="0.25">
      <c r="A7" t="s">
        <v>117</v>
      </c>
      <c r="B7" t="s">
        <v>341</v>
      </c>
      <c r="C7" s="7">
        <v>450000000</v>
      </c>
      <c r="D7" s="7">
        <v>315000000</v>
      </c>
      <c r="E7" s="7">
        <f>C7-D7</f>
        <v>135000000</v>
      </c>
      <c r="F7" s="9">
        <f>E7/C7</f>
        <v>0.3</v>
      </c>
      <c r="G7" s="9">
        <v>0.35</v>
      </c>
      <c r="H7" s="9">
        <f>F7-G7</f>
        <v>-4.9999999999999989E-2</v>
      </c>
      <c r="I7" t="str">
        <f>IF(F7&lt;0.1,"CRÍTICO - Revisar pricing/costos",IF(F7&lt;0.2,"BAJO - Analizar",IF(ABS(H7)&gt;0.15,"DESVIACIÓN SIGNIFICATIVA","NORMAL")))</f>
        <v>NORMAL</v>
      </c>
      <c r="J7" t="str">
        <f>IF(I7="CRÍTICO*","ALTO",IF(F7&lt;0.2,"MEDIO","BAJO"))</f>
        <v>BAJO</v>
      </c>
    </row>
    <row r="8" spans="1:10" x14ac:dyDescent="0.25">
      <c r="A8" t="s">
        <v>122</v>
      </c>
      <c r="B8" t="s">
        <v>342</v>
      </c>
      <c r="C8" s="7">
        <v>320000000</v>
      </c>
      <c r="D8" s="7">
        <v>200000000</v>
      </c>
      <c r="E8" s="7">
        <f>C8-D8</f>
        <v>120000000</v>
      </c>
      <c r="F8" s="9">
        <f>E8/C8</f>
        <v>0.375</v>
      </c>
      <c r="G8" s="9">
        <v>0.35</v>
      </c>
      <c r="H8" s="9">
        <f>F8-G8</f>
        <v>2.5000000000000022E-2</v>
      </c>
      <c r="I8" t="str">
        <f>IF(F8&lt;0.1,"CRÍTICO - Revisar pricing/costos",IF(F8&lt;0.2,"BAJO - Analizar",IF(ABS(H8)&gt;0.15,"DESVIACIÓN SIGNIFICATIVA","NORMAL")))</f>
        <v>NORMAL</v>
      </c>
      <c r="J8" t="str">
        <f>IF(I8="CRÍTICO*","ALTO",IF(F8&lt;0.2,"MEDIO","BAJO"))</f>
        <v>BAJO</v>
      </c>
    </row>
    <row r="9" spans="1:10" x14ac:dyDescent="0.25">
      <c r="A9" t="s">
        <v>126</v>
      </c>
      <c r="B9" t="s">
        <v>343</v>
      </c>
      <c r="C9" s="7">
        <v>580000000</v>
      </c>
      <c r="D9" s="7">
        <v>522000000</v>
      </c>
      <c r="E9" s="7">
        <f>C9-D9</f>
        <v>58000000</v>
      </c>
      <c r="F9" s="9">
        <f>E9/C9</f>
        <v>0.1</v>
      </c>
      <c r="G9" s="9">
        <v>0.35</v>
      </c>
      <c r="H9" s="9">
        <f>F9-G9</f>
        <v>-0.24999999999999997</v>
      </c>
      <c r="I9" t="str">
        <f>IF(F9&lt;0.1,"CRÍTICO - Revisar pricing/costos",IF(F9&lt;0.2,"BAJO - Analizar",IF(ABS(H9)&gt;0.15,"DESVIACIÓN SIGNIFICATIVA","NORMAL")))</f>
        <v>BAJO - Analizar</v>
      </c>
      <c r="J9" t="str">
        <f>IF(I9="CRÍTICO*","ALTO",IF(F9&lt;0.2,"MEDIO","BAJO"))</f>
        <v>MEDIO</v>
      </c>
    </row>
    <row r="10" spans="1:10" x14ac:dyDescent="0.25">
      <c r="A10" t="s">
        <v>130</v>
      </c>
      <c r="B10" t="s">
        <v>344</v>
      </c>
      <c r="C10" s="7">
        <v>280000000</v>
      </c>
      <c r="D10" s="7">
        <v>168000000</v>
      </c>
      <c r="E10" s="7">
        <f>C10-D10</f>
        <v>112000000</v>
      </c>
      <c r="F10" s="9">
        <f>E10/C10</f>
        <v>0.4</v>
      </c>
      <c r="G10" s="9">
        <v>0.35</v>
      </c>
      <c r="H10" s="9">
        <f>F10-G10</f>
        <v>5.0000000000000044E-2</v>
      </c>
      <c r="I10" t="str">
        <f>IF(F10&lt;0.1,"CRÍTICO - Revisar pricing/costos",IF(F10&lt;0.2,"BAJO - Analizar",IF(ABS(H10)&gt;0.15,"DESVIACIÓN SIGNIFICATIVA","NORMAL")))</f>
        <v>NORMAL</v>
      </c>
      <c r="J10" t="str">
        <f>IF(I10="CRÍTICO*","ALTO",IF(F10&lt;0.2,"MEDIO","BAJO"))</f>
        <v>BAJO</v>
      </c>
    </row>
    <row r="11" spans="1:10" x14ac:dyDescent="0.25">
      <c r="A11" t="s">
        <v>134</v>
      </c>
      <c r="B11" t="s">
        <v>345</v>
      </c>
      <c r="C11" s="7">
        <v>420000000</v>
      </c>
      <c r="D11" s="7">
        <v>252000000</v>
      </c>
      <c r="E11" s="7">
        <f>C11-D11</f>
        <v>168000000</v>
      </c>
      <c r="F11" s="9">
        <f>E11/C11</f>
        <v>0.4</v>
      </c>
      <c r="G11" s="9">
        <v>0.35</v>
      </c>
      <c r="H11" s="9">
        <f>F11-G11</f>
        <v>5.0000000000000044E-2</v>
      </c>
      <c r="I11" t="str">
        <f>IF(F11&lt;0.1,"CRÍTICO - Revisar pricing/costos",IF(F11&lt;0.2,"BAJO - Analizar",IF(ABS(H11)&gt;0.15,"DESVIACIÓN SIGNIFICATIVA","NORMAL")))</f>
        <v>NORMAL</v>
      </c>
      <c r="J11" t="str">
        <f>IF(I11="CRÍTICO*","ALTO",IF(F11&lt;0.2,"MEDIO","BAJO"))</f>
        <v>BAJO</v>
      </c>
    </row>
    <row r="14" spans="1:10" x14ac:dyDescent="0.25">
      <c r="A14" s="34" t="s">
        <v>346</v>
      </c>
      <c r="B14" s="23"/>
      <c r="C14" s="23"/>
      <c r="D14" s="23"/>
    </row>
    <row r="15" spans="1:10" x14ac:dyDescent="0.25">
      <c r="A15" t="s">
        <v>347</v>
      </c>
      <c r="B15" s="9">
        <f>AVERAGE(F7:F11)</f>
        <v>0.31500000000000006</v>
      </c>
    </row>
    <row r="16" spans="1:10" x14ac:dyDescent="0.25">
      <c r="A16" t="s">
        <v>348</v>
      </c>
      <c r="B16" s="19">
        <f>COUNTIF(F7:F11,"&lt;20%")</f>
        <v>1</v>
      </c>
    </row>
    <row r="17" spans="1:2" x14ac:dyDescent="0.25">
      <c r="A17" t="s">
        <v>349</v>
      </c>
      <c r="B17" s="20">
        <f>MIN(F7:F11)</f>
        <v>0.1</v>
      </c>
    </row>
  </sheetData>
  <mergeCells count="2">
    <mergeCell ref="A14:D14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31" t="s">
        <v>350</v>
      </c>
      <c r="B1" s="23"/>
      <c r="C1" s="23"/>
      <c r="D1" s="23"/>
      <c r="E1" s="23"/>
      <c r="F1" s="23"/>
      <c r="G1" s="23"/>
      <c r="H1" s="23"/>
    </row>
    <row r="2" spans="1:10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0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0" x14ac:dyDescent="0.25">
      <c r="A4" s="4" t="s">
        <v>71</v>
      </c>
      <c r="B4" t="s">
        <v>351</v>
      </c>
      <c r="E4" s="4" t="s">
        <v>73</v>
      </c>
      <c r="F4" s="5" t="s">
        <v>74</v>
      </c>
    </row>
    <row r="6" spans="1:10" ht="30" x14ac:dyDescent="0.25">
      <c r="A6" s="6" t="s">
        <v>106</v>
      </c>
      <c r="B6" s="6" t="s">
        <v>107</v>
      </c>
      <c r="C6" s="6" t="s">
        <v>222</v>
      </c>
      <c r="D6" s="6" t="s">
        <v>109</v>
      </c>
      <c r="E6" s="6" t="s">
        <v>110</v>
      </c>
      <c r="F6" s="6" t="s">
        <v>352</v>
      </c>
      <c r="G6" s="6" t="s">
        <v>353</v>
      </c>
      <c r="H6" s="6" t="s">
        <v>354</v>
      </c>
      <c r="I6" s="6" t="s">
        <v>83</v>
      </c>
      <c r="J6" s="6" t="s">
        <v>84</v>
      </c>
    </row>
    <row r="7" spans="1:10" x14ac:dyDescent="0.25">
      <c r="A7" t="s">
        <v>117</v>
      </c>
      <c r="B7" t="s">
        <v>190</v>
      </c>
      <c r="C7" s="12" t="s">
        <v>191</v>
      </c>
      <c r="D7" t="s">
        <v>120</v>
      </c>
      <c r="E7" s="7">
        <v>50000000</v>
      </c>
      <c r="F7">
        <f t="shared" ref="F7:F14" si="0">MOD(E7,10)</f>
        <v>0</v>
      </c>
      <c r="G7" t="str">
        <f t="shared" ref="G7:G14" si="1">IF(MOD(E7,100000000)=0,"100 MILLONES EXACTOS",IF(MOD(E7,10000000)=0,"10 MILLONES EXACTOS",IF(MOD(E7,1000000)=0,"MILLÓN EXACTO","NATURAL")))</f>
        <v>10 MILLONES EXACTOS</v>
      </c>
      <c r="H7" t="str">
        <f t="shared" ref="H7:H14" si="2">IF(G7="NATURAL","Alta - 90%",IF(G7="MILLÓN EXACTO","Media - 8%","Baja - 2%"))</f>
        <v>Baja - 2%</v>
      </c>
      <c r="I7" t="str">
        <f t="shared" ref="I7:I14" si="3">IF(G7="100 MILLONES EXACTOS","SOSPECHOSO - Revisar",IF(G7="10 MILLONES EXACTOS","REVISAR - Poco usual","NORMAL"))</f>
        <v>REVISAR - Poco usual</v>
      </c>
      <c r="J7" t="str">
        <f t="shared" ref="J7:J14" si="4">IF(I7="SOSPECHOSO*","ALTO","BAJO")</f>
        <v>BAJO</v>
      </c>
    </row>
    <row r="8" spans="1:10" x14ac:dyDescent="0.25">
      <c r="A8" t="s">
        <v>122</v>
      </c>
      <c r="B8" t="s">
        <v>196</v>
      </c>
      <c r="C8" s="12" t="s">
        <v>306</v>
      </c>
      <c r="D8" t="s">
        <v>124</v>
      </c>
      <c r="E8" s="7">
        <v>32457890</v>
      </c>
      <c r="F8">
        <f t="shared" si="0"/>
        <v>0</v>
      </c>
      <c r="G8" t="str">
        <f t="shared" si="1"/>
        <v>NATURAL</v>
      </c>
      <c r="H8" t="str">
        <f t="shared" si="2"/>
        <v>Alta - 90%</v>
      </c>
      <c r="I8" t="str">
        <f t="shared" si="3"/>
        <v>NORMAL</v>
      </c>
      <c r="J8" t="str">
        <f t="shared" si="4"/>
        <v>BAJO</v>
      </c>
    </row>
    <row r="9" spans="1:10" x14ac:dyDescent="0.25">
      <c r="A9" t="s">
        <v>126</v>
      </c>
      <c r="B9" t="s">
        <v>135</v>
      </c>
      <c r="C9" s="12" t="s">
        <v>197</v>
      </c>
      <c r="D9" t="s">
        <v>128</v>
      </c>
      <c r="E9" s="7">
        <v>100000000</v>
      </c>
      <c r="F9">
        <f t="shared" si="0"/>
        <v>0</v>
      </c>
      <c r="G9" t="str">
        <f t="shared" si="1"/>
        <v>100 MILLONES EXACTOS</v>
      </c>
      <c r="H9" t="str">
        <f t="shared" si="2"/>
        <v>Baja - 2%</v>
      </c>
      <c r="I9" t="str">
        <f t="shared" si="3"/>
        <v>SOSPECHOSO - Revisar</v>
      </c>
      <c r="J9" t="str">
        <f t="shared" si="4"/>
        <v>BAJO</v>
      </c>
    </row>
    <row r="10" spans="1:10" x14ac:dyDescent="0.25">
      <c r="A10" t="s">
        <v>130</v>
      </c>
      <c r="B10" t="s">
        <v>355</v>
      </c>
      <c r="C10" s="12" t="s">
        <v>356</v>
      </c>
      <c r="D10" t="s">
        <v>132</v>
      </c>
      <c r="E10" s="7">
        <v>45678123</v>
      </c>
      <c r="F10">
        <f t="shared" si="0"/>
        <v>3</v>
      </c>
      <c r="G10" t="str">
        <f t="shared" si="1"/>
        <v>NATURAL</v>
      </c>
      <c r="H10" t="str">
        <f t="shared" si="2"/>
        <v>Alta - 90%</v>
      </c>
      <c r="I10" t="str">
        <f t="shared" si="3"/>
        <v>NORMAL</v>
      </c>
      <c r="J10" t="str">
        <f t="shared" si="4"/>
        <v>BAJO</v>
      </c>
    </row>
    <row r="11" spans="1:10" x14ac:dyDescent="0.25">
      <c r="A11" t="s">
        <v>134</v>
      </c>
      <c r="B11" t="s">
        <v>357</v>
      </c>
      <c r="C11" s="12" t="s">
        <v>358</v>
      </c>
      <c r="D11" t="s">
        <v>136</v>
      </c>
      <c r="E11" s="7">
        <v>75000000</v>
      </c>
      <c r="F11">
        <f t="shared" si="0"/>
        <v>0</v>
      </c>
      <c r="G11" t="str">
        <f t="shared" si="1"/>
        <v>MILLÓN EXACTO</v>
      </c>
      <c r="H11" t="str">
        <f t="shared" si="2"/>
        <v>Media - 8%</v>
      </c>
      <c r="I11" t="str">
        <f t="shared" si="3"/>
        <v>NORMAL</v>
      </c>
      <c r="J11" t="str">
        <f t="shared" si="4"/>
        <v>BAJO</v>
      </c>
    </row>
    <row r="12" spans="1:10" x14ac:dyDescent="0.25">
      <c r="A12" t="s">
        <v>137</v>
      </c>
      <c r="B12" t="s">
        <v>359</v>
      </c>
      <c r="C12" s="12" t="s">
        <v>360</v>
      </c>
      <c r="D12" t="s">
        <v>139</v>
      </c>
      <c r="E12" s="7">
        <v>28934567</v>
      </c>
      <c r="F12">
        <f t="shared" si="0"/>
        <v>7</v>
      </c>
      <c r="G12" t="str">
        <f t="shared" si="1"/>
        <v>NATURAL</v>
      </c>
      <c r="H12" t="str">
        <f t="shared" si="2"/>
        <v>Alta - 90%</v>
      </c>
      <c r="I12" t="str">
        <f t="shared" si="3"/>
        <v>NORMAL</v>
      </c>
      <c r="J12" t="str">
        <f t="shared" si="4"/>
        <v>BAJO</v>
      </c>
    </row>
    <row r="13" spans="1:10" x14ac:dyDescent="0.25">
      <c r="A13" t="s">
        <v>140</v>
      </c>
      <c r="B13" t="s">
        <v>361</v>
      </c>
      <c r="C13" s="12" t="s">
        <v>362</v>
      </c>
      <c r="D13" t="s">
        <v>142</v>
      </c>
      <c r="E13" s="7">
        <v>150000000</v>
      </c>
      <c r="F13">
        <f t="shared" si="0"/>
        <v>0</v>
      </c>
      <c r="G13" t="str">
        <f t="shared" si="1"/>
        <v>10 MILLONES EXACTOS</v>
      </c>
      <c r="H13" t="str">
        <f t="shared" si="2"/>
        <v>Baja - 2%</v>
      </c>
      <c r="I13" t="str">
        <f t="shared" si="3"/>
        <v>REVISAR - Poco usual</v>
      </c>
      <c r="J13" t="str">
        <f t="shared" si="4"/>
        <v>BAJO</v>
      </c>
    </row>
    <row r="14" spans="1:10" x14ac:dyDescent="0.25">
      <c r="A14" t="s">
        <v>143</v>
      </c>
      <c r="B14" t="s">
        <v>363</v>
      </c>
      <c r="C14" s="12" t="s">
        <v>129</v>
      </c>
      <c r="D14" t="s">
        <v>145</v>
      </c>
      <c r="E14" s="7">
        <v>200000000</v>
      </c>
      <c r="F14">
        <f t="shared" si="0"/>
        <v>0</v>
      </c>
      <c r="G14" t="str">
        <f t="shared" si="1"/>
        <v>100 MILLONES EXACTOS</v>
      </c>
      <c r="H14" t="str">
        <f t="shared" si="2"/>
        <v>Baja - 2%</v>
      </c>
      <c r="I14" t="str">
        <f t="shared" si="3"/>
        <v>SOSPECHOSO - Revisar</v>
      </c>
      <c r="J14" t="str">
        <f t="shared" si="4"/>
        <v>BAJO</v>
      </c>
    </row>
    <row r="17" spans="1:10" x14ac:dyDescent="0.25">
      <c r="A17" s="33" t="s">
        <v>364</v>
      </c>
      <c r="B17" s="23"/>
      <c r="C17" s="23"/>
      <c r="D17" s="23"/>
    </row>
    <row r="18" spans="1:10" x14ac:dyDescent="0.25">
      <c r="A18" t="s">
        <v>365</v>
      </c>
      <c r="B18">
        <f>COUNTA(A7:A14)</f>
        <v>8</v>
      </c>
    </row>
    <row r="19" spans="1:10" x14ac:dyDescent="0.25">
      <c r="A19" t="s">
        <v>366</v>
      </c>
      <c r="B19" s="19">
        <f>COUNTIFS(G7:G14,"&lt;&gt;NATURAL")</f>
        <v>5</v>
      </c>
    </row>
    <row r="20" spans="1:10" x14ac:dyDescent="0.25">
      <c r="A20" t="s">
        <v>367</v>
      </c>
      <c r="B20" s="9">
        <f>B19/B18</f>
        <v>0.625</v>
      </c>
    </row>
    <row r="21" spans="1:10" x14ac:dyDescent="0.25">
      <c r="A21" t="s">
        <v>368</v>
      </c>
      <c r="B21" s="5">
        <f>COUNTIF(J7:J14,"ALTO")</f>
        <v>0</v>
      </c>
    </row>
    <row r="23" spans="1:10" x14ac:dyDescent="0.25">
      <c r="A23" s="24" t="s">
        <v>369</v>
      </c>
      <c r="B23" s="23"/>
      <c r="C23" s="23"/>
      <c r="D23" s="23"/>
      <c r="E23" s="23"/>
      <c r="F23" s="23"/>
      <c r="G23" s="23"/>
      <c r="H23" s="23"/>
      <c r="I23" s="23"/>
      <c r="J23" s="23"/>
    </row>
  </sheetData>
  <mergeCells count="3">
    <mergeCell ref="A17:D17"/>
    <mergeCell ref="A23:J2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/>
  </sheetViews>
  <sheetFormatPr baseColWidth="10" defaultColWidth="9.140625" defaultRowHeight="15" x14ac:dyDescent="0.25"/>
  <cols>
    <col min="1" max="12" width="18" customWidth="1"/>
  </cols>
  <sheetData>
    <row r="1" spans="1:12" ht="18" x14ac:dyDescent="0.25">
      <c r="A1" s="31" t="s">
        <v>370</v>
      </c>
      <c r="B1" s="23"/>
      <c r="C1" s="23"/>
      <c r="D1" s="23"/>
      <c r="E1" s="23"/>
      <c r="F1" s="23"/>
      <c r="G1" s="23"/>
      <c r="H1" s="23"/>
    </row>
    <row r="2" spans="1:12" x14ac:dyDescent="0.25">
      <c r="A2" s="4" t="s">
        <v>63</v>
      </c>
      <c r="B2" t="s">
        <v>64</v>
      </c>
      <c r="E2" s="4" t="s">
        <v>65</v>
      </c>
      <c r="F2" t="s">
        <v>66</v>
      </c>
    </row>
    <row r="3" spans="1:12" x14ac:dyDescent="0.25">
      <c r="A3" s="4" t="s">
        <v>67</v>
      </c>
      <c r="B3" t="s">
        <v>68</v>
      </c>
      <c r="E3" s="4" t="s">
        <v>69</v>
      </c>
      <c r="F3" t="s">
        <v>70</v>
      </c>
    </row>
    <row r="4" spans="1:12" x14ac:dyDescent="0.25">
      <c r="A4" s="4" t="s">
        <v>71</v>
      </c>
      <c r="B4" t="s">
        <v>371</v>
      </c>
      <c r="E4" s="4" t="s">
        <v>73</v>
      </c>
      <c r="F4" s="5" t="s">
        <v>74</v>
      </c>
    </row>
    <row r="6" spans="1:12" x14ac:dyDescent="0.25">
      <c r="A6" s="6" t="s">
        <v>106</v>
      </c>
      <c r="B6" s="6" t="s">
        <v>372</v>
      </c>
      <c r="C6" s="6" t="s">
        <v>222</v>
      </c>
      <c r="D6" s="6" t="s">
        <v>373</v>
      </c>
      <c r="E6" s="6" t="s">
        <v>374</v>
      </c>
      <c r="F6" s="6" t="s">
        <v>375</v>
      </c>
      <c r="G6" s="6" t="s">
        <v>376</v>
      </c>
      <c r="H6" s="6" t="s">
        <v>377</v>
      </c>
      <c r="I6" s="6" t="s">
        <v>378</v>
      </c>
      <c r="J6" s="6" t="s">
        <v>228</v>
      </c>
      <c r="K6" s="6" t="s">
        <v>83</v>
      </c>
      <c r="L6" s="6" t="s">
        <v>84</v>
      </c>
    </row>
    <row r="7" spans="1:12" x14ac:dyDescent="0.25">
      <c r="A7" t="s">
        <v>117</v>
      </c>
      <c r="B7" t="s">
        <v>379</v>
      </c>
      <c r="C7" s="12" t="s">
        <v>125</v>
      </c>
      <c r="D7" t="s">
        <v>380</v>
      </c>
      <c r="E7" t="s">
        <v>381</v>
      </c>
      <c r="F7" t="s">
        <v>382</v>
      </c>
      <c r="G7" s="7">
        <v>0</v>
      </c>
      <c r="H7" s="7">
        <v>85000000</v>
      </c>
      <c r="I7" t="s">
        <v>383</v>
      </c>
      <c r="J7" t="s">
        <v>384</v>
      </c>
      <c r="K7" t="str">
        <f>IF(J7="Sin aprobación","CRÍTICO - Sin autorización",IF(AND(C7&gt;DATE(2024,12,28),H7&gt;50000000),"ALTO - Ajuste material fin año",IF(C7&gt;DATE(2024,12,25),"MEDIO - Fin período","BAJO")))</f>
        <v>ALTO - Ajuste material fin año</v>
      </c>
      <c r="L7" t="str">
        <f>IF(K7="CRÍTICO*","CRÍTICO",IF(K7="ALTO*","ALTO","MEDIO"))</f>
        <v>MEDIO</v>
      </c>
    </row>
    <row r="8" spans="1:12" x14ac:dyDescent="0.25">
      <c r="A8" t="s">
        <v>122</v>
      </c>
      <c r="B8" t="s">
        <v>385</v>
      </c>
      <c r="C8" s="12" t="s">
        <v>129</v>
      </c>
      <c r="D8" t="s">
        <v>386</v>
      </c>
      <c r="E8" t="s">
        <v>381</v>
      </c>
      <c r="F8" t="s">
        <v>387</v>
      </c>
      <c r="G8" s="7">
        <v>0</v>
      </c>
      <c r="H8" s="7">
        <v>120000000</v>
      </c>
      <c r="I8" t="s">
        <v>383</v>
      </c>
      <c r="J8" t="s">
        <v>236</v>
      </c>
      <c r="K8" t="str">
        <f>IF(J8="Sin aprobación","CRÍTICO - Sin autorización",IF(AND(C8&gt;DATE(2024,12,28),H8&gt;50000000),"ALTO - Ajuste material fin año",IF(C8&gt;DATE(2024,12,25),"MEDIO - Fin período","BAJO")))</f>
        <v>CRÍTICO - Sin autorización</v>
      </c>
      <c r="L8" t="str">
        <f>IF(K8="CRÍTICO*","CRÍTICO",IF(K8="ALTO*","ALTO","MEDIO"))</f>
        <v>MEDIO</v>
      </c>
    </row>
    <row r="9" spans="1:12" x14ac:dyDescent="0.25">
      <c r="A9" t="s">
        <v>126</v>
      </c>
      <c r="B9" t="s">
        <v>388</v>
      </c>
      <c r="C9" s="12" t="s">
        <v>133</v>
      </c>
      <c r="D9" t="s">
        <v>389</v>
      </c>
      <c r="E9" t="s">
        <v>381</v>
      </c>
      <c r="F9" t="s">
        <v>390</v>
      </c>
      <c r="G9" s="7">
        <v>0</v>
      </c>
      <c r="H9" s="7">
        <v>95000000</v>
      </c>
      <c r="I9" t="s">
        <v>383</v>
      </c>
      <c r="J9" t="s">
        <v>391</v>
      </c>
      <c r="K9" t="str">
        <f>IF(J9="Sin aprobación","CRÍTICO - Sin autorización",IF(AND(C9&gt;DATE(2024,12,28),H9&gt;50000000),"ALTO - Ajuste material fin año",IF(C9&gt;DATE(2024,12,25),"MEDIO - Fin período","BAJO")))</f>
        <v>ALTO - Ajuste material fin año</v>
      </c>
      <c r="L9" t="str">
        <f>IF(K9="CRÍTICO*","CRÍTICO",IF(K9="ALTO*","ALTO","MEDIO"))</f>
        <v>MEDIO</v>
      </c>
    </row>
    <row r="10" spans="1:12" x14ac:dyDescent="0.25">
      <c r="A10" t="s">
        <v>130</v>
      </c>
      <c r="B10" t="s">
        <v>392</v>
      </c>
      <c r="C10" s="12" t="s">
        <v>133</v>
      </c>
      <c r="D10" t="s">
        <v>380</v>
      </c>
      <c r="E10" t="s">
        <v>381</v>
      </c>
      <c r="F10" t="s">
        <v>393</v>
      </c>
      <c r="G10" s="7">
        <v>0</v>
      </c>
      <c r="H10" s="7">
        <v>150000000</v>
      </c>
      <c r="I10" t="s">
        <v>383</v>
      </c>
      <c r="J10" t="s">
        <v>236</v>
      </c>
      <c r="K10" t="str">
        <f>IF(J10="Sin aprobación","CRÍTICO - Sin autorización",IF(AND(C10&gt;DATE(2024,12,28),H10&gt;50000000),"ALTO - Ajuste material fin año",IF(C10&gt;DATE(2024,12,25),"MEDIO - Fin período","BAJO")))</f>
        <v>CRÍTICO - Sin autorización</v>
      </c>
      <c r="L10" t="str">
        <f>IF(K10="CRÍTICO*","CRÍTICO",IF(K10="ALTO*","ALTO","MEDIO"))</f>
        <v>MEDIO</v>
      </c>
    </row>
    <row r="13" spans="1:12" x14ac:dyDescent="0.25">
      <c r="A13" s="30" t="s">
        <v>394</v>
      </c>
      <c r="B13" s="23"/>
      <c r="C13" s="23"/>
      <c r="D13" s="23"/>
      <c r="E13" s="23"/>
    </row>
    <row r="14" spans="1:12" x14ac:dyDescent="0.25">
      <c r="A14" t="s">
        <v>395</v>
      </c>
      <c r="B14" s="4">
        <f>COUNTA(A7:A10)</f>
        <v>4</v>
      </c>
    </row>
    <row r="15" spans="1:12" x14ac:dyDescent="0.25">
      <c r="A15" t="s">
        <v>396</v>
      </c>
      <c r="B15" s="5">
        <f>COUNTIF(J7:J10,"Sin aprobación")</f>
        <v>2</v>
      </c>
    </row>
    <row r="16" spans="1:12" x14ac:dyDescent="0.25">
      <c r="A16" t="s">
        <v>397</v>
      </c>
      <c r="B16" s="21">
        <f>SUM(H7:H10)</f>
        <v>450000000</v>
      </c>
    </row>
    <row r="17" spans="1:12" x14ac:dyDescent="0.25">
      <c r="A17" t="s">
        <v>398</v>
      </c>
      <c r="B17" s="19">
        <f>COUNTIF(C7:C10,"&gt;=12/29/2024")</f>
        <v>4</v>
      </c>
    </row>
    <row r="19" spans="1:12" x14ac:dyDescent="0.25">
      <c r="A19" s="32" t="s">
        <v>399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x14ac:dyDescent="0.25">
      <c r="A20" s="35" t="s">
        <v>400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</sheetData>
  <mergeCells count="4">
    <mergeCell ref="A20:L20"/>
    <mergeCell ref="A19:L19"/>
    <mergeCell ref="A13:E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ÍNDICE</vt:lpstr>
      <vt:lpstr>PT I.1 - Tendencias</vt:lpstr>
      <vt:lpstr>PT I.2 - Cut-Off Ventas</vt:lpstr>
      <vt:lpstr>PT I.3 - NC Post-Cierre</vt:lpstr>
      <vt:lpstr>PT I.4 - Términos Inusuales</vt:lpstr>
      <vt:lpstr>PT I.5 - Duplicados</vt:lpstr>
      <vt:lpstr>PT I.6 - Devoluciones</vt:lpstr>
      <vt:lpstr>PT I.7 - Depósitos</vt:lpstr>
      <vt:lpstr>PT I.8 - CxC Rotación</vt:lpstr>
      <vt:lpstr>PT I.9 - Margen Bruto</vt:lpstr>
      <vt:lpstr>PT I.10 - Montos Redondos</vt:lpstr>
      <vt:lpstr>PT I.11 - JE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2025-11-17T18:19:09Z</dcterms:created>
  <dcterms:modified xsi:type="dcterms:W3CDTF">2025-11-17T19:49:52Z</dcterms:modified>
</cp:coreProperties>
</file>