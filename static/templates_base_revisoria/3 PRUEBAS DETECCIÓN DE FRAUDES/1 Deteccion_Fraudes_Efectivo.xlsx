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"/>
    </mc:Choice>
  </mc:AlternateContent>
  <bookViews>
    <workbookView xWindow="0" yWindow="0" windowWidth="25200" windowHeight="11580"/>
  </bookViews>
  <sheets>
    <sheet name="INDICE" sheetId="1" r:id="rId1"/>
    <sheet name="PT_A1_Confirmaciones" sheetId="2" r:id="rId2"/>
    <sheet name="PT_A2_Arqueos" sheetId="3" r:id="rId3"/>
    <sheet name="PT_A3_Conciliaciones" sheetId="4" r:id="rId4"/>
    <sheet name="PT_A4_Cheques_Vencidos" sheetId="5" r:id="rId5"/>
    <sheet name="PT_A5_Firmas" sheetId="6" r:id="rId6"/>
    <sheet name="PT_A6_Transferencias" sheetId="7" r:id="rId7"/>
    <sheet name="PT_A7_Endosos" sheetId="8" r:id="rId8"/>
    <sheet name="PT_A8_Reversiones" sheetId="9" r:id="rId9"/>
    <sheet name="PT_A9_Restricciones" sheetId="10" r:id="rId10"/>
    <sheet name="PT_A10_Benford" sheetId="11" r:id="rId11"/>
    <sheet name="PT_A11_Duplicidades" sheetId="12" r:id="rId12"/>
    <sheet name="PT_A12_Lapping" sheetId="13" r:id="rId13"/>
  </sheets>
  <calcPr calcId="162913"/>
</workbook>
</file>

<file path=xl/calcChain.xml><?xml version="1.0" encoding="utf-8"?>
<calcChain xmlns="http://schemas.openxmlformats.org/spreadsheetml/2006/main">
  <c r="H4" i="13" l="1"/>
  <c r="I4" i="13" s="1"/>
  <c r="E4" i="12"/>
  <c r="F4" i="12" s="1"/>
  <c r="G4" i="12" s="1"/>
  <c r="D13" i="11"/>
  <c r="F13" i="11" s="1"/>
  <c r="D12" i="11"/>
  <c r="F12" i="11" s="1"/>
  <c r="F11" i="11"/>
  <c r="D11" i="11"/>
  <c r="F10" i="11"/>
  <c r="D10" i="11"/>
  <c r="D9" i="11"/>
  <c r="F9" i="11" s="1"/>
  <c r="D8" i="11"/>
  <c r="F8" i="11" s="1"/>
  <c r="F7" i="11"/>
  <c r="D7" i="11"/>
  <c r="F6" i="11"/>
  <c r="D6" i="11"/>
  <c r="D5" i="11"/>
  <c r="F5" i="11" s="1"/>
  <c r="D4" i="11"/>
  <c r="E10" i="11" s="1"/>
  <c r="G10" i="11" s="1"/>
  <c r="H10" i="11" s="1"/>
  <c r="F4" i="10"/>
  <c r="G4" i="9"/>
  <c r="H4" i="8"/>
  <c r="I4" i="8" s="1"/>
  <c r="H4" i="7"/>
  <c r="F4" i="6"/>
  <c r="G4" i="5"/>
  <c r="F4" i="4"/>
  <c r="H4" i="4" s="1"/>
  <c r="H4" i="3"/>
  <c r="J4" i="3" s="1"/>
  <c r="K4" i="3" s="1"/>
  <c r="H4" i="2"/>
  <c r="I4" i="2" s="1"/>
  <c r="G4" i="2"/>
  <c r="D25" i="1"/>
  <c r="C25" i="1"/>
  <c r="B25" i="1"/>
  <c r="E24" i="1"/>
  <c r="E23" i="1"/>
  <c r="E22" i="1"/>
  <c r="E21" i="1"/>
  <c r="E20" i="1"/>
  <c r="E19" i="1"/>
  <c r="E18" i="1"/>
  <c r="E17" i="1"/>
  <c r="E16" i="1"/>
  <c r="E25" i="1" s="1"/>
  <c r="E15" i="1"/>
  <c r="E14" i="1"/>
  <c r="E13" i="1"/>
  <c r="B9" i="1"/>
  <c r="G4" i="4" l="1"/>
  <c r="E7" i="11"/>
  <c r="G7" i="11" s="1"/>
  <c r="H7" i="11" s="1"/>
  <c r="E11" i="11"/>
  <c r="G11" i="11" s="1"/>
  <c r="H11" i="11" s="1"/>
  <c r="E4" i="11"/>
  <c r="G4" i="11" s="1"/>
  <c r="H4" i="11" s="1"/>
  <c r="E8" i="11"/>
  <c r="G8" i="11" s="1"/>
  <c r="H8" i="11" s="1"/>
  <c r="E12" i="11"/>
  <c r="G12" i="11" s="1"/>
  <c r="H12" i="11" s="1"/>
  <c r="F4" i="11"/>
  <c r="E5" i="11"/>
  <c r="G5" i="11" s="1"/>
  <c r="H5" i="11" s="1"/>
  <c r="E9" i="11"/>
  <c r="G9" i="11" s="1"/>
  <c r="H9" i="11" s="1"/>
  <c r="E13" i="11"/>
  <c r="G13" i="11" s="1"/>
  <c r="H13" i="11" s="1"/>
  <c r="E6" i="11"/>
  <c r="G6" i="11" s="1"/>
  <c r="H6" i="11" s="1"/>
</calcChain>
</file>

<file path=xl/sharedStrings.xml><?xml version="1.0" encoding="utf-8"?>
<sst xmlns="http://schemas.openxmlformats.org/spreadsheetml/2006/main" count="234" uniqueCount="159">
  <si>
    <t>DETECCIÓN DE FRAUDES EN EFECTIVO Y EQUIVALENTES</t>
  </si>
  <si>
    <t>Papeles de Trabajo - Auditoría según NIAs y Revisoría Fiscal Colombia</t>
  </si>
  <si>
    <t>INFORMACIÓN GENERAL</t>
  </si>
  <si>
    <t>Entidad Auditada:</t>
  </si>
  <si>
    <t>NIT:</t>
  </si>
  <si>
    <t>Período Auditado:</t>
  </si>
  <si>
    <t>Auditor/Revisor Fiscal:</t>
  </si>
  <si>
    <t>Fecha de Elaboración:</t>
  </si>
  <si>
    <t>RESUMEN EJECUTIVO DE HALLAZGOS</t>
  </si>
  <si>
    <t>ÁREA</t>
  </si>
  <si>
    <t>RIESGO ALTO</t>
  </si>
  <si>
    <t>RIESGO MEDIO</t>
  </si>
  <si>
    <t>RIESGO BAJO</t>
  </si>
  <si>
    <t>TOTAL HALLAZGOS</t>
  </si>
  <si>
    <t>Confirmaciones Bancarias</t>
  </si>
  <si>
    <t>Arqueos de Caja</t>
  </si>
  <si>
    <t>Conciliaciones Bancarias</t>
  </si>
  <si>
    <t>Cheques No Cobrados</t>
  </si>
  <si>
    <t>Verificación de Firmas</t>
  </si>
  <si>
    <t>Transferencias Electrónicas</t>
  </si>
  <si>
    <t>Endosos vs. Depósitos</t>
  </si>
  <si>
    <t>Reversiones Post-Cierre</t>
  </si>
  <si>
    <t>Restricciones Bancarias</t>
  </si>
  <si>
    <t>Análisis de Benford</t>
  </si>
  <si>
    <t>Duplicidad de Cheques</t>
  </si>
  <si>
    <t>Detección de Lapping</t>
  </si>
  <si>
    <t>TOTAL GENERAL</t>
  </si>
  <si>
    <t>NAVEGACIÓN A PAPELES DE TRABAJO</t>
  </si>
  <si>
    <t>PT</t>
  </si>
  <si>
    <t>DESCRIPCIÓN</t>
  </si>
  <si>
    <t>IR A PT</t>
  </si>
  <si>
    <t>A.1</t>
  </si>
  <si>
    <t>Confirmaciones Bancarias Directas (NIA 505)</t>
  </si>
  <si>
    <t>IR A PT →</t>
  </si>
  <si>
    <t>A.2</t>
  </si>
  <si>
    <t>Arqueos Sorpresivos Caja General y Menores</t>
  </si>
  <si>
    <t>A.3</t>
  </si>
  <si>
    <t>Conciliaciones Bancarias - Partidas Antiguas</t>
  </si>
  <si>
    <t>A.4</t>
  </si>
  <si>
    <t>Cheques No Cobrados &gt; 6 Meses</t>
  </si>
  <si>
    <t>A.5</t>
  </si>
  <si>
    <t>Verificación Firmas Autorizadas vs Reales</t>
  </si>
  <si>
    <t>A.6</t>
  </si>
  <si>
    <t>Transferencias Electrónicas Próximas al Cierre</t>
  </si>
  <si>
    <t>A.7</t>
  </si>
  <si>
    <t>Análisis Endosos de Cheques vs Depósitos</t>
  </si>
  <si>
    <t>A.8</t>
  </si>
  <si>
    <t>Reversiones de Operaciones Post-Cierre</t>
  </si>
  <si>
    <t>A.9</t>
  </si>
  <si>
    <t>Restricciones Bancarias No Reveladas</t>
  </si>
  <si>
    <t>A.10</t>
  </si>
  <si>
    <t>Análisis de Benford en Transacciones Efectivo</t>
  </si>
  <si>
    <t>A.11</t>
  </si>
  <si>
    <t>Duplicidad de Números de Cheques</t>
  </si>
  <si>
    <t>A.12</t>
  </si>
  <si>
    <t>Detección de Lapping en Cobros</t>
  </si>
  <si>
    <t>INSTRUCCIONES DE USO</t>
  </si>
  <si>
    <t>1. Complete los datos generales en la sección superior</t>
  </si>
  <si>
    <t>2. Haga clic en "IR A PT →" para navegar a cada papel de trabajo</t>
  </si>
  <si>
    <t>3. El resumen ejecutivo se actualiza automáticamente</t>
  </si>
  <si>
    <t>4. Colores: 🔴 ALTO 🟡 MEDIO 🟢 BAJO riesgo</t>
  </si>
  <si>
    <t>PT A.1 - CONFIRMACIONES BANCARIAS DIRECTAS (NIA 505)</t>
  </si>
  <si>
    <t>Nº</t>
  </si>
  <si>
    <t>Banco</t>
  </si>
  <si>
    <t>Núm. Cuenta</t>
  </si>
  <si>
    <t>Saldo Según Libros</t>
  </si>
  <si>
    <t>Saldo Según Banco</t>
  </si>
  <si>
    <t>Fecha Confirmación</t>
  </si>
  <si>
    <t>Diferencia Valor</t>
  </si>
  <si>
    <t>Diferencia %</t>
  </si>
  <si>
    <t>NIVEL RIESGO</t>
  </si>
  <si>
    <t>OBSERVACIONES</t>
  </si>
  <si>
    <t>← Volver al ÍNDICE</t>
  </si>
  <si>
    <t>[Nombre del Banco]</t>
  </si>
  <si>
    <t>[Número de Cuenta]</t>
  </si>
  <si>
    <t>PT A.2 - ARQUEOS SORPRESIVOS DE CAJA GENERAL Y CAJAS MENORES</t>
  </si>
  <si>
    <t>Fecha Arqueo</t>
  </si>
  <si>
    <t>Caja/Fondo</t>
  </si>
  <si>
    <t>Billetes</t>
  </si>
  <si>
    <t>Monedas</t>
  </si>
  <si>
    <t>Cheques</t>
  </si>
  <si>
    <t>Otros</t>
  </si>
  <si>
    <t>Total Contado</t>
  </si>
  <si>
    <t>Diferencia</t>
  </si>
  <si>
    <t>[Nombre Caja]</t>
  </si>
  <si>
    <t>PT A.3 - CONCILIACIONES BANCARIAS - ANÁLISIS DE ANTIGÜEDAD</t>
  </si>
  <si>
    <t>Concepto Partida</t>
  </si>
  <si>
    <t>Fecha Partida</t>
  </si>
  <si>
    <t>Valor</t>
  </si>
  <si>
    <t>Días Antigüedad</t>
  </si>
  <si>
    <t>Clasificación</t>
  </si>
  <si>
    <t>[Descripción de la Partida]</t>
  </si>
  <si>
    <t>PT A.4 - CHEQUES NO COBRADOS &gt; 6 MESES</t>
  </si>
  <si>
    <t>Núm. Cheque</t>
  </si>
  <si>
    <t>Fecha Emisión</t>
  </si>
  <si>
    <t>Beneficiario</t>
  </si>
  <si>
    <t>Días Vencidos</t>
  </si>
  <si>
    <t>[Número]</t>
  </si>
  <si>
    <t>[Nombre Beneficiario]</t>
  </si>
  <si>
    <t>PT A.5 - VERIFICACIÓN DE FIRMAS AUTORIZADAS VS FIRMAS REALES</t>
  </si>
  <si>
    <t>Nombre Firmante</t>
  </si>
  <si>
    <t>Cargo</t>
  </si>
  <si>
    <t>Documento</t>
  </si>
  <si>
    <t>¿Firma Autorizada?</t>
  </si>
  <si>
    <t>[Nombre Completo]</t>
  </si>
  <si>
    <t>[Cargo]</t>
  </si>
  <si>
    <t>[Tipo y Número]</t>
  </si>
  <si>
    <t>Sí</t>
  </si>
  <si>
    <t>PT A.6 - TRANSFERENCIAS ELECTRÓNICAS PRÓXIMAS AL CIERRE</t>
  </si>
  <si>
    <t>Núm. Transferencia</t>
  </si>
  <si>
    <t>Fecha Transf.</t>
  </si>
  <si>
    <t>Hora</t>
  </si>
  <si>
    <t>Fecha Cierre</t>
  </si>
  <si>
    <t>Días Pre-Cierre</t>
  </si>
  <si>
    <t>12:00</t>
  </si>
  <si>
    <t>PT A.7 - ANÁLISIS DE ENDOSOS DE CHEQUES VS DEPÓSITOS</t>
  </si>
  <si>
    <t>Valor Cheque</t>
  </si>
  <si>
    <t>Fecha Endoso</t>
  </si>
  <si>
    <t>Fecha Depósito</t>
  </si>
  <si>
    <t>Valor Depositado</t>
  </si>
  <si>
    <t>Dif. Días</t>
  </si>
  <si>
    <t>Dif. Valor</t>
  </si>
  <si>
    <t>PT A.8 - REVERSIONES DE OPERACIONES POST-CIERRE</t>
  </si>
  <si>
    <t>Núm. Transacción</t>
  </si>
  <si>
    <t>Fecha Reversión</t>
  </si>
  <si>
    <t>Días Post-Cierre</t>
  </si>
  <si>
    <t>PT A.9 - RESTRICCIONES BANCARIAS NO REVELADAS</t>
  </si>
  <si>
    <t>Tipo Restricción</t>
  </si>
  <si>
    <t>¿Revelada?</t>
  </si>
  <si>
    <t>Fecha Verificación</t>
  </si>
  <si>
    <t>[Tipo de Restricción]</t>
  </si>
  <si>
    <t>PT A.10 - ANÁLISIS DE BENFORD EN TRANSACCIONES DE EFECTIVO</t>
  </si>
  <si>
    <t>Transacción</t>
  </si>
  <si>
    <t>Primer Dígito</t>
  </si>
  <si>
    <t>Frec. Observada %</t>
  </si>
  <si>
    <t>Frec. Benford %</t>
  </si>
  <si>
    <t>Desviación %</t>
  </si>
  <si>
    <t>[Transacción 1]</t>
  </si>
  <si>
    <t>[Transacción 2]</t>
  </si>
  <si>
    <t>[Transacción 3]</t>
  </si>
  <si>
    <t>[Transacción 4]</t>
  </si>
  <si>
    <t>[Transacción 5]</t>
  </si>
  <si>
    <t>[Transacción 6]</t>
  </si>
  <si>
    <t>[Transacción 7]</t>
  </si>
  <si>
    <t>[Transacción 8]</t>
  </si>
  <si>
    <t>[Transacción 9]</t>
  </si>
  <si>
    <t>[Transacción 10]</t>
  </si>
  <si>
    <t>PT A.11 - DUPLICIDAD DE NÚMEROS DE CHEQUES</t>
  </si>
  <si>
    <t>Fecha</t>
  </si>
  <si>
    <t>Veces Repetido</t>
  </si>
  <si>
    <t>Estado</t>
  </si>
  <si>
    <t>PT A.12 - DETECCIÓN DE LAPPING EN COBROS</t>
  </si>
  <si>
    <t>Cliente</t>
  </si>
  <si>
    <t>Núm. Factura</t>
  </si>
  <si>
    <t>Fecha Pago</t>
  </si>
  <si>
    <t>Fecha Aplicación</t>
  </si>
  <si>
    <t>Días Diferencia</t>
  </si>
  <si>
    <t>Evaluación</t>
  </si>
  <si>
    <t>[Nombre Cliente]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</si>
</sst>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name val="Arial"/>
    </font>
    <font>
      <b/>
      <sz val="12"/>
      <name val="Arial"/>
    </font>
    <font>
      <b/>
      <sz val="11"/>
      <color rgb="FFFFFFFF"/>
      <name val="Arial"/>
    </font>
    <font>
      <b/>
      <sz val="11"/>
      <name val="Calibri"/>
    </font>
    <font>
      <u/>
      <sz val="11"/>
      <color rgb="FF0000FF"/>
      <name val="Calibri"/>
    </font>
    <font>
      <b/>
      <sz val="14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165" fontId="0" fillId="0" borderId="0" xfId="0" applyNumberFormat="1"/>
    <xf numFmtId="10" fontId="0" fillId="0" borderId="0" xfId="0" applyNumberFormat="1"/>
    <xf numFmtId="0" fontId="0" fillId="4" borderId="0" xfId="0" applyFill="1"/>
    <xf numFmtId="20" fontId="0" fillId="0" borderId="0" xfId="0" applyNumberFormat="1"/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4" width="15" customWidth="1"/>
    <col min="5" max="5" width="18" customWidth="1"/>
  </cols>
  <sheetData>
    <row r="1" spans="1:8" ht="30" customHeight="1" x14ac:dyDescent="0.25">
      <c r="A1" s="14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3" t="s">
        <v>1</v>
      </c>
      <c r="B2" s="12"/>
      <c r="C2" s="12"/>
      <c r="D2" s="12"/>
      <c r="E2" s="12"/>
      <c r="F2" s="12"/>
      <c r="G2" s="12"/>
      <c r="H2" s="12"/>
    </row>
    <row r="4" spans="1:8" ht="15.75" x14ac:dyDescent="0.25">
      <c r="A4" s="1" t="s">
        <v>2</v>
      </c>
    </row>
    <row r="5" spans="1:8" x14ac:dyDescent="0.25">
      <c r="A5" t="s">
        <v>3</v>
      </c>
      <c r="B5" s="2"/>
    </row>
    <row r="6" spans="1:8" x14ac:dyDescent="0.25">
      <c r="A6" t="s">
        <v>4</v>
      </c>
      <c r="B6" s="2"/>
    </row>
    <row r="7" spans="1:8" x14ac:dyDescent="0.25">
      <c r="A7" t="s">
        <v>5</v>
      </c>
      <c r="B7" s="2"/>
    </row>
    <row r="8" spans="1:8" x14ac:dyDescent="0.25">
      <c r="A8" t="s">
        <v>6</v>
      </c>
      <c r="B8" s="2"/>
    </row>
    <row r="9" spans="1:8" x14ac:dyDescent="0.25">
      <c r="A9" t="s">
        <v>7</v>
      </c>
      <c r="B9" s="3">
        <f ca="1">TODAY()</f>
        <v>45978</v>
      </c>
    </row>
    <row r="11" spans="1:8" ht="15.75" x14ac:dyDescent="0.25">
      <c r="A11" s="11" t="s">
        <v>8</v>
      </c>
      <c r="B11" s="12"/>
      <c r="C11" s="12"/>
      <c r="D11" s="12"/>
      <c r="E11" s="12"/>
      <c r="F11" s="12"/>
      <c r="G11" s="12"/>
      <c r="H11" s="12"/>
    </row>
    <row r="12" spans="1:8" ht="30" x14ac:dyDescent="0.25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</row>
    <row r="13" spans="1:8" x14ac:dyDescent="0.25">
      <c r="A13" t="s">
        <v>14</v>
      </c>
      <c r="B13">
        <v>0</v>
      </c>
      <c r="C13">
        <v>0</v>
      </c>
      <c r="D13">
        <v>0</v>
      </c>
      <c r="E13">
        <f t="shared" ref="E13:E24" si="0">SUM(B13:D13)</f>
        <v>0</v>
      </c>
    </row>
    <row r="14" spans="1:8" x14ac:dyDescent="0.25">
      <c r="A14" t="s">
        <v>15</v>
      </c>
      <c r="B14">
        <v>0</v>
      </c>
      <c r="C14">
        <v>0</v>
      </c>
      <c r="D14">
        <v>0</v>
      </c>
      <c r="E14">
        <f t="shared" si="0"/>
        <v>0</v>
      </c>
    </row>
    <row r="15" spans="1:8" x14ac:dyDescent="0.25">
      <c r="A15" t="s">
        <v>16</v>
      </c>
      <c r="B15">
        <v>0</v>
      </c>
      <c r="C15">
        <v>0</v>
      </c>
      <c r="D15">
        <v>0</v>
      </c>
      <c r="E15">
        <f t="shared" si="0"/>
        <v>0</v>
      </c>
    </row>
    <row r="16" spans="1:8" x14ac:dyDescent="0.25">
      <c r="A16" t="s">
        <v>17</v>
      </c>
      <c r="B16">
        <v>0</v>
      </c>
      <c r="C16">
        <v>0</v>
      </c>
      <c r="D16">
        <v>0</v>
      </c>
      <c r="E16">
        <f t="shared" si="0"/>
        <v>0</v>
      </c>
    </row>
    <row r="17" spans="1:8" x14ac:dyDescent="0.25">
      <c r="A17" t="s">
        <v>18</v>
      </c>
      <c r="B17">
        <v>0</v>
      </c>
      <c r="C17">
        <v>0</v>
      </c>
      <c r="D17">
        <v>0</v>
      </c>
      <c r="E17">
        <f t="shared" si="0"/>
        <v>0</v>
      </c>
    </row>
    <row r="18" spans="1:8" x14ac:dyDescent="0.25">
      <c r="A18" t="s">
        <v>19</v>
      </c>
      <c r="B18">
        <v>0</v>
      </c>
      <c r="C18">
        <v>0</v>
      </c>
      <c r="D18">
        <v>0</v>
      </c>
      <c r="E18">
        <f t="shared" si="0"/>
        <v>0</v>
      </c>
    </row>
    <row r="19" spans="1:8" x14ac:dyDescent="0.25">
      <c r="A19" t="s">
        <v>20</v>
      </c>
      <c r="B19">
        <v>0</v>
      </c>
      <c r="C19">
        <v>0</v>
      </c>
      <c r="D19">
        <v>0</v>
      </c>
      <c r="E19">
        <f t="shared" si="0"/>
        <v>0</v>
      </c>
    </row>
    <row r="20" spans="1:8" x14ac:dyDescent="0.25">
      <c r="A20" t="s">
        <v>21</v>
      </c>
      <c r="B20">
        <v>0</v>
      </c>
      <c r="C20">
        <v>0</v>
      </c>
      <c r="D20">
        <v>0</v>
      </c>
      <c r="E20">
        <f t="shared" si="0"/>
        <v>0</v>
      </c>
    </row>
    <row r="21" spans="1:8" x14ac:dyDescent="0.25">
      <c r="A21" t="s">
        <v>22</v>
      </c>
      <c r="B21">
        <v>0</v>
      </c>
      <c r="C21">
        <v>0</v>
      </c>
      <c r="D21">
        <v>0</v>
      </c>
      <c r="E21">
        <f t="shared" si="0"/>
        <v>0</v>
      </c>
    </row>
    <row r="22" spans="1:8" x14ac:dyDescent="0.25">
      <c r="A22" t="s">
        <v>23</v>
      </c>
      <c r="B22">
        <v>0</v>
      </c>
      <c r="C22">
        <v>0</v>
      </c>
      <c r="D22">
        <v>0</v>
      </c>
      <c r="E22">
        <f t="shared" si="0"/>
        <v>0</v>
      </c>
    </row>
    <row r="23" spans="1:8" x14ac:dyDescent="0.25">
      <c r="A23" t="s">
        <v>24</v>
      </c>
      <c r="B23">
        <v>0</v>
      </c>
      <c r="C23">
        <v>0</v>
      </c>
      <c r="D23">
        <v>0</v>
      </c>
      <c r="E23">
        <f t="shared" si="0"/>
        <v>0</v>
      </c>
    </row>
    <row r="24" spans="1:8" x14ac:dyDescent="0.25">
      <c r="A24" t="s">
        <v>25</v>
      </c>
      <c r="B24">
        <v>0</v>
      </c>
      <c r="C24">
        <v>0</v>
      </c>
      <c r="D24">
        <v>0</v>
      </c>
      <c r="E24">
        <f t="shared" si="0"/>
        <v>0</v>
      </c>
    </row>
    <row r="25" spans="1:8" x14ac:dyDescent="0.25">
      <c r="A25" s="5" t="s">
        <v>26</v>
      </c>
      <c r="B25" s="5">
        <f>SUM(B13:B24)</f>
        <v>0</v>
      </c>
      <c r="C25" s="5">
        <f>SUM(C13:C24)</f>
        <v>0</v>
      </c>
      <c r="D25" s="5">
        <f>SUM(D13:D24)</f>
        <v>0</v>
      </c>
      <c r="E25" s="5">
        <f>SUM(E13:E24)</f>
        <v>0</v>
      </c>
    </row>
    <row r="27" spans="1:8" ht="15.75" x14ac:dyDescent="0.25">
      <c r="A27" s="11" t="s">
        <v>27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4" t="s">
        <v>28</v>
      </c>
      <c r="B28" s="4" t="s">
        <v>29</v>
      </c>
      <c r="C28" s="4" t="s">
        <v>30</v>
      </c>
    </row>
    <row r="29" spans="1:8" x14ac:dyDescent="0.25">
      <c r="A29" t="s">
        <v>31</v>
      </c>
      <c r="B29" t="s">
        <v>32</v>
      </c>
      <c r="C29" s="6" t="s">
        <v>33</v>
      </c>
    </row>
    <row r="30" spans="1:8" x14ac:dyDescent="0.25">
      <c r="A30" t="s">
        <v>34</v>
      </c>
      <c r="B30" t="s">
        <v>35</v>
      </c>
      <c r="C30" s="6" t="s">
        <v>33</v>
      </c>
    </row>
    <row r="31" spans="1:8" x14ac:dyDescent="0.25">
      <c r="A31" t="s">
        <v>36</v>
      </c>
      <c r="B31" t="s">
        <v>37</v>
      </c>
      <c r="C31" s="6" t="s">
        <v>33</v>
      </c>
    </row>
    <row r="32" spans="1:8" x14ac:dyDescent="0.25">
      <c r="A32" t="s">
        <v>38</v>
      </c>
      <c r="B32" t="s">
        <v>39</v>
      </c>
      <c r="C32" s="6" t="s">
        <v>33</v>
      </c>
    </row>
    <row r="33" spans="1:3" x14ac:dyDescent="0.25">
      <c r="A33" t="s">
        <v>40</v>
      </c>
      <c r="B33" t="s">
        <v>41</v>
      </c>
      <c r="C33" s="6" t="s">
        <v>33</v>
      </c>
    </row>
    <row r="34" spans="1:3" x14ac:dyDescent="0.25">
      <c r="A34" t="s">
        <v>42</v>
      </c>
      <c r="B34" t="s">
        <v>43</v>
      </c>
      <c r="C34" s="6" t="s">
        <v>33</v>
      </c>
    </row>
    <row r="35" spans="1:3" x14ac:dyDescent="0.25">
      <c r="A35" t="s">
        <v>44</v>
      </c>
      <c r="B35" t="s">
        <v>45</v>
      </c>
      <c r="C35" s="6" t="s">
        <v>33</v>
      </c>
    </row>
    <row r="36" spans="1:3" x14ac:dyDescent="0.25">
      <c r="A36" t="s">
        <v>46</v>
      </c>
      <c r="B36" t="s">
        <v>47</v>
      </c>
      <c r="C36" s="6" t="s">
        <v>33</v>
      </c>
    </row>
    <row r="37" spans="1:3" x14ac:dyDescent="0.25">
      <c r="A37" t="s">
        <v>48</v>
      </c>
      <c r="B37" t="s">
        <v>49</v>
      </c>
      <c r="C37" s="6" t="s">
        <v>33</v>
      </c>
    </row>
    <row r="38" spans="1:3" x14ac:dyDescent="0.25">
      <c r="A38" t="s">
        <v>50</v>
      </c>
      <c r="B38" t="s">
        <v>51</v>
      </c>
      <c r="C38" s="6" t="s">
        <v>33</v>
      </c>
    </row>
    <row r="39" spans="1:3" x14ac:dyDescent="0.25">
      <c r="A39" t="s">
        <v>52</v>
      </c>
      <c r="B39" t="s">
        <v>53</v>
      </c>
      <c r="C39" s="6" t="s">
        <v>33</v>
      </c>
    </row>
    <row r="40" spans="1:3" x14ac:dyDescent="0.25">
      <c r="A40" t="s">
        <v>54</v>
      </c>
      <c r="B40" t="s">
        <v>55</v>
      </c>
      <c r="C40" s="6" t="s">
        <v>33</v>
      </c>
    </row>
    <row r="42" spans="1:3" ht="15.75" x14ac:dyDescent="0.25">
      <c r="A42" s="1" t="s">
        <v>56</v>
      </c>
    </row>
    <row r="43" spans="1:3" x14ac:dyDescent="0.25">
      <c r="A43" t="s">
        <v>57</v>
      </c>
    </row>
    <row r="44" spans="1:3" x14ac:dyDescent="0.25">
      <c r="A44" t="s">
        <v>58</v>
      </c>
    </row>
    <row r="45" spans="1:3" x14ac:dyDescent="0.25">
      <c r="A45" t="s">
        <v>59</v>
      </c>
    </row>
    <row r="46" spans="1:3" x14ac:dyDescent="0.25">
      <c r="A46" t="s">
        <v>60</v>
      </c>
    </row>
  </sheetData>
  <mergeCells count="4">
    <mergeCell ref="A11:H11"/>
    <mergeCell ref="A27:H27"/>
    <mergeCell ref="A2:H2"/>
    <mergeCell ref="A1:H1"/>
  </mergeCells>
  <hyperlinks>
    <hyperlink ref="C29" location="PT_A1_Confirmaciones!A1" display="IR A PT →"/>
    <hyperlink ref="C30" location="PT_A2_Arqueos!A1" display="IR A PT →"/>
    <hyperlink ref="C31" location="PT_A3_Conciliaciones!A1" display="IR A PT →"/>
    <hyperlink ref="C32" location="PT_A4_Cheques_Vencidos!A1" display="IR A PT →"/>
    <hyperlink ref="C33" location="PT_A5_Firmas!A1" display="IR A PT →"/>
    <hyperlink ref="C34" location="PT_A6_Transferencias!A1" display="IR A PT →"/>
    <hyperlink ref="C35" location="PT_A7_Endosos!A1" display="IR A PT →"/>
    <hyperlink ref="C36" location="PT_A8_Reversiones!A1" display="IR A PT →"/>
    <hyperlink ref="C37" location="PT_A9_Restricciones!A1" display="IR A PT →"/>
    <hyperlink ref="C38" location="PT_A10_Benford!A1" display="IR A PT →"/>
    <hyperlink ref="C39" location="PT_A11_Duplicidades!A1" display="IR A PT →"/>
    <hyperlink ref="C40" location="PT_A12_Lapping!A1" display="IR A PT →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8" customWidth="1"/>
    <col min="2" max="2" width="25" customWidth="1"/>
    <col min="3" max="3" width="20" customWidth="1"/>
    <col min="4" max="6" width="18" customWidth="1"/>
    <col min="7" max="7" width="15" customWidth="1"/>
    <col min="8" max="8" width="12" customWidth="1"/>
    <col min="9" max="9" width="15" customWidth="1"/>
    <col min="10" max="10" width="40" customWidth="1"/>
  </cols>
  <sheetData>
    <row r="1" spans="1:10" ht="24.95" customHeight="1" x14ac:dyDescent="0.25">
      <c r="A1" s="15" t="s">
        <v>61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2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</row>
    <row r="3" spans="1:10" x14ac:dyDescent="0.25">
      <c r="A3" s="6" t="s">
        <v>72</v>
      </c>
    </row>
    <row r="4" spans="1:10" x14ac:dyDescent="0.25">
      <c r="A4">
        <v>1</v>
      </c>
      <c r="B4" t="s">
        <v>73</v>
      </c>
      <c r="C4" t="s">
        <v>74</v>
      </c>
      <c r="D4" s="7">
        <v>0</v>
      </c>
      <c r="E4" s="7">
        <v>0</v>
      </c>
      <c r="F4" s="3">
        <v>45978.627720401717</v>
      </c>
      <c r="G4" s="7">
        <f>ABS(D4-E4)</f>
        <v>0</v>
      </c>
      <c r="H4" s="8">
        <f>IF(E4=0,0,ABS((D4-E4)/E4)*100)</f>
        <v>0</v>
      </c>
      <c r="I4" t="str">
        <f>IF(H4&gt;5,"ALTO",IF(H4&gt;2,"MEDIO",IF(H4&gt;0,"BAJO","")))</f>
        <v/>
      </c>
      <c r="J4" s="9"/>
    </row>
  </sheetData>
  <mergeCells count="1">
    <mergeCell ref="A1:J1"/>
  </mergeCells>
  <hyperlinks>
    <hyperlink ref="A3" location="INDICE!A1" display="← Volver al ÍNDIC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8" customWidth="1"/>
    <col min="2" max="2" width="15" customWidth="1"/>
    <col min="3" max="3" width="20" customWidth="1"/>
    <col min="4" max="8" width="15" customWidth="1"/>
    <col min="9" max="9" width="18" customWidth="1"/>
    <col min="10" max="11" width="15" customWidth="1"/>
    <col min="12" max="12" width="40" customWidth="1"/>
  </cols>
  <sheetData>
    <row r="1" spans="1:12" ht="24.95" customHeight="1" x14ac:dyDescent="0.25">
      <c r="A1" s="15" t="s">
        <v>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0" x14ac:dyDescent="0.25">
      <c r="A2" s="4" t="s">
        <v>62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H2" s="4" t="s">
        <v>82</v>
      </c>
      <c r="I2" s="4" t="s">
        <v>65</v>
      </c>
      <c r="J2" s="4" t="s">
        <v>83</v>
      </c>
      <c r="K2" s="4" t="s">
        <v>70</v>
      </c>
      <c r="L2" s="4" t="s">
        <v>71</v>
      </c>
    </row>
    <row r="3" spans="1:12" x14ac:dyDescent="0.25">
      <c r="A3" s="6" t="s">
        <v>72</v>
      </c>
    </row>
    <row r="4" spans="1:12" x14ac:dyDescent="0.25">
      <c r="A4">
        <v>1</v>
      </c>
      <c r="B4" s="3">
        <v>45978.627720412129</v>
      </c>
      <c r="C4" t="s">
        <v>84</v>
      </c>
      <c r="D4" s="7">
        <v>100</v>
      </c>
      <c r="E4" s="7">
        <v>0</v>
      </c>
      <c r="F4" s="7">
        <v>0</v>
      </c>
      <c r="G4" s="7">
        <v>0</v>
      </c>
      <c r="H4" s="7">
        <f>SUM(D4:G4)</f>
        <v>100</v>
      </c>
      <c r="I4" s="7">
        <v>0</v>
      </c>
      <c r="J4" s="7">
        <f>H4-I4</f>
        <v>100</v>
      </c>
      <c r="K4" t="str">
        <f>IF(ABS(J4)&gt;500000,"ALTO",IF(ABS(J4)&gt;100000,"MEDIO",IF(ABS(J4)&gt;0,"BAJO","")))</f>
        <v>BAJO</v>
      </c>
      <c r="L4" s="9"/>
    </row>
  </sheetData>
  <mergeCells count="1">
    <mergeCell ref="A1:L1"/>
  </mergeCells>
  <hyperlinks>
    <hyperlink ref="A3" location="INDICE!A1" display="← Volver al ÍNDICE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8" customWidth="1"/>
    <col min="2" max="2" width="25" customWidth="1"/>
    <col min="3" max="3" width="30" customWidth="1"/>
    <col min="4" max="4" width="15" customWidth="1"/>
    <col min="5" max="5" width="18" customWidth="1"/>
    <col min="6" max="6" width="15" customWidth="1"/>
    <col min="7" max="7" width="20" customWidth="1"/>
    <col min="8" max="8" width="15" customWidth="1"/>
    <col min="9" max="9" width="40" customWidth="1"/>
  </cols>
  <sheetData>
    <row r="1" spans="1:9" ht="24.95" customHeight="1" x14ac:dyDescent="0.25">
      <c r="A1" s="15" t="s">
        <v>85</v>
      </c>
      <c r="B1" s="12"/>
      <c r="C1" s="12"/>
      <c r="D1" s="12"/>
      <c r="E1" s="12"/>
      <c r="F1" s="12"/>
      <c r="G1" s="12"/>
      <c r="H1" s="12"/>
      <c r="I1" s="12"/>
    </row>
    <row r="2" spans="1:9" ht="30" x14ac:dyDescent="0.25">
      <c r="A2" s="4" t="s">
        <v>62</v>
      </c>
      <c r="B2" s="4" t="s">
        <v>63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70</v>
      </c>
      <c r="I2" s="4" t="s">
        <v>71</v>
      </c>
    </row>
    <row r="3" spans="1:9" x14ac:dyDescent="0.25">
      <c r="A3" s="6" t="s">
        <v>72</v>
      </c>
    </row>
    <row r="4" spans="1:9" x14ac:dyDescent="0.25">
      <c r="A4">
        <v>1</v>
      </c>
      <c r="B4" t="s">
        <v>73</v>
      </c>
      <c r="C4" t="s">
        <v>91</v>
      </c>
      <c r="D4" s="3">
        <v>45978.627720420889</v>
      </c>
      <c r="E4" s="7">
        <v>855555</v>
      </c>
      <c r="F4">
        <f ca="1">TODAY()-D4</f>
        <v>-0.62772042088909075</v>
      </c>
      <c r="G4" t="str">
        <f ca="1">IF(F4&gt;180,"Más de 6 meses",IF(F4&gt;90,"3-6 meses",IF(F4&gt;30,"1-3 meses","Menos de 1 mes")))</f>
        <v>Menos de 1 mes</v>
      </c>
      <c r="H4" t="str">
        <f ca="1">IF(F4&gt;180,"ALTO",IF(F4&gt;90,"MEDIO","BAJO"))</f>
        <v>BAJO</v>
      </c>
      <c r="I4" s="9"/>
    </row>
  </sheetData>
  <mergeCells count="1">
    <mergeCell ref="A1:I1"/>
  </mergeCells>
  <hyperlinks>
    <hyperlink ref="A3" location="INDICE!A1" display="← Volver al ÍNDICE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8" customWidth="1"/>
    <col min="2" max="3" width="15" customWidth="1"/>
    <col min="4" max="4" width="30" customWidth="1"/>
    <col min="5" max="5" width="18" customWidth="1"/>
    <col min="6" max="7" width="15" customWidth="1"/>
    <col min="8" max="8" width="40" customWidth="1"/>
  </cols>
  <sheetData>
    <row r="1" spans="1:8" ht="24.95" customHeight="1" x14ac:dyDescent="0.25">
      <c r="A1" s="15" t="s">
        <v>92</v>
      </c>
      <c r="B1" s="12"/>
      <c r="C1" s="12"/>
      <c r="D1" s="12"/>
      <c r="E1" s="12"/>
      <c r="F1" s="12"/>
      <c r="G1" s="12"/>
      <c r="H1" s="12"/>
    </row>
    <row r="2" spans="1:8" ht="30" x14ac:dyDescent="0.25">
      <c r="A2" s="4" t="s">
        <v>62</v>
      </c>
      <c r="B2" s="4" t="s">
        <v>93</v>
      </c>
      <c r="C2" s="4" t="s">
        <v>94</v>
      </c>
      <c r="D2" s="4" t="s">
        <v>95</v>
      </c>
      <c r="E2" s="4" t="s">
        <v>88</v>
      </c>
      <c r="F2" s="4" t="s">
        <v>96</v>
      </c>
      <c r="G2" s="4" t="s">
        <v>70</v>
      </c>
      <c r="H2" s="4" t="s">
        <v>71</v>
      </c>
    </row>
    <row r="3" spans="1:8" x14ac:dyDescent="0.25">
      <c r="A3" s="6" t="s">
        <v>72</v>
      </c>
    </row>
    <row r="4" spans="1:8" x14ac:dyDescent="0.25">
      <c r="A4">
        <v>1</v>
      </c>
      <c r="B4" t="s">
        <v>97</v>
      </c>
      <c r="C4" s="3">
        <v>45978.627720428682</v>
      </c>
      <c r="D4" t="s">
        <v>98</v>
      </c>
      <c r="E4" s="7">
        <v>0</v>
      </c>
      <c r="F4">
        <v>100</v>
      </c>
      <c r="G4" t="str">
        <f>IF(F4&gt;180,"ALTO",IF(F4&gt;90,"MEDIO","BAJO"))</f>
        <v>MEDIO</v>
      </c>
      <c r="H4" s="9"/>
    </row>
  </sheetData>
  <mergeCells count="1">
    <mergeCell ref="A1:H1"/>
  </mergeCells>
  <hyperlinks>
    <hyperlink ref="A3" location="INDICE!A1" display="← Volver al ÍNDICE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25" customWidth="1"/>
    <col min="4" max="4" width="20" customWidth="1"/>
    <col min="5" max="5" width="18" customWidth="1"/>
    <col min="6" max="6" width="15" customWidth="1"/>
    <col min="7" max="7" width="40" customWidth="1"/>
  </cols>
  <sheetData>
    <row r="1" spans="1:7" ht="24.95" customHeight="1" x14ac:dyDescent="0.25">
      <c r="A1" s="15" t="s">
        <v>99</v>
      </c>
      <c r="B1" s="12"/>
      <c r="C1" s="12"/>
      <c r="D1" s="12"/>
      <c r="E1" s="12"/>
      <c r="F1" s="12"/>
      <c r="G1" s="12"/>
    </row>
    <row r="2" spans="1:7" ht="30" x14ac:dyDescent="0.25">
      <c r="A2" s="4" t="s">
        <v>62</v>
      </c>
      <c r="B2" s="4" t="s">
        <v>100</v>
      </c>
      <c r="C2" s="4" t="s">
        <v>101</v>
      </c>
      <c r="D2" s="4" t="s">
        <v>102</v>
      </c>
      <c r="E2" s="4" t="s">
        <v>103</v>
      </c>
      <c r="F2" s="4" t="s">
        <v>70</v>
      </c>
      <c r="G2" s="4" t="s">
        <v>71</v>
      </c>
    </row>
    <row r="3" spans="1:7" x14ac:dyDescent="0.25">
      <c r="A3" s="6" t="s">
        <v>72</v>
      </c>
    </row>
    <row r="4" spans="1:7" x14ac:dyDescent="0.25">
      <c r="A4">
        <v>1</v>
      </c>
      <c r="B4" t="s">
        <v>104</v>
      </c>
      <c r="C4" t="s">
        <v>105</v>
      </c>
      <c r="D4" t="s">
        <v>106</v>
      </c>
      <c r="E4" t="s">
        <v>107</v>
      </c>
      <c r="F4" t="str">
        <f>IF(E4="Sí","BAJO","ALTO")</f>
        <v>BAJO</v>
      </c>
      <c r="G4" s="9"/>
    </row>
  </sheetData>
  <mergeCells count="1">
    <mergeCell ref="A1:G1"/>
  </mergeCells>
  <hyperlinks>
    <hyperlink ref="A3" location="INDICE!A1" display="← Volver al ÍNDICE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15" customWidth="1"/>
    <col min="4" max="4" width="12" customWidth="1"/>
    <col min="5" max="5" width="15" customWidth="1"/>
    <col min="6" max="6" width="18" customWidth="1"/>
    <col min="7" max="8" width="15" customWidth="1"/>
    <col min="9" max="9" width="40" customWidth="1"/>
  </cols>
  <sheetData>
    <row r="1" spans="1:9" ht="24.95" customHeight="1" x14ac:dyDescent="0.25">
      <c r="A1" s="15" t="s">
        <v>108</v>
      </c>
      <c r="B1" s="12"/>
      <c r="C1" s="12"/>
      <c r="D1" s="12"/>
      <c r="E1" s="12"/>
      <c r="F1" s="12"/>
      <c r="G1" s="12"/>
      <c r="H1" s="12"/>
      <c r="I1" s="12"/>
    </row>
    <row r="2" spans="1:9" ht="30" x14ac:dyDescent="0.25">
      <c r="A2" s="4" t="s">
        <v>62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88</v>
      </c>
      <c r="G2" s="4" t="s">
        <v>113</v>
      </c>
      <c r="H2" s="4" t="s">
        <v>70</v>
      </c>
      <c r="I2" s="4" t="s">
        <v>71</v>
      </c>
    </row>
    <row r="3" spans="1:9" x14ac:dyDescent="0.25">
      <c r="A3" s="6" t="s">
        <v>72</v>
      </c>
    </row>
    <row r="4" spans="1:9" x14ac:dyDescent="0.25">
      <c r="A4">
        <v>1</v>
      </c>
      <c r="B4" t="s">
        <v>97</v>
      </c>
      <c r="C4" s="3">
        <v>45978.627720443888</v>
      </c>
      <c r="D4" s="10" t="s">
        <v>114</v>
      </c>
      <c r="E4" s="3">
        <v>45978.627720444027</v>
      </c>
      <c r="F4" s="7">
        <v>500000</v>
      </c>
      <c r="G4">
        <v>50</v>
      </c>
      <c r="H4" t="str">
        <f>IF(G4&lt;=3,"MEDIO","BAJO")</f>
        <v>BAJO</v>
      </c>
      <c r="I4" s="9"/>
    </row>
  </sheetData>
  <mergeCells count="1">
    <mergeCell ref="A1:I1"/>
  </mergeCells>
  <hyperlinks>
    <hyperlink ref="A3" location="INDICE!A1" display="← Volver al ÍNDICE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15" sqref="I15"/>
    </sheetView>
  </sheetViews>
  <sheetFormatPr baseColWidth="10" defaultColWidth="9.140625" defaultRowHeight="15" x14ac:dyDescent="0.25"/>
  <cols>
    <col min="1" max="1" width="8" customWidth="1"/>
    <col min="2" max="2" width="15" customWidth="1"/>
    <col min="3" max="3" width="18" customWidth="1"/>
    <col min="4" max="5" width="15" customWidth="1"/>
    <col min="6" max="6" width="18" customWidth="1"/>
    <col min="7" max="7" width="12" customWidth="1"/>
    <col min="8" max="9" width="15" customWidth="1"/>
    <col min="10" max="10" width="40" customWidth="1"/>
  </cols>
  <sheetData>
    <row r="1" spans="1:10" ht="24.95" customHeight="1" x14ac:dyDescent="0.25">
      <c r="A1" s="15" t="s">
        <v>115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25">
      <c r="A2" s="4" t="s">
        <v>62</v>
      </c>
      <c r="B2" s="4" t="s">
        <v>93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70</v>
      </c>
      <c r="J2" s="4" t="s">
        <v>71</v>
      </c>
    </row>
    <row r="3" spans="1:10" x14ac:dyDescent="0.25">
      <c r="A3" s="6" t="s">
        <v>72</v>
      </c>
    </row>
    <row r="4" spans="1:10" x14ac:dyDescent="0.25">
      <c r="A4">
        <v>1</v>
      </c>
      <c r="B4" t="s">
        <v>97</v>
      </c>
      <c r="C4" s="7">
        <v>50000</v>
      </c>
      <c r="D4" s="3">
        <v>45978.62772045294</v>
      </c>
      <c r="E4" s="3">
        <v>45978.62772045302</v>
      </c>
      <c r="F4" s="7">
        <v>100</v>
      </c>
      <c r="G4">
        <v>21</v>
      </c>
      <c r="H4" s="7">
        <f>ABS(F4-C4)</f>
        <v>49900</v>
      </c>
      <c r="I4" t="str">
        <f>IF(OR(G4&gt;5,H4&gt;0),"ALTO",IF(G4&gt;2,"MEDIO","BAJO"))</f>
        <v>ALTO</v>
      </c>
      <c r="J4" s="9"/>
    </row>
  </sheetData>
  <mergeCells count="1">
    <mergeCell ref="A1:J1"/>
  </mergeCells>
  <hyperlinks>
    <hyperlink ref="A3" location="INDICE!A1" display="← Volver al ÍNDICE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15" customWidth="1"/>
    <col min="4" max="4" width="18" customWidth="1"/>
    <col min="5" max="7" width="15" customWidth="1"/>
    <col min="8" max="8" width="40" customWidth="1"/>
  </cols>
  <sheetData>
    <row r="1" spans="1:8" ht="24.95" customHeight="1" x14ac:dyDescent="0.25">
      <c r="A1" s="15" t="s">
        <v>122</v>
      </c>
      <c r="B1" s="12"/>
      <c r="C1" s="12"/>
      <c r="D1" s="12"/>
      <c r="E1" s="12"/>
      <c r="F1" s="12"/>
      <c r="G1" s="12"/>
      <c r="H1" s="12"/>
    </row>
    <row r="2" spans="1:8" ht="30" x14ac:dyDescent="0.25">
      <c r="A2" s="4" t="s">
        <v>62</v>
      </c>
      <c r="B2" s="4" t="s">
        <v>123</v>
      </c>
      <c r="C2" s="4" t="s">
        <v>124</v>
      </c>
      <c r="D2" s="4" t="s">
        <v>88</v>
      </c>
      <c r="E2" s="4" t="s">
        <v>112</v>
      </c>
      <c r="F2" s="4" t="s">
        <v>125</v>
      </c>
      <c r="G2" s="4" t="s">
        <v>70</v>
      </c>
      <c r="H2" s="4" t="s">
        <v>71</v>
      </c>
    </row>
    <row r="3" spans="1:8" x14ac:dyDescent="0.25">
      <c r="A3" s="6" t="s">
        <v>72</v>
      </c>
    </row>
    <row r="4" spans="1:8" x14ac:dyDescent="0.25">
      <c r="A4">
        <v>1</v>
      </c>
      <c r="B4" t="s">
        <v>97</v>
      </c>
      <c r="C4" s="3">
        <v>45978.627720460812</v>
      </c>
      <c r="D4" s="7">
        <v>100</v>
      </c>
      <c r="E4" s="3">
        <v>45978.627720460907</v>
      </c>
      <c r="F4">
        <v>41</v>
      </c>
      <c r="G4" t="str">
        <f>IF(F4&gt;0,"ALTO","BAJO")</f>
        <v>ALTO</v>
      </c>
      <c r="H4" s="9"/>
    </row>
  </sheetData>
  <mergeCells count="1">
    <mergeCell ref="A1:H1"/>
  </mergeCells>
  <hyperlinks>
    <hyperlink ref="A3" location="INDICE!A1" display="← Volver al ÍNDICE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4" sqref="E4"/>
    </sheetView>
  </sheetViews>
  <sheetFormatPr baseColWidth="10" defaultColWidth="9.140625" defaultRowHeight="15" x14ac:dyDescent="0.25"/>
  <cols>
    <col min="1" max="1" width="8" customWidth="1"/>
    <col min="2" max="2" width="25" customWidth="1"/>
    <col min="3" max="3" width="30" customWidth="1"/>
    <col min="4" max="4" width="15" customWidth="1"/>
    <col min="5" max="5" width="18" customWidth="1"/>
    <col min="6" max="6" width="15" customWidth="1"/>
    <col min="7" max="7" width="40" customWidth="1"/>
  </cols>
  <sheetData>
    <row r="1" spans="1:7" ht="24.95" customHeight="1" x14ac:dyDescent="0.25">
      <c r="A1" s="15" t="s">
        <v>126</v>
      </c>
      <c r="B1" s="12"/>
      <c r="C1" s="12"/>
      <c r="D1" s="12"/>
      <c r="E1" s="12"/>
      <c r="F1" s="12"/>
      <c r="G1" s="12"/>
    </row>
    <row r="2" spans="1:7" ht="30" x14ac:dyDescent="0.25">
      <c r="A2" s="4" t="s">
        <v>62</v>
      </c>
      <c r="B2" s="4" t="s">
        <v>63</v>
      </c>
      <c r="C2" s="4" t="s">
        <v>127</v>
      </c>
      <c r="D2" s="4" t="s">
        <v>128</v>
      </c>
      <c r="E2" s="4" t="s">
        <v>129</v>
      </c>
      <c r="F2" s="4" t="s">
        <v>70</v>
      </c>
      <c r="G2" s="4" t="s">
        <v>71</v>
      </c>
    </row>
    <row r="3" spans="1:7" x14ac:dyDescent="0.25">
      <c r="A3" s="6" t="s">
        <v>72</v>
      </c>
    </row>
    <row r="4" spans="1:7" x14ac:dyDescent="0.25">
      <c r="A4">
        <v>1</v>
      </c>
      <c r="B4" t="s">
        <v>73</v>
      </c>
      <c r="C4" t="s">
        <v>130</v>
      </c>
      <c r="D4" t="s">
        <v>107</v>
      </c>
      <c r="E4" s="3">
        <v>45978.627720467957</v>
      </c>
      <c r="F4" t="str">
        <f>IF(D4="Sí","BAJO","ALTO")</f>
        <v>BAJO</v>
      </c>
      <c r="G4" s="9"/>
    </row>
  </sheetData>
  <mergeCells count="1">
    <mergeCell ref="A1:G1"/>
  </mergeCells>
  <hyperlinks>
    <hyperlink ref="A3" location="INDICE!A1" display="← Volver al ÍNDICE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18" customWidth="1"/>
    <col min="4" max="4" width="12" customWidth="1"/>
    <col min="5" max="6" width="18" customWidth="1"/>
    <col min="7" max="8" width="15" customWidth="1"/>
    <col min="9" max="9" width="40" customWidth="1"/>
  </cols>
  <sheetData>
    <row r="1" spans="1:9" ht="24.95" customHeight="1" x14ac:dyDescent="0.25">
      <c r="A1" s="15" t="s">
        <v>131</v>
      </c>
      <c r="B1" s="12"/>
      <c r="C1" s="12"/>
      <c r="D1" s="12"/>
      <c r="E1" s="12"/>
      <c r="F1" s="12"/>
      <c r="G1" s="12"/>
      <c r="H1" s="12"/>
      <c r="I1" s="12"/>
    </row>
    <row r="2" spans="1:9" ht="30" x14ac:dyDescent="0.25">
      <c r="A2" s="4" t="s">
        <v>62</v>
      </c>
      <c r="B2" s="4" t="s">
        <v>132</v>
      </c>
      <c r="C2" s="4" t="s">
        <v>88</v>
      </c>
      <c r="D2" s="4" t="s">
        <v>133</v>
      </c>
      <c r="E2" s="4" t="s">
        <v>134</v>
      </c>
      <c r="F2" s="4" t="s">
        <v>135</v>
      </c>
      <c r="G2" s="4" t="s">
        <v>136</v>
      </c>
      <c r="H2" s="4" t="s">
        <v>70</v>
      </c>
      <c r="I2" s="4" t="s">
        <v>71</v>
      </c>
    </row>
    <row r="3" spans="1:9" x14ac:dyDescent="0.25">
      <c r="A3" s="6" t="s">
        <v>72</v>
      </c>
    </row>
    <row r="4" spans="1:9" x14ac:dyDescent="0.25">
      <c r="A4">
        <v>1</v>
      </c>
      <c r="B4" t="s">
        <v>137</v>
      </c>
      <c r="C4" s="7">
        <v>10000</v>
      </c>
      <c r="D4">
        <f t="shared" ref="D4:D13" si="0">VALUE(LEFT(SUBSTITUTE(TEXT(C4,"0"),".","")))</f>
        <v>1</v>
      </c>
      <c r="E4" s="8">
        <f t="shared" ref="E4:E13" si="1">COUNTIF($D$4:$D$1000,D4)/COUNTA($D$4:$D$1000)</f>
        <v>0.1</v>
      </c>
      <c r="F4" s="8">
        <f t="shared" ref="F4:F13" si="2">LOG10(1+1/D4)</f>
        <v>0.3010299956639812</v>
      </c>
      <c r="G4" s="8">
        <f t="shared" ref="G4:G13" si="3">ABS((E4-F4)/F4)*100</f>
        <v>66.780719051126383</v>
      </c>
      <c r="H4" t="str">
        <f t="shared" ref="H4:H13" si="4">IF(G4&gt;20,"ALTO",IF(G4&gt;10,"MEDIO","BAJO"))</f>
        <v>ALTO</v>
      </c>
      <c r="I4" s="9"/>
    </row>
    <row r="5" spans="1:9" x14ac:dyDescent="0.25">
      <c r="A5">
        <v>2</v>
      </c>
      <c r="B5" t="s">
        <v>138</v>
      </c>
      <c r="C5" s="7">
        <v>0</v>
      </c>
      <c r="D5">
        <f t="shared" si="0"/>
        <v>0</v>
      </c>
      <c r="E5" s="8">
        <f t="shared" si="1"/>
        <v>0.9</v>
      </c>
      <c r="F5" s="8" t="e">
        <f t="shared" si="2"/>
        <v>#DIV/0!</v>
      </c>
      <c r="G5" s="8" t="e">
        <f t="shared" si="3"/>
        <v>#DIV/0!</v>
      </c>
      <c r="H5" t="e">
        <f t="shared" si="4"/>
        <v>#DIV/0!</v>
      </c>
      <c r="I5" s="9"/>
    </row>
    <row r="6" spans="1:9" x14ac:dyDescent="0.25">
      <c r="A6">
        <v>3</v>
      </c>
      <c r="B6" t="s">
        <v>139</v>
      </c>
      <c r="C6" s="7">
        <v>0</v>
      </c>
      <c r="D6">
        <f t="shared" si="0"/>
        <v>0</v>
      </c>
      <c r="E6" s="8">
        <f t="shared" si="1"/>
        <v>0.9</v>
      </c>
      <c r="F6" s="8" t="e">
        <f t="shared" si="2"/>
        <v>#DIV/0!</v>
      </c>
      <c r="G6" s="8" t="e">
        <f t="shared" si="3"/>
        <v>#DIV/0!</v>
      </c>
      <c r="H6" t="e">
        <f t="shared" si="4"/>
        <v>#DIV/0!</v>
      </c>
      <c r="I6" s="9"/>
    </row>
    <row r="7" spans="1:9" x14ac:dyDescent="0.25">
      <c r="A7">
        <v>4</v>
      </c>
      <c r="B7" t="s">
        <v>140</v>
      </c>
      <c r="C7" s="7">
        <v>0</v>
      </c>
      <c r="D7">
        <f t="shared" si="0"/>
        <v>0</v>
      </c>
      <c r="E7" s="8">
        <f t="shared" si="1"/>
        <v>0.9</v>
      </c>
      <c r="F7" s="8" t="e">
        <f t="shared" si="2"/>
        <v>#DIV/0!</v>
      </c>
      <c r="G7" s="8" t="e">
        <f t="shared" si="3"/>
        <v>#DIV/0!</v>
      </c>
      <c r="H7" t="e">
        <f t="shared" si="4"/>
        <v>#DIV/0!</v>
      </c>
      <c r="I7" s="9"/>
    </row>
    <row r="8" spans="1:9" x14ac:dyDescent="0.25">
      <c r="A8">
        <v>5</v>
      </c>
      <c r="B8" t="s">
        <v>141</v>
      </c>
      <c r="C8" s="7">
        <v>0</v>
      </c>
      <c r="D8">
        <f t="shared" si="0"/>
        <v>0</v>
      </c>
      <c r="E8" s="8">
        <f t="shared" si="1"/>
        <v>0.9</v>
      </c>
      <c r="F8" s="8" t="e">
        <f t="shared" si="2"/>
        <v>#DIV/0!</v>
      </c>
      <c r="G8" s="8" t="e">
        <f t="shared" si="3"/>
        <v>#DIV/0!</v>
      </c>
      <c r="H8" t="e">
        <f t="shared" si="4"/>
        <v>#DIV/0!</v>
      </c>
      <c r="I8" s="9"/>
    </row>
    <row r="9" spans="1:9" x14ac:dyDescent="0.25">
      <c r="A9">
        <v>6</v>
      </c>
      <c r="B9" t="s">
        <v>142</v>
      </c>
      <c r="C9" s="7">
        <v>0</v>
      </c>
      <c r="D9">
        <f t="shared" si="0"/>
        <v>0</v>
      </c>
      <c r="E9" s="8">
        <f t="shared" si="1"/>
        <v>0.9</v>
      </c>
      <c r="F9" s="8" t="e">
        <f t="shared" si="2"/>
        <v>#DIV/0!</v>
      </c>
      <c r="G9" s="8" t="e">
        <f t="shared" si="3"/>
        <v>#DIV/0!</v>
      </c>
      <c r="H9" t="e">
        <f t="shared" si="4"/>
        <v>#DIV/0!</v>
      </c>
      <c r="I9" s="9"/>
    </row>
    <row r="10" spans="1:9" x14ac:dyDescent="0.25">
      <c r="A10">
        <v>7</v>
      </c>
      <c r="B10" t="s">
        <v>143</v>
      </c>
      <c r="C10" s="7">
        <v>0</v>
      </c>
      <c r="D10">
        <f t="shared" si="0"/>
        <v>0</v>
      </c>
      <c r="E10" s="8">
        <f t="shared" si="1"/>
        <v>0.9</v>
      </c>
      <c r="F10" s="8" t="e">
        <f t="shared" si="2"/>
        <v>#DIV/0!</v>
      </c>
      <c r="G10" s="8" t="e">
        <f t="shared" si="3"/>
        <v>#DIV/0!</v>
      </c>
      <c r="H10" t="e">
        <f t="shared" si="4"/>
        <v>#DIV/0!</v>
      </c>
      <c r="I10" s="9"/>
    </row>
    <row r="11" spans="1:9" x14ac:dyDescent="0.25">
      <c r="A11">
        <v>8</v>
      </c>
      <c r="B11" t="s">
        <v>144</v>
      </c>
      <c r="C11" s="7">
        <v>0</v>
      </c>
      <c r="D11">
        <f t="shared" si="0"/>
        <v>0</v>
      </c>
      <c r="E11" s="8">
        <f t="shared" si="1"/>
        <v>0.9</v>
      </c>
      <c r="F11" s="8" t="e">
        <f t="shared" si="2"/>
        <v>#DIV/0!</v>
      </c>
      <c r="G11" s="8" t="e">
        <f t="shared" si="3"/>
        <v>#DIV/0!</v>
      </c>
      <c r="H11" t="e">
        <f t="shared" si="4"/>
        <v>#DIV/0!</v>
      </c>
      <c r="I11" s="9"/>
    </row>
    <row r="12" spans="1:9" x14ac:dyDescent="0.25">
      <c r="A12">
        <v>9</v>
      </c>
      <c r="B12" t="s">
        <v>145</v>
      </c>
      <c r="C12" s="7">
        <v>0</v>
      </c>
      <c r="D12">
        <f t="shared" si="0"/>
        <v>0</v>
      </c>
      <c r="E12" s="8">
        <f t="shared" si="1"/>
        <v>0.9</v>
      </c>
      <c r="F12" s="8" t="e">
        <f t="shared" si="2"/>
        <v>#DIV/0!</v>
      </c>
      <c r="G12" s="8" t="e">
        <f t="shared" si="3"/>
        <v>#DIV/0!</v>
      </c>
      <c r="H12" t="e">
        <f t="shared" si="4"/>
        <v>#DIV/0!</v>
      </c>
      <c r="I12" s="9"/>
    </row>
    <row r="13" spans="1:9" x14ac:dyDescent="0.25">
      <c r="A13">
        <v>10</v>
      </c>
      <c r="B13" t="s">
        <v>146</v>
      </c>
      <c r="C13" s="7">
        <v>0</v>
      </c>
      <c r="D13">
        <f t="shared" si="0"/>
        <v>0</v>
      </c>
      <c r="E13" s="8">
        <f t="shared" si="1"/>
        <v>0.9</v>
      </c>
      <c r="F13" s="8" t="e">
        <f t="shared" si="2"/>
        <v>#DIV/0!</v>
      </c>
      <c r="G13" s="8" t="e">
        <f t="shared" si="3"/>
        <v>#DIV/0!</v>
      </c>
      <c r="H13" t="e">
        <f t="shared" si="4"/>
        <v>#DIV/0!</v>
      </c>
      <c r="I13" s="9"/>
    </row>
  </sheetData>
  <mergeCells count="1">
    <mergeCell ref="A1:I1"/>
  </mergeCells>
  <hyperlinks>
    <hyperlink ref="A3" location="INDICE!A1" display="← Volver al ÍNDICE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8" customWidth="1"/>
    <col min="2" max="3" width="15" customWidth="1"/>
    <col min="4" max="4" width="18" customWidth="1"/>
    <col min="5" max="7" width="15" customWidth="1"/>
    <col min="8" max="8" width="40" customWidth="1"/>
  </cols>
  <sheetData>
    <row r="1" spans="1:8" ht="24.95" customHeight="1" x14ac:dyDescent="0.25">
      <c r="A1" s="15" t="s">
        <v>147</v>
      </c>
      <c r="B1" s="12"/>
      <c r="C1" s="12"/>
      <c r="D1" s="12"/>
      <c r="E1" s="12"/>
      <c r="F1" s="12"/>
      <c r="G1" s="12"/>
      <c r="H1" s="12"/>
    </row>
    <row r="2" spans="1:8" ht="30" x14ac:dyDescent="0.25">
      <c r="A2" s="4" t="s">
        <v>62</v>
      </c>
      <c r="B2" s="4" t="s">
        <v>93</v>
      </c>
      <c r="C2" s="4" t="s">
        <v>148</v>
      </c>
      <c r="D2" s="4" t="s">
        <v>88</v>
      </c>
      <c r="E2" s="4" t="s">
        <v>149</v>
      </c>
      <c r="F2" s="4" t="s">
        <v>150</v>
      </c>
      <c r="G2" s="4" t="s">
        <v>70</v>
      </c>
      <c r="H2" s="4" t="s">
        <v>71</v>
      </c>
    </row>
    <row r="3" spans="1:8" x14ac:dyDescent="0.25">
      <c r="A3" s="6" t="s">
        <v>72</v>
      </c>
    </row>
    <row r="4" spans="1:8" x14ac:dyDescent="0.25">
      <c r="A4">
        <v>1</v>
      </c>
      <c r="B4" t="s">
        <v>97</v>
      </c>
      <c r="C4" s="3">
        <v>45978.627720493263</v>
      </c>
      <c r="D4" s="7">
        <v>8500000</v>
      </c>
      <c r="E4">
        <f>COUNTIF($B$4:$B$1000,B4)</f>
        <v>1</v>
      </c>
      <c r="F4" t="str">
        <f>IF(E4&gt;1,"DUPLICADO","ÚNICO")</f>
        <v>ÚNICO</v>
      </c>
      <c r="G4" t="str">
        <f>IF(F4="DUPLICADO","ALTO","BAJO")</f>
        <v>BAJO</v>
      </c>
      <c r="H4" s="9"/>
    </row>
  </sheetData>
  <mergeCells count="1">
    <mergeCell ref="A1:H1"/>
  </mergeCells>
  <hyperlinks>
    <hyperlink ref="A3" location="INDICE!A1" display="← Volver al ÍNDICE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5" width="15" customWidth="1"/>
    <col min="6" max="6" width="18" customWidth="1"/>
    <col min="7" max="7" width="15" customWidth="1"/>
    <col min="8" max="8" width="20" customWidth="1"/>
    <col min="9" max="9" width="15" customWidth="1"/>
    <col min="10" max="10" width="40" customWidth="1"/>
  </cols>
  <sheetData>
    <row r="1" spans="1:10" ht="24.95" customHeight="1" x14ac:dyDescent="0.25">
      <c r="A1" s="15" t="s">
        <v>151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25">
      <c r="A2" s="4" t="s">
        <v>62</v>
      </c>
      <c r="B2" s="4" t="s">
        <v>152</v>
      </c>
      <c r="C2" s="4" t="s">
        <v>153</v>
      </c>
      <c r="D2" s="4" t="s">
        <v>154</v>
      </c>
      <c r="E2" s="4" t="s">
        <v>155</v>
      </c>
      <c r="F2" s="4" t="s">
        <v>88</v>
      </c>
      <c r="G2" s="4" t="s">
        <v>156</v>
      </c>
      <c r="H2" s="4" t="s">
        <v>157</v>
      </c>
      <c r="I2" s="4" t="s">
        <v>70</v>
      </c>
      <c r="J2" s="4" t="s">
        <v>71</v>
      </c>
    </row>
    <row r="3" spans="1:10" x14ac:dyDescent="0.25">
      <c r="A3" s="6" t="s">
        <v>72</v>
      </c>
    </row>
    <row r="4" spans="1:10" x14ac:dyDescent="0.25">
      <c r="A4">
        <v>1</v>
      </c>
      <c r="B4" t="s">
        <v>158</v>
      </c>
      <c r="C4" t="s">
        <v>97</v>
      </c>
      <c r="D4" s="3">
        <v>45978.627720502162</v>
      </c>
      <c r="E4" s="3">
        <v>45978.627720502249</v>
      </c>
      <c r="F4" s="7">
        <v>100000</v>
      </c>
      <c r="G4">
        <v>85</v>
      </c>
      <c r="H4" t="str">
        <f>IF(G4&lt;=1,"NORMAL",IF(G4&lt;=5,"SOSPECHOSO","LAPPING PROBABLE"))</f>
        <v>LAPPING PROBABLE</v>
      </c>
      <c r="I4" t="str">
        <f>IF(H4="LAPPING PROBABLE","ALTO",IF(H4="SOSPECHOSO","MEDIO","BAJO"))</f>
        <v>ALTO</v>
      </c>
      <c r="J4" s="9"/>
    </row>
  </sheetData>
  <mergeCells count="1">
    <mergeCell ref="A1:J1"/>
  </mergeCells>
  <hyperlinks>
    <hyperlink ref="A3" location="INDICE!A1" display="← Volver al ÍNDIC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INDICE</vt:lpstr>
      <vt:lpstr>PT_A1_Confirmaciones</vt:lpstr>
      <vt:lpstr>PT_A2_Arqueos</vt:lpstr>
      <vt:lpstr>PT_A3_Conciliaciones</vt:lpstr>
      <vt:lpstr>PT_A4_Cheques_Vencidos</vt:lpstr>
      <vt:lpstr>PT_A5_Firmas</vt:lpstr>
      <vt:lpstr>PT_A6_Transferencias</vt:lpstr>
      <vt:lpstr>PT_A7_Endosos</vt:lpstr>
      <vt:lpstr>PT_A8_Reversiones</vt:lpstr>
      <vt:lpstr>PT_A9_Restricciones</vt:lpstr>
      <vt:lpstr>PT_A10_Benford</vt:lpstr>
      <vt:lpstr>PT_A11_Duplicidades</vt:lpstr>
      <vt:lpstr>PT_A12_Lapping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2025-11-17T15:03:55Z</dcterms:created>
  <dcterms:modified xsi:type="dcterms:W3CDTF">2025-11-17T15:08:29Z</dcterms:modified>
</cp:coreProperties>
</file>