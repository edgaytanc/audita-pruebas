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Users\Toño\Desktop\PAPELES COLOMBIA\1 AUDITORIA Y REVISORIA FISCAL\Pruebas de Deteccion de Fraudes\"/>
    </mc:Choice>
  </mc:AlternateContent>
  <bookViews>
    <workbookView xWindow="0" yWindow="0" windowWidth="25200" windowHeight="11580"/>
  </bookViews>
  <sheets>
    <sheet name="ÍNDICE" sheetId="1" r:id="rId1"/>
    <sheet name="PT J.1 - Variaciones" sheetId="2" r:id="rId2"/>
    <sheet name="PT J.2 - Autorizaciones" sheetId="3" r:id="rId3"/>
    <sheet name="PT J.3 - Gastos Personales" sheetId="4" r:id="rId4"/>
    <sheet name="PT J.4 - Viajes" sheetId="5" r:id="rId5"/>
    <sheet name="PT J.5 - Consultorías" sheetId="6" r:id="rId6"/>
    <sheet name="PT J.6 - Reclasificaciones" sheetId="7" r:id="rId7"/>
    <sheet name="PT J.7 - Cut-Off" sheetId="8" r:id="rId8"/>
    <sheet name="PT J.8 - Efectivo" sheetId="9" r:id="rId9"/>
    <sheet name="PT J.9 - Relacionadas" sheetId="10" r:id="rId10"/>
    <sheet name="PT J.10 - Servicios No Recib" sheetId="11" r:id="rId11"/>
    <sheet name="PT J.11 - % Ingresos" sheetId="12" r:id="rId12"/>
    <sheet name="PT J.12 - Prov Duplicados" sheetId="13" r:id="rId13"/>
    <sheet name="PT J.13 - Límites Autoriz" sheetId="14" r:id="rId14"/>
  </sheets>
  <calcPr calcId="162913"/>
</workbook>
</file>

<file path=xl/calcChain.xml><?xml version="1.0" encoding="utf-8"?>
<calcChain xmlns="http://schemas.openxmlformats.org/spreadsheetml/2006/main">
  <c r="J10" i="14" l="1"/>
  <c r="I10" i="14"/>
  <c r="G10" i="14"/>
  <c r="I9" i="14"/>
  <c r="J9" i="14" s="1"/>
  <c r="G9" i="14"/>
  <c r="G8" i="14"/>
  <c r="I8" i="14" s="1"/>
  <c r="J7" i="14"/>
  <c r="I7" i="14"/>
  <c r="B15" i="14" s="1"/>
  <c r="G7" i="14"/>
  <c r="B13" i="13"/>
  <c r="J8" i="13"/>
  <c r="K8" i="13" s="1"/>
  <c r="K7" i="13"/>
  <c r="J7" i="13"/>
  <c r="B12" i="13" s="1"/>
  <c r="F11" i="12"/>
  <c r="G11" i="12" s="1"/>
  <c r="E11" i="12"/>
  <c r="C11" i="12"/>
  <c r="F10" i="12"/>
  <c r="G10" i="12" s="1"/>
  <c r="E10" i="12"/>
  <c r="C10" i="12"/>
  <c r="F9" i="12"/>
  <c r="G9" i="12" s="1"/>
  <c r="E9" i="12"/>
  <c r="C9" i="12"/>
  <c r="F8" i="12"/>
  <c r="G8" i="12" s="1"/>
  <c r="E8" i="12"/>
  <c r="C8" i="12"/>
  <c r="F7" i="12"/>
  <c r="G7" i="12" s="1"/>
  <c r="E7" i="12"/>
  <c r="C7" i="12"/>
  <c r="B14" i="11"/>
  <c r="B13" i="11"/>
  <c r="J9" i="11"/>
  <c r="I9" i="11"/>
  <c r="J8" i="11"/>
  <c r="I8" i="11"/>
  <c r="J7" i="11"/>
  <c r="I7" i="11"/>
  <c r="B15" i="10"/>
  <c r="B14" i="10"/>
  <c r="B13" i="10"/>
  <c r="J9" i="10"/>
  <c r="K9" i="10" s="1"/>
  <c r="K8" i="10"/>
  <c r="J8" i="10"/>
  <c r="J7" i="10"/>
  <c r="K7" i="10" s="1"/>
  <c r="B14" i="9"/>
  <c r="I10" i="9"/>
  <c r="J10" i="9" s="1"/>
  <c r="J9" i="9"/>
  <c r="I9" i="9"/>
  <c r="I8" i="9"/>
  <c r="B15" i="9" s="1"/>
  <c r="J7" i="9"/>
  <c r="I7" i="9"/>
  <c r="B14" i="8"/>
  <c r="I10" i="8"/>
  <c r="J10" i="8" s="1"/>
  <c r="K10" i="8" s="1"/>
  <c r="I9" i="8"/>
  <c r="J9" i="8" s="1"/>
  <c r="K9" i="8" s="1"/>
  <c r="J8" i="8"/>
  <c r="K8" i="8" s="1"/>
  <c r="I8" i="8"/>
  <c r="I7" i="8"/>
  <c r="J7" i="8" s="1"/>
  <c r="B15" i="7"/>
  <c r="B14" i="7"/>
  <c r="B13" i="7"/>
  <c r="J9" i="7"/>
  <c r="J8" i="7"/>
  <c r="J7" i="7"/>
  <c r="B15" i="6"/>
  <c r="B14" i="6"/>
  <c r="I10" i="6"/>
  <c r="J10" i="6" s="1"/>
  <c r="J9" i="6"/>
  <c r="I9" i="6"/>
  <c r="I8" i="6"/>
  <c r="J8" i="6" s="1"/>
  <c r="J7" i="6"/>
  <c r="I7" i="6"/>
  <c r="B16" i="5"/>
  <c r="B15" i="5"/>
  <c r="B14" i="5"/>
  <c r="F10" i="5"/>
  <c r="H10" i="5" s="1"/>
  <c r="I10" i="5" s="1"/>
  <c r="J10" i="5" s="1"/>
  <c r="K10" i="5" s="1"/>
  <c r="F9" i="5"/>
  <c r="H9" i="5" s="1"/>
  <c r="I9" i="5" s="1"/>
  <c r="J9" i="5" s="1"/>
  <c r="K9" i="5" s="1"/>
  <c r="F8" i="5"/>
  <c r="H8" i="5" s="1"/>
  <c r="I8" i="5" s="1"/>
  <c r="J8" i="5" s="1"/>
  <c r="K8" i="5" s="1"/>
  <c r="H7" i="5"/>
  <c r="I7" i="5" s="1"/>
  <c r="J7" i="5" s="1"/>
  <c r="K7" i="5" s="1"/>
  <c r="F7" i="5"/>
  <c r="B15" i="4"/>
  <c r="B14" i="4"/>
  <c r="I10" i="4"/>
  <c r="I9" i="4"/>
  <c r="I8" i="4"/>
  <c r="I7" i="4"/>
  <c r="B15" i="3"/>
  <c r="B14" i="3"/>
  <c r="I10" i="3"/>
  <c r="J10" i="3" s="1"/>
  <c r="J9" i="3"/>
  <c r="I9" i="3"/>
  <c r="I8" i="3"/>
  <c r="J8" i="3" s="1"/>
  <c r="J7" i="3"/>
  <c r="I7" i="3"/>
  <c r="B20" i="2"/>
  <c r="H14" i="2"/>
  <c r="G14" i="2"/>
  <c r="D14" i="2"/>
  <c r="E14" i="2" s="1"/>
  <c r="I14" i="2" s="1"/>
  <c r="J14" i="2" s="1"/>
  <c r="G13" i="2"/>
  <c r="H13" i="2" s="1"/>
  <c r="E13" i="2"/>
  <c r="I13" i="2" s="1"/>
  <c r="J13" i="2" s="1"/>
  <c r="D13" i="2"/>
  <c r="H12" i="2"/>
  <c r="G12" i="2"/>
  <c r="D12" i="2"/>
  <c r="E12" i="2" s="1"/>
  <c r="I12" i="2" s="1"/>
  <c r="J12" i="2" s="1"/>
  <c r="G11" i="2"/>
  <c r="H11" i="2" s="1"/>
  <c r="E11" i="2"/>
  <c r="I11" i="2" s="1"/>
  <c r="J11" i="2" s="1"/>
  <c r="D11" i="2"/>
  <c r="H10" i="2"/>
  <c r="G10" i="2"/>
  <c r="D10" i="2"/>
  <c r="E10" i="2" s="1"/>
  <c r="I10" i="2" s="1"/>
  <c r="J10" i="2" s="1"/>
  <c r="G9" i="2"/>
  <c r="H9" i="2" s="1"/>
  <c r="E9" i="2"/>
  <c r="I9" i="2" s="1"/>
  <c r="J9" i="2" s="1"/>
  <c r="D9" i="2"/>
  <c r="H8" i="2"/>
  <c r="G8" i="2"/>
  <c r="D8" i="2"/>
  <c r="B21" i="2" s="1"/>
  <c r="G7" i="2"/>
  <c r="H7" i="2" s="1"/>
  <c r="E7" i="2"/>
  <c r="I7" i="2" s="1"/>
  <c r="J7" i="2" s="1"/>
  <c r="D7" i="2"/>
  <c r="K7" i="8" l="1"/>
  <c r="B16" i="8" s="1"/>
  <c r="B15" i="8"/>
  <c r="B15" i="12"/>
  <c r="B16" i="14"/>
  <c r="J8" i="14"/>
  <c r="B17" i="5"/>
  <c r="B16" i="3"/>
  <c r="E8" i="2"/>
  <c r="I8" i="2" s="1"/>
  <c r="J8" i="2" s="1"/>
  <c r="B18" i="2" s="1"/>
  <c r="B16" i="6"/>
  <c r="B16" i="9"/>
  <c r="J8" i="9"/>
  <c r="B14" i="14"/>
  <c r="B19" i="2" l="1"/>
</calcChain>
</file>

<file path=xl/sharedStrings.xml><?xml version="1.0" encoding="utf-8"?>
<sst xmlns="http://schemas.openxmlformats.org/spreadsheetml/2006/main" count="681" uniqueCount="395">
  <si>
    <t>PROGRAMA DE AUDITORÍA</t>
  </si>
  <si>
    <t>AUDITORÍA DE COSTOS Y GASTOS</t>
  </si>
  <si>
    <t>DETECCIÓN DE FRAUDE Y CONTROL DE GASTOS</t>
  </si>
  <si>
    <t>REF.</t>
  </si>
  <si>
    <t>PAPEL DE TRABAJO</t>
  </si>
  <si>
    <t>NIA/MARCO</t>
  </si>
  <si>
    <t>OBJETIVO PRINCIPAL</t>
  </si>
  <si>
    <t>PT J.1</t>
  </si>
  <si>
    <t>Variaciones por Naturaleza</t>
  </si>
  <si>
    <t>NIA 520</t>
  </si>
  <si>
    <t>Detectar variaciones inusuales en gastos</t>
  </si>
  <si>
    <t>PT J.2</t>
  </si>
  <si>
    <t>Autorizaciones en Gastos</t>
  </si>
  <si>
    <t>NIA 315</t>
  </si>
  <si>
    <t>Verificar cumplimiento políticas autorización</t>
  </si>
  <si>
    <t>PT J.3</t>
  </si>
  <si>
    <t>Gastos Personales como Empresariales</t>
  </si>
  <si>
    <t>NIA 240</t>
  </si>
  <si>
    <t>Detectar apropiación indebida de recursos</t>
  </si>
  <si>
    <t>PT J.4</t>
  </si>
  <si>
    <t>Viajes y Representación</t>
  </si>
  <si>
    <t>Identificar abusos en gastos de viaje</t>
  </si>
  <si>
    <t>PT J.5</t>
  </si>
  <si>
    <t>Consultorías - Servicios Reales</t>
  </si>
  <si>
    <t>Verificar recepción efectiva de servicios</t>
  </si>
  <si>
    <t>PT J.6</t>
  </si>
  <si>
    <t>Reclasificaciones Entre Cuentas</t>
  </si>
  <si>
    <t>Detectar manipulación de resultados</t>
  </si>
  <si>
    <t>PT J.7</t>
  </si>
  <si>
    <t>Cut-Off de Compras</t>
  </si>
  <si>
    <t>NIA 330</t>
  </si>
  <si>
    <t>Verificar reconocimiento en período correcto</t>
  </si>
  <si>
    <t>PT J.8</t>
  </si>
  <si>
    <t>Gastos en Efectivo Sin Soporte</t>
  </si>
  <si>
    <t>Detectar gastos sin documentación</t>
  </si>
  <si>
    <t>PT J.9</t>
  </si>
  <si>
    <t>Pagos a Relacionadas/Paraísos</t>
  </si>
  <si>
    <t>NIA 550</t>
  </si>
  <si>
    <t>Evaluar riesgo fiscal y precios transferencia</t>
  </si>
  <si>
    <t>PT J.10</t>
  </si>
  <si>
    <t>Servicios No Recibidos</t>
  </si>
  <si>
    <t>Detectar pagos fraudulentos</t>
  </si>
  <si>
    <t>PT J.11</t>
  </si>
  <si>
    <t>Gastos % Ingresos vs Períodos</t>
  </si>
  <si>
    <t>Analizar eficiencia operativa</t>
  </si>
  <si>
    <t>PT J.12</t>
  </si>
  <si>
    <t>Proveedores Duplicados</t>
  </si>
  <si>
    <t>Detectar proveedores ficticios o duplicados</t>
  </si>
  <si>
    <t>PT J.13</t>
  </si>
  <si>
    <t>Montos Debajo Límites</t>
  </si>
  <si>
    <t>Identificar fraccionamiento para evadir controles</t>
  </si>
  <si>
    <t>🚨 ESQUEMAS COMUNES DE FRAUDE EN GASTOS</t>
  </si>
  <si>
    <t>• Gastos personales cargados a la empresa</t>
  </si>
  <si>
    <t>• Servicios pagados pero no recibidos (proveedores cómplices)</t>
  </si>
  <si>
    <t>• Proveedores ficticios controlados por empleados</t>
  </si>
  <si>
    <t>• Fraccionamiento de compras para evadir autorizaciones</t>
  </si>
  <si>
    <t>• Inflación de gastos de viaje y representación</t>
  </si>
  <si>
    <t>• Duplicación de registros de gastos</t>
  </si>
  <si>
    <t>• Reclasificaciones para manipular resultados</t>
  </si>
  <si>
    <t>• Pagos a paraísos fiscales sin justificación económica</t>
  </si>
  <si>
    <t>NOTAS IMPORTANTES:</t>
  </si>
  <si>
    <t>✅ Programa diseñado para detectar los esquemas más comunes de fraude en gastos</t>
  </si>
  <si>
    <t>🔍 Aplicar escepticismo profesional en revisión de autorizaciones</t>
  </si>
  <si>
    <t>📊 Fórmulas automáticas calculan riesgos y alertas</t>
  </si>
  <si>
    <t>🔴 Alertas CRÍTICAS requieren comunicación inmediata a dirección</t>
  </si>
  <si>
    <t>💰 Especial atención a gastos en efectivo sin soporte</t>
  </si>
  <si>
    <t>🌍 Pagos a paraísos fiscales requieren documentación de precios de transferencia</t>
  </si>
  <si>
    <t>📝 Mantener evidencia exhaustiva de cada hallazgo</t>
  </si>
  <si>
    <t>PT J.1 - GASTOS POR NATURALEZA - VARIACIONES INUSUALES</t>
  </si>
  <si>
    <t>CLIENTE:</t>
  </si>
  <si>
    <t>[Nombre del Cliente]</t>
  </si>
  <si>
    <t>PERÍODO:</t>
  </si>
  <si>
    <t>[AAAA]</t>
  </si>
  <si>
    <t>AUDITOR:</t>
  </si>
  <si>
    <t>[Nombre Auditor]</t>
  </si>
  <si>
    <t>FECHA:</t>
  </si>
  <si>
    <t>17/11/2025</t>
  </si>
  <si>
    <t>REF:</t>
  </si>
  <si>
    <t>PT J.1 - Variaciones</t>
  </si>
  <si>
    <t>CUENTA</t>
  </si>
  <si>
    <t>GASTO AÑO ACTUAL</t>
  </si>
  <si>
    <t>GASTO AÑO ANTERIOR</t>
  </si>
  <si>
    <t>VARIACIÓN $</t>
  </si>
  <si>
    <t>% VARIACIÓN</t>
  </si>
  <si>
    <t>PROMEDIO 3 AÑOS</t>
  </si>
  <si>
    <t>DESVIACIÓN</t>
  </si>
  <si>
    <t>% DESVIACIÓN</t>
  </si>
  <si>
    <t>EVALUACIÓN</t>
  </si>
  <si>
    <t>RIESGO</t>
  </si>
  <si>
    <t>Sueldos y Salarios</t>
  </si>
  <si>
    <t>Honorarios</t>
  </si>
  <si>
    <t>Arrendamientos</t>
  </si>
  <si>
    <t>Servicios Públicos</t>
  </si>
  <si>
    <t>Mantenimiento</t>
  </si>
  <si>
    <t>Publicidad</t>
  </si>
  <si>
    <t>Viáticos y Viajes</t>
  </si>
  <si>
    <t>Depreciaciones</t>
  </si>
  <si>
    <t>ANÁLISIS DE VARIACIONES</t>
  </si>
  <si>
    <t>Cuentas con Variación Extrema:</t>
  </si>
  <si>
    <t>Cuentas con Variación Alta:</t>
  </si>
  <si>
    <t>Total Gastos Año Actual:</t>
  </si>
  <si>
    <t>Variación Total vs Año Anterior:</t>
  </si>
  <si>
    <t>PT J.2 - AUTORIZACIONES EN GASTOS SIGNIFICATIVOS</t>
  </si>
  <si>
    <t>PT J.2 - Autorizaciones</t>
  </si>
  <si>
    <t>No.</t>
  </si>
  <si>
    <t>FECHA</t>
  </si>
  <si>
    <t>CONCEPTO</t>
  </si>
  <si>
    <t>PROVEEDOR</t>
  </si>
  <si>
    <t>VALOR</t>
  </si>
  <si>
    <t>SOLICITANTE</t>
  </si>
  <si>
    <t>AUTORIZADOR</t>
  </si>
  <si>
    <t>NIVEL REQUERIDO</t>
  </si>
  <si>
    <t>CUMPLE POLÍTICA</t>
  </si>
  <si>
    <t>OBSERVACIONES</t>
  </si>
  <si>
    <t>1</t>
  </si>
  <si>
    <t>2024-11-15</t>
  </si>
  <si>
    <t>Consultoría estratégica</t>
  </si>
  <si>
    <t>Consultores XYZ</t>
  </si>
  <si>
    <t>Gerente Operaciones</t>
  </si>
  <si>
    <t>Gerente General</t>
  </si>
  <si>
    <t>2</t>
  </si>
  <si>
    <t>2024-11-20</t>
  </si>
  <si>
    <t>Equipo computación</t>
  </si>
  <si>
    <t>TI Solutions</t>
  </si>
  <si>
    <t>Jefe TI</t>
  </si>
  <si>
    <t>3</t>
  </si>
  <si>
    <t>2024-12-05</t>
  </si>
  <si>
    <t>Evento corporativo</t>
  </si>
  <si>
    <t>Hotel Grand</t>
  </si>
  <si>
    <t>Marketing</t>
  </si>
  <si>
    <t>Gerente Comercial</t>
  </si>
  <si>
    <t>4</t>
  </si>
  <si>
    <t>2024-12-10</t>
  </si>
  <si>
    <t>Remodelación oficina</t>
  </si>
  <si>
    <t>Constructora ABC</t>
  </si>
  <si>
    <t>Admin</t>
  </si>
  <si>
    <t>Sin autorización</t>
  </si>
  <si>
    <t>Junta Directiva</t>
  </si>
  <si>
    <t>EVALUACIÓN DE CONTROLES</t>
  </si>
  <si>
    <t>Total Gastos Revisados:</t>
  </si>
  <si>
    <t>Sin Autorización Adecuada:</t>
  </si>
  <si>
    <t>Valor Expuesto (Sin Control):</t>
  </si>
  <si>
    <t>PT J.3 - GASTOS PERSONALES REGISTRADOS COMO EMPRESARIALES</t>
  </si>
  <si>
    <t>PT J.3 - Gastos Personales</t>
  </si>
  <si>
    <t>FACTURA</t>
  </si>
  <si>
    <t>EMPLEADO</t>
  </si>
  <si>
    <t>INDICIOS GASTO PERSONAL</t>
  </si>
  <si>
    <t>CLASIFICACIÓN</t>
  </si>
  <si>
    <t>ACCIÓN REQUERIDA</t>
  </si>
  <si>
    <t>2024-11-05</t>
  </si>
  <si>
    <t>FV-8520</t>
  </si>
  <si>
    <t>Restaurante familiar</t>
  </si>
  <si>
    <t>Rest. La Casa</t>
  </si>
  <si>
    <t>Gerente Ventas</t>
  </si>
  <si>
    <t>Fin de semana, ciudad diferente sede</t>
  </si>
  <si>
    <t>Reversión + recuperación + carta llamado atención</t>
  </si>
  <si>
    <t>2024-11-12</t>
  </si>
  <si>
    <t>FV-8650</t>
  </si>
  <si>
    <t>Útiles escolares</t>
  </si>
  <si>
    <t>Papelería El Estudio</t>
  </si>
  <si>
    <t>Contador</t>
  </si>
  <si>
    <t>Productos uso personal</t>
  </si>
  <si>
    <t>FV-8780</t>
  </si>
  <si>
    <t>Gasolina vehículo particular</t>
  </si>
  <si>
    <t>Estación Sur</t>
  </si>
  <si>
    <t>Jefe Producción</t>
  </si>
  <si>
    <t>Vehículo no registrado empresa</t>
  </si>
  <si>
    <t>2024-12-01</t>
  </si>
  <si>
    <t>FV-8920</t>
  </si>
  <si>
    <t>Electrodomésticos</t>
  </si>
  <si>
    <t>Home Center</t>
  </si>
  <si>
    <t>Para vivienda empleado</t>
  </si>
  <si>
    <t>HALLAZGO CRÍTICO - USO INDEBIDO DE RECURSOS</t>
  </si>
  <si>
    <t>Total Gastos Personales Identificados:</t>
  </si>
  <si>
    <t>Valor Total a Recuperar:</t>
  </si>
  <si>
    <t>ACCIÓN DISCIPLINARIA:</t>
  </si>
  <si>
    <t>Comunicar a dirección. Recuperar valores. Evaluar proceso disciplinario. Revisar controles de aprobación de gastos.</t>
  </si>
  <si>
    <t>PT J.4 - GASTOS DE VIAJE Y REPRESENTACIÓN POR EMPLEADO</t>
  </si>
  <si>
    <t>PT J.4 - Viajes</t>
  </si>
  <si>
    <t>CARGO</t>
  </si>
  <si>
    <t>VIAJES AÑO</t>
  </si>
  <si>
    <t>VALOR TOTAL</t>
  </si>
  <si>
    <t>PROMEDIO POR VIAJE</t>
  </si>
  <si>
    <t>PROMEDIO EMPRESA</t>
  </si>
  <si>
    <t>EXCESO vs PROMEDIO</t>
  </si>
  <si>
    <t>% EXCESO</t>
  </si>
  <si>
    <t>Juan Pérez</t>
  </si>
  <si>
    <t>María Rodríguez</t>
  </si>
  <si>
    <t>Carlos Gómez</t>
  </si>
  <si>
    <t>Director Operaciones</t>
  </si>
  <si>
    <t>Ana Martínez</t>
  </si>
  <si>
    <t>Jefe Compras</t>
  </si>
  <si>
    <t>ANÁLISIS DE VIÁTICOS</t>
  </si>
  <si>
    <t>Total Empleados Analizados:</t>
  </si>
  <si>
    <t>Total Viajes Realizados:</t>
  </si>
  <si>
    <t>Valor Total Viáticos:</t>
  </si>
  <si>
    <t>Empleados con Exceso Crítico:</t>
  </si>
  <si>
    <t>PT J.5 - CONSULTORÍAS Y HONORARIOS - SERVICIOS REALES</t>
  </si>
  <si>
    <t>PT J.5 - Consultorías</t>
  </si>
  <si>
    <t>CONSULTOR/PROFESIONAL</t>
  </si>
  <si>
    <t>NIT/CC</t>
  </si>
  <si>
    <t>SERVICIO CONTRATADO</t>
  </si>
  <si>
    <t>ENTREGABLE VERIFICADO</t>
  </si>
  <si>
    <t>INFORME/PRODUCTO</t>
  </si>
  <si>
    <t>APROBACIÓN SERVICIO</t>
  </si>
  <si>
    <t>CUMPLE REQUISITOS</t>
  </si>
  <si>
    <t>Consultoría Estratégica SAS</t>
  </si>
  <si>
    <t>900111222</t>
  </si>
  <si>
    <t>Plan estratégico 2025</t>
  </si>
  <si>
    <t>SÍ</t>
  </si>
  <si>
    <t>Documento plan estratégico</t>
  </si>
  <si>
    <t>Juan Pérez (Persona Natural)</t>
  </si>
  <si>
    <t>79123456</t>
  </si>
  <si>
    <t>Asesoría fiscal</t>
  </si>
  <si>
    <t>NO</t>
  </si>
  <si>
    <t>Sin entregable</t>
  </si>
  <si>
    <t>Sin aprobación</t>
  </si>
  <si>
    <t>Abogados Asociados</t>
  </si>
  <si>
    <t>800222333</t>
  </si>
  <si>
    <t>Servicios legales</t>
  </si>
  <si>
    <t>Conceptos jurídicos</t>
  </si>
  <si>
    <t>Gerente Legal</t>
  </si>
  <si>
    <t>Consultor Independiente</t>
  </si>
  <si>
    <t>1023456789</t>
  </si>
  <si>
    <t>Análisis mercado</t>
  </si>
  <si>
    <t>Sin documento</t>
  </si>
  <si>
    <t>EVALUACIÓN DE SERVICIOS</t>
  </si>
  <si>
    <t>Total Consultorías/Honorarios:</t>
  </si>
  <si>
    <t>Servicios Sin Verificar:</t>
  </si>
  <si>
    <t>Valor en Riesgo:</t>
  </si>
  <si>
    <t>PT J.6 - RECLASIFICACIONES ENTRE CUENTAS DE GASTO</t>
  </si>
  <si>
    <t>PT J.6 - Reclasificaciones</t>
  </si>
  <si>
    <t>ASIENTO</t>
  </si>
  <si>
    <t>CUENTA ORIGEN</t>
  </si>
  <si>
    <t>CUENTA DESTINO</t>
  </si>
  <si>
    <t>APROBACIÓN</t>
  </si>
  <si>
    <t>JUSTIFICACIÓN ADECUADA</t>
  </si>
  <si>
    <t>AJ-2024-850</t>
  </si>
  <si>
    <t>Gastos Admin</t>
  </si>
  <si>
    <t>Costo Ventas</t>
  </si>
  <si>
    <t>Reclasificación mejora margen</t>
  </si>
  <si>
    <t>AJ-2024-920</t>
  </si>
  <si>
    <t>Gastos Operación</t>
  </si>
  <si>
    <t>Corrección clasificación</t>
  </si>
  <si>
    <t>Gerente Financiero</t>
  </si>
  <si>
    <t>2024-12-28</t>
  </si>
  <si>
    <t>AJ-2024-1150</t>
  </si>
  <si>
    <t>Gastos Varios</t>
  </si>
  <si>
    <t>Ajuste fin año</t>
  </si>
  <si>
    <t>EVALUACIÓN RECLASIFICACIONES</t>
  </si>
  <si>
    <t>Total Reclasificaciones:</t>
  </si>
  <si>
    <t>Sin Justificación Adecuada:</t>
  </si>
  <si>
    <t>Valor Total Reclasificado:</t>
  </si>
  <si>
    <t>ALERTA: Reclasificaciones cerca del cierre sin justificación pueden indicar manipulación de resultados</t>
  </si>
  <si>
    <t>PT J.7 - CUT-OFF DE COMPRAS Y GASTOS ACUMULADOS</t>
  </si>
  <si>
    <t>PT J.7 - Cut-Off</t>
  </si>
  <si>
    <t>FECHA FACTURA</t>
  </si>
  <si>
    <t>FECHA RECEPCIÓN</t>
  </si>
  <si>
    <t>FECHA REGISTRO</t>
  </si>
  <si>
    <t>PERÍODO CORRECTO</t>
  </si>
  <si>
    <t>ERROR CUT-OFF</t>
  </si>
  <si>
    <t>VALOR ERROR</t>
  </si>
  <si>
    <t>FV-2024-8850</t>
  </si>
  <si>
    <t>Proveedor A</t>
  </si>
  <si>
    <t>Suministros</t>
  </si>
  <si>
    <t>2024-12-29</t>
  </si>
  <si>
    <t>2024-12-30</t>
  </si>
  <si>
    <t>FV-2024-8920</t>
  </si>
  <si>
    <t>Proveedor B</t>
  </si>
  <si>
    <t>2024-12-31</t>
  </si>
  <si>
    <t>FV-2024-8950</t>
  </si>
  <si>
    <t>Proveedor C</t>
  </si>
  <si>
    <t>Servicios</t>
  </si>
  <si>
    <t>2025-01-02</t>
  </si>
  <si>
    <t>2025-01-08</t>
  </si>
  <si>
    <t>FV-2025-0001</t>
  </si>
  <si>
    <t>Proveedor D</t>
  </si>
  <si>
    <t>Materiales</t>
  </si>
  <si>
    <t>2025-01-03</t>
  </si>
  <si>
    <t>2025-01-05</t>
  </si>
  <si>
    <t>EVALUACIÓN CUT-OFF</t>
  </si>
  <si>
    <t>Total Transacciones Revisadas:</t>
  </si>
  <si>
    <t>Errores de Cut-Off:</t>
  </si>
  <si>
    <t>Valor Total Ajuste:</t>
  </si>
  <si>
    <t>PT J.8 - GASTOS EN EFECTIVO SIN SOPORTE</t>
  </si>
  <si>
    <t>PT J.8 - Efectivo</t>
  </si>
  <si>
    <t>BENEFICIARIO</t>
  </si>
  <si>
    <t>SOPORTE DOCUMENTAL</t>
  </si>
  <si>
    <t>CAJA MENOR</t>
  </si>
  <si>
    <t>Gastos varios</t>
  </si>
  <si>
    <t>Papelería</t>
  </si>
  <si>
    <t>Factura</t>
  </si>
  <si>
    <t>Sí</t>
  </si>
  <si>
    <t>N/A</t>
  </si>
  <si>
    <t>Transporte</t>
  </si>
  <si>
    <t>Sin soporte</t>
  </si>
  <si>
    <t>No</t>
  </si>
  <si>
    <t>Varios</t>
  </si>
  <si>
    <t>Refrigerios</t>
  </si>
  <si>
    <t>Sin factura</t>
  </si>
  <si>
    <t>Gastos directos</t>
  </si>
  <si>
    <t>Sin documentos</t>
  </si>
  <si>
    <t>ANÁLISIS DE CONTROLES DE EFECTIVO</t>
  </si>
  <si>
    <t>Total Gastos Efectivo:</t>
  </si>
  <si>
    <t>Sin Soporte Adecuado:</t>
  </si>
  <si>
    <t>Valor Sin Documentación:</t>
  </si>
  <si>
    <t>PT J.9 - PAGOS A ENTIDADES RELACIONADAS O PARAÍSOS FISCALES</t>
  </si>
  <si>
    <t>PT J.9 - Relacionadas</t>
  </si>
  <si>
    <t>PAÍS/JURISDICCIÓN</t>
  </si>
  <si>
    <t>TIPO RELACIÓN</t>
  </si>
  <si>
    <t>PARAÍSO FISCAL</t>
  </si>
  <si>
    <t>PRECIOS MERCADO</t>
  </si>
  <si>
    <t>DOCUMENTACIÓN</t>
  </si>
  <si>
    <t>Holding Internacional SA</t>
  </si>
  <si>
    <t>Panamá</t>
  </si>
  <si>
    <t>Matriz</t>
  </si>
  <si>
    <t>Servicios administrativos</t>
  </si>
  <si>
    <t>Sin estudio</t>
  </si>
  <si>
    <t>Contrato</t>
  </si>
  <si>
    <t>Servicios Técnicos Ltd</t>
  </si>
  <si>
    <t>Islas Caimán</t>
  </si>
  <si>
    <t>Parte relacionada</t>
  </si>
  <si>
    <t>Consultoría técnica</t>
  </si>
  <si>
    <t>Sin comparables</t>
  </si>
  <si>
    <t>Sin contrato</t>
  </si>
  <si>
    <t>Proveedor Nacional SA</t>
  </si>
  <si>
    <t>Colombia</t>
  </si>
  <si>
    <t>No relacionado</t>
  </si>
  <si>
    <t>EVALUACIÓN RIESGO FISCAL</t>
  </si>
  <si>
    <t>Pagos a Paraísos Fiscales:</t>
  </si>
  <si>
    <t>Valor Expuesto (Paraísos):</t>
  </si>
  <si>
    <t>Sin Estudio de Precios:</t>
  </si>
  <si>
    <t>ALERTA FISCAL: Notificar a asesor tributario. Riesgo de ajustes DIAN por precios de transferencia.</t>
  </si>
  <si>
    <t>PT J.10 - SERVICIOS NO RECIBIDOS PERO PAGADOS</t>
  </si>
  <si>
    <t>PT J.10 - Servicios No Recib</t>
  </si>
  <si>
    <t>FECHA PAGO</t>
  </si>
  <si>
    <t>EVIDENCIA RECEPCIÓN</t>
  </si>
  <si>
    <t>SUPERVISOR VERIFICA</t>
  </si>
  <si>
    <t>SERVICIO RECIBIDO</t>
  </si>
  <si>
    <t>Consultoría ABC</t>
  </si>
  <si>
    <t>Capacitación personal</t>
  </si>
  <si>
    <t>Acta asistencia</t>
  </si>
  <si>
    <t>Jefe RRHH</t>
  </si>
  <si>
    <t>Mantenimiento XYZ</t>
  </si>
  <si>
    <t>Reparación equipos</t>
  </si>
  <si>
    <t>Sin evidencia</t>
  </si>
  <si>
    <t>Sin verificar</t>
  </si>
  <si>
    <t>Servicios DEF</t>
  </si>
  <si>
    <t>Asesoría legal</t>
  </si>
  <si>
    <t>HALLAZGO CRÍTICO</t>
  </si>
  <si>
    <t>Valor a Recuperar:</t>
  </si>
  <si>
    <t>PT J.11 - GASTOS COMO % DE INGRESOS VS. PERÍODOS ANTERIORES</t>
  </si>
  <si>
    <t>PT J.11 - % Ingresos</t>
  </si>
  <si>
    <t>INGRESOS DEL PERÍODO:</t>
  </si>
  <si>
    <t>AÑO ACTUAL</t>
  </si>
  <si>
    <t>% s/Ingresos</t>
  </si>
  <si>
    <t>AÑO ANTERIOR</t>
  </si>
  <si>
    <t>VARIACIÓN pp</t>
  </si>
  <si>
    <t>ANÁLISIS DE EFICIENCIA</t>
  </si>
  <si>
    <t>Variaciones Significativas:</t>
  </si>
  <si>
    <t>PT J.12 - PROVEEDORES DUPLICADOS O FICTICIOS</t>
  </si>
  <si>
    <t>PT J.12 - Prov Duplicados</t>
  </si>
  <si>
    <t>PROVEEDOR 1</t>
  </si>
  <si>
    <t>NIT 1</t>
  </si>
  <si>
    <t>PROVEEDOR 2</t>
  </si>
  <si>
    <t>NIT 2</t>
  </si>
  <si>
    <t>SIMILITUD</t>
  </si>
  <si>
    <t>DIRECCIÓN</t>
  </si>
  <si>
    <t>CUENTA BANCARIA</t>
  </si>
  <si>
    <t>COMPRAS TOTALES</t>
  </si>
  <si>
    <t>Suministros ABC SAS</t>
  </si>
  <si>
    <t>Suministros ABC S.A.S.</t>
  </si>
  <si>
    <t>Nombre similar + mismo NIT</t>
  </si>
  <si>
    <t>Calle 50 #23-45</t>
  </si>
  <si>
    <t>1234567890</t>
  </si>
  <si>
    <t>Distribuidora XYZ</t>
  </si>
  <si>
    <t>Comercial XYZ Ltda</t>
  </si>
  <si>
    <t>Carrera 15 #80-22</t>
  </si>
  <si>
    <t>DETECCIÓN DE DUPLICADOS</t>
  </si>
  <si>
    <t>Proveedores Duplicados:</t>
  </si>
  <si>
    <t>Valor Afectado:</t>
  </si>
  <si>
    <t>PT J.13 - MONTOS JUSTO DEBAJO DE LÍMITES DE AUTORIZACIÓN</t>
  </si>
  <si>
    <t>PT J.13 - Límites Autoriz</t>
  </si>
  <si>
    <t>LÍMITE AUTORIZACIÓN</t>
  </si>
  <si>
    <t>DIFERENCIA vs LÍMITE</t>
  </si>
  <si>
    <t>PATRÓN SOSPECHOSO</t>
  </si>
  <si>
    <t>Consultor A</t>
  </si>
  <si>
    <t>Asesoría</t>
  </si>
  <si>
    <t>Gerente Área</t>
  </si>
  <si>
    <t>Consultor C</t>
  </si>
  <si>
    <t>DETECCIÓN DE FRACCIONAMIENTO</t>
  </si>
  <si>
    <t>Gastos Cercanos al Límite:</t>
  </si>
  <si>
    <t>Valor Total Sospechoso:</t>
  </si>
  <si>
    <t>Promedio Diferencia:</t>
  </si>
  <si>
    <t>ALERTA: Patrón de montos justo debajo del límite puede indicar fraccionamiento para evadir controles de autorización.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</si>
</sst>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\$#,##0"/>
    <numFmt numFmtId="166" formatCode="dd/mm/yyyy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1"/>
      <name val="Calibri"/>
      <family val="2"/>
    </font>
    <font>
      <b/>
      <sz val="11"/>
      <color rgb="FFFFFFFF"/>
      <name val="Arial"/>
      <family val="2"/>
    </font>
    <font>
      <b/>
      <sz val="11"/>
      <color rgb="FFFF0000"/>
      <name val="Calibri"/>
      <family val="2"/>
    </font>
    <font>
      <b/>
      <sz val="11"/>
      <color rgb="FFFFFFFF"/>
      <name val="Calibri"/>
      <family val="2"/>
    </font>
    <font>
      <sz val="11"/>
      <color rgb="FFFF0000"/>
      <name val="Calibri"/>
      <family val="2"/>
    </font>
    <font>
      <b/>
      <sz val="16"/>
      <color rgb="FFFFFFFF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0066CC"/>
        <bgColor rgb="FF0066CC"/>
      </patternFill>
    </fill>
    <fill>
      <patternFill patternType="solid">
        <fgColor rgb="FFB8CCE4"/>
        <bgColor rgb="FFB8CCE4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4" borderId="0" xfId="0" applyFont="1" applyFill="1" applyAlignment="1">
      <alignment horizontal="center" vertical="center"/>
    </xf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0" xfId="0" applyFont="1"/>
    <xf numFmtId="0" fontId="3" fillId="3" borderId="1" xfId="0" applyFont="1" applyFill="1" applyBorder="1" applyAlignment="1">
      <alignment horizontal="center" vertical="center" wrapText="1"/>
    </xf>
    <xf numFmtId="3" fontId="0" fillId="0" borderId="0" xfId="0" applyNumberFormat="1"/>
    <xf numFmtId="164" fontId="0" fillId="0" borderId="0" xfId="0" applyNumberFormat="1"/>
    <xf numFmtId="0" fontId="4" fillId="0" borderId="0" xfId="0" applyFont="1"/>
    <xf numFmtId="165" fontId="0" fillId="0" borderId="0" xfId="0" applyNumberFormat="1"/>
    <xf numFmtId="166" fontId="0" fillId="0" borderId="0" xfId="0" applyNumberFormat="1"/>
    <xf numFmtId="165" fontId="4" fillId="0" borderId="0" xfId="0" applyNumberFormat="1" applyFont="1"/>
    <xf numFmtId="0" fontId="6" fillId="0" borderId="0" xfId="0" applyFont="1"/>
    <xf numFmtId="165" fontId="6" fillId="0" borderId="0" xfId="0" applyNumberFormat="1" applyFont="1"/>
    <xf numFmtId="10" fontId="0" fillId="0" borderId="0" xfId="0" applyNumberFormat="1"/>
    <xf numFmtId="0" fontId="0" fillId="0" borderId="0" xfId="0"/>
    <xf numFmtId="0" fontId="0" fillId="0" borderId="0" xfId="0" applyAlignment="1">
      <alignment wrapText="1"/>
    </xf>
    <xf numFmtId="0" fontId="11" fillId="0" borderId="0" xfId="0" applyFont="1"/>
    <xf numFmtId="0" fontId="7" fillId="2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5" borderId="0" xfId="0" applyFont="1" applyFill="1"/>
    <xf numFmtId="0" fontId="8" fillId="0" borderId="0" xfId="0" applyFont="1" applyAlignment="1">
      <alignment horizontal="center" vertical="center"/>
    </xf>
    <xf numFmtId="0" fontId="2" fillId="4" borderId="0" xfId="0" applyFont="1" applyFill="1"/>
    <xf numFmtId="0" fontId="1" fillId="2" borderId="0" xfId="0" applyFont="1" applyFill="1" applyAlignment="1">
      <alignment horizontal="center" vertical="center"/>
    </xf>
    <xf numFmtId="0" fontId="5" fillId="5" borderId="0" xfId="0" applyFont="1" applyFill="1"/>
    <xf numFmtId="0" fontId="2" fillId="0" borderId="0" xfId="0" applyFont="1"/>
    <xf numFmtId="0" fontId="2" fillId="6" borderId="0" xfId="0" applyFont="1" applyFill="1"/>
    <xf numFmtId="0" fontId="0" fillId="7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tabSelected="1" workbookViewId="0">
      <selection activeCell="I9" sqref="I9"/>
    </sheetView>
  </sheetViews>
  <sheetFormatPr baseColWidth="10" defaultColWidth="9.140625" defaultRowHeight="15" x14ac:dyDescent="0.25"/>
  <cols>
    <col min="1" max="1" width="12" customWidth="1"/>
    <col min="2" max="2" width="35" customWidth="1"/>
    <col min="3" max="3" width="15" customWidth="1"/>
    <col min="4" max="4" width="40" customWidth="1"/>
  </cols>
  <sheetData>
    <row r="1" spans="1:4" ht="30" customHeight="1" x14ac:dyDescent="0.25">
      <c r="A1" s="18" t="s">
        <v>0</v>
      </c>
      <c r="B1" s="15"/>
      <c r="C1" s="15"/>
      <c r="D1" s="15"/>
    </row>
    <row r="2" spans="1:4" ht="15.75" x14ac:dyDescent="0.25">
      <c r="A2" s="21" t="s">
        <v>1</v>
      </c>
      <c r="B2" s="15"/>
      <c r="C2" s="15"/>
      <c r="D2" s="15"/>
    </row>
    <row r="3" spans="1:4" x14ac:dyDescent="0.25">
      <c r="A3" s="19" t="s">
        <v>2</v>
      </c>
      <c r="B3" s="15"/>
      <c r="C3" s="15"/>
      <c r="D3" s="15"/>
    </row>
    <row r="5" spans="1:4" x14ac:dyDescent="0.25">
      <c r="A5" s="1" t="s">
        <v>3</v>
      </c>
      <c r="B5" s="1" t="s">
        <v>4</v>
      </c>
      <c r="C5" s="1" t="s">
        <v>5</v>
      </c>
      <c r="D5" s="1" t="s">
        <v>6</v>
      </c>
    </row>
    <row r="6" spans="1:4" x14ac:dyDescent="0.25">
      <c r="A6" s="2" t="s">
        <v>7</v>
      </c>
      <c r="B6" s="3" t="s">
        <v>8</v>
      </c>
      <c r="C6" s="3" t="s">
        <v>9</v>
      </c>
      <c r="D6" s="3" t="s">
        <v>10</v>
      </c>
    </row>
    <row r="7" spans="1:4" ht="30" x14ac:dyDescent="0.25">
      <c r="A7" s="2" t="s">
        <v>11</v>
      </c>
      <c r="B7" s="3" t="s">
        <v>12</v>
      </c>
      <c r="C7" s="3" t="s">
        <v>13</v>
      </c>
      <c r="D7" s="3" t="s">
        <v>14</v>
      </c>
    </row>
    <row r="8" spans="1:4" ht="30" x14ac:dyDescent="0.25">
      <c r="A8" s="2" t="s">
        <v>15</v>
      </c>
      <c r="B8" s="3" t="s">
        <v>16</v>
      </c>
      <c r="C8" s="3" t="s">
        <v>17</v>
      </c>
      <c r="D8" s="3" t="s">
        <v>18</v>
      </c>
    </row>
    <row r="9" spans="1:4" x14ac:dyDescent="0.25">
      <c r="A9" s="2" t="s">
        <v>19</v>
      </c>
      <c r="B9" s="3" t="s">
        <v>20</v>
      </c>
      <c r="C9" s="3" t="s">
        <v>17</v>
      </c>
      <c r="D9" s="3" t="s">
        <v>21</v>
      </c>
    </row>
    <row r="10" spans="1:4" x14ac:dyDescent="0.25">
      <c r="A10" s="2" t="s">
        <v>22</v>
      </c>
      <c r="B10" s="3" t="s">
        <v>23</v>
      </c>
      <c r="C10" s="3" t="s">
        <v>17</v>
      </c>
      <c r="D10" s="3" t="s">
        <v>24</v>
      </c>
    </row>
    <row r="11" spans="1:4" x14ac:dyDescent="0.25">
      <c r="A11" s="2" t="s">
        <v>25</v>
      </c>
      <c r="B11" s="3" t="s">
        <v>26</v>
      </c>
      <c r="C11" s="3" t="s">
        <v>17</v>
      </c>
      <c r="D11" s="3" t="s">
        <v>27</v>
      </c>
    </row>
    <row r="12" spans="1:4" ht="30" x14ac:dyDescent="0.25">
      <c r="A12" s="2" t="s">
        <v>28</v>
      </c>
      <c r="B12" s="3" t="s">
        <v>29</v>
      </c>
      <c r="C12" s="3" t="s">
        <v>30</v>
      </c>
      <c r="D12" s="3" t="s">
        <v>31</v>
      </c>
    </row>
    <row r="13" spans="1:4" x14ac:dyDescent="0.25">
      <c r="A13" s="2" t="s">
        <v>32</v>
      </c>
      <c r="B13" s="3" t="s">
        <v>33</v>
      </c>
      <c r="C13" s="3" t="s">
        <v>17</v>
      </c>
      <c r="D13" s="3" t="s">
        <v>34</v>
      </c>
    </row>
    <row r="14" spans="1:4" x14ac:dyDescent="0.25">
      <c r="A14" s="2" t="s">
        <v>35</v>
      </c>
      <c r="B14" s="3" t="s">
        <v>36</v>
      </c>
      <c r="C14" s="3" t="s">
        <v>37</v>
      </c>
      <c r="D14" s="3" t="s">
        <v>38</v>
      </c>
    </row>
    <row r="15" spans="1:4" x14ac:dyDescent="0.25">
      <c r="A15" s="2" t="s">
        <v>39</v>
      </c>
      <c r="B15" s="3" t="s">
        <v>40</v>
      </c>
      <c r="C15" s="3" t="s">
        <v>17</v>
      </c>
      <c r="D15" s="3" t="s">
        <v>41</v>
      </c>
    </row>
    <row r="16" spans="1:4" x14ac:dyDescent="0.25">
      <c r="A16" s="2" t="s">
        <v>42</v>
      </c>
      <c r="B16" s="3" t="s">
        <v>43</v>
      </c>
      <c r="C16" s="3" t="s">
        <v>9</v>
      </c>
      <c r="D16" s="3" t="s">
        <v>44</v>
      </c>
    </row>
    <row r="17" spans="1:4" x14ac:dyDescent="0.25">
      <c r="A17" s="2" t="s">
        <v>45</v>
      </c>
      <c r="B17" s="3" t="s">
        <v>46</v>
      </c>
      <c r="C17" s="3" t="s">
        <v>17</v>
      </c>
      <c r="D17" s="3" t="s">
        <v>47</v>
      </c>
    </row>
    <row r="18" spans="1:4" ht="30" x14ac:dyDescent="0.25">
      <c r="A18" s="2" t="s">
        <v>48</v>
      </c>
      <c r="B18" s="3" t="s">
        <v>49</v>
      </c>
      <c r="C18" s="3" t="s">
        <v>17</v>
      </c>
      <c r="D18" s="3" t="s">
        <v>50</v>
      </c>
    </row>
    <row r="21" spans="1:4" x14ac:dyDescent="0.25">
      <c r="A21" s="20" t="s">
        <v>51</v>
      </c>
      <c r="B21" s="15"/>
      <c r="C21" s="15"/>
      <c r="D21" s="15"/>
    </row>
    <row r="22" spans="1:4" x14ac:dyDescent="0.25">
      <c r="A22" s="15" t="s">
        <v>52</v>
      </c>
      <c r="B22" s="15"/>
      <c r="C22" s="15"/>
      <c r="D22" s="15"/>
    </row>
    <row r="23" spans="1:4" x14ac:dyDescent="0.25">
      <c r="A23" s="15" t="s">
        <v>53</v>
      </c>
      <c r="B23" s="15"/>
      <c r="C23" s="15"/>
      <c r="D23" s="15"/>
    </row>
    <row r="24" spans="1:4" x14ac:dyDescent="0.25">
      <c r="A24" s="15" t="s">
        <v>54</v>
      </c>
      <c r="B24" s="15"/>
      <c r="C24" s="15"/>
      <c r="D24" s="15"/>
    </row>
    <row r="25" spans="1:4" x14ac:dyDescent="0.25">
      <c r="A25" s="15" t="s">
        <v>55</v>
      </c>
      <c r="B25" s="15"/>
      <c r="C25" s="15"/>
      <c r="D25" s="15"/>
    </row>
    <row r="26" spans="1:4" x14ac:dyDescent="0.25">
      <c r="A26" s="15" t="s">
        <v>56</v>
      </c>
      <c r="B26" s="15"/>
      <c r="C26" s="15"/>
      <c r="D26" s="15"/>
    </row>
    <row r="27" spans="1:4" x14ac:dyDescent="0.25">
      <c r="A27" s="15" t="s">
        <v>57</v>
      </c>
      <c r="B27" s="15"/>
      <c r="C27" s="15"/>
      <c r="D27" s="15"/>
    </row>
    <row r="28" spans="1:4" x14ac:dyDescent="0.25">
      <c r="A28" s="15" t="s">
        <v>58</v>
      </c>
      <c r="B28" s="15"/>
      <c r="C28" s="15"/>
      <c r="D28" s="15"/>
    </row>
    <row r="29" spans="1:4" x14ac:dyDescent="0.25">
      <c r="A29" s="15" t="s">
        <v>59</v>
      </c>
      <c r="B29" s="15"/>
      <c r="C29" s="15"/>
      <c r="D29" s="15"/>
    </row>
    <row r="31" spans="1:4" x14ac:dyDescent="0.25">
      <c r="A31" s="17" t="s">
        <v>60</v>
      </c>
      <c r="B31" s="15"/>
      <c r="C31" s="15"/>
      <c r="D31" s="15"/>
    </row>
    <row r="32" spans="1:4" x14ac:dyDescent="0.25">
      <c r="A32" s="16" t="s">
        <v>61</v>
      </c>
      <c r="B32" s="15"/>
      <c r="C32" s="15"/>
      <c r="D32" s="15"/>
    </row>
    <row r="33" spans="1:4" x14ac:dyDescent="0.25">
      <c r="A33" s="16" t="s">
        <v>62</v>
      </c>
      <c r="B33" s="15"/>
      <c r="C33" s="15"/>
      <c r="D33" s="15"/>
    </row>
    <row r="34" spans="1:4" x14ac:dyDescent="0.25">
      <c r="A34" s="16" t="s">
        <v>63</v>
      </c>
      <c r="B34" s="15"/>
      <c r="C34" s="15"/>
      <c r="D34" s="15"/>
    </row>
    <row r="35" spans="1:4" x14ac:dyDescent="0.25">
      <c r="A35" s="16" t="s">
        <v>64</v>
      </c>
      <c r="B35" s="15"/>
      <c r="C35" s="15"/>
      <c r="D35" s="15"/>
    </row>
    <row r="36" spans="1:4" x14ac:dyDescent="0.25">
      <c r="A36" s="16" t="s">
        <v>65</v>
      </c>
      <c r="B36" s="15"/>
      <c r="C36" s="15"/>
      <c r="D36" s="15"/>
    </row>
    <row r="37" spans="1:4" x14ac:dyDescent="0.25">
      <c r="A37" s="16" t="s">
        <v>66</v>
      </c>
      <c r="B37" s="15"/>
      <c r="C37" s="15"/>
      <c r="D37" s="15"/>
    </row>
    <row r="38" spans="1:4" x14ac:dyDescent="0.25">
      <c r="A38" s="16" t="s">
        <v>67</v>
      </c>
      <c r="B38" s="15"/>
      <c r="C38" s="15"/>
      <c r="D38" s="15"/>
    </row>
  </sheetData>
  <mergeCells count="20">
    <mergeCell ref="A1:D1"/>
    <mergeCell ref="A25:D25"/>
    <mergeCell ref="A37:D37"/>
    <mergeCell ref="A27:D27"/>
    <mergeCell ref="A3:D3"/>
    <mergeCell ref="A21:D21"/>
    <mergeCell ref="A26:D26"/>
    <mergeCell ref="A2:D2"/>
    <mergeCell ref="A33:D33"/>
    <mergeCell ref="A32:D32"/>
    <mergeCell ref="A23:D23"/>
    <mergeCell ref="A22:D22"/>
    <mergeCell ref="A35:D35"/>
    <mergeCell ref="A38:D38"/>
    <mergeCell ref="A29:D29"/>
    <mergeCell ref="A28:D28"/>
    <mergeCell ref="A31:D31"/>
    <mergeCell ref="A34:D34"/>
    <mergeCell ref="A24:D24"/>
    <mergeCell ref="A36:D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/>
  </sheetViews>
  <sheetFormatPr baseColWidth="10" defaultColWidth="9.140625" defaultRowHeight="15" x14ac:dyDescent="0.25"/>
  <cols>
    <col min="1" max="10" width="16" customWidth="1"/>
  </cols>
  <sheetData>
    <row r="1" spans="1:10" ht="18" x14ac:dyDescent="0.25">
      <c r="A1" s="23" t="s">
        <v>68</v>
      </c>
      <c r="B1" s="15"/>
      <c r="C1" s="15"/>
      <c r="D1" s="15"/>
      <c r="E1" s="15"/>
      <c r="F1" s="15"/>
      <c r="G1" s="15"/>
      <c r="H1" s="15"/>
    </row>
    <row r="2" spans="1:10" x14ac:dyDescent="0.25">
      <c r="A2" s="4" t="s">
        <v>69</v>
      </c>
      <c r="B2" t="s">
        <v>70</v>
      </c>
      <c r="E2" s="4" t="s">
        <v>71</v>
      </c>
      <c r="F2" t="s">
        <v>72</v>
      </c>
    </row>
    <row r="3" spans="1:10" x14ac:dyDescent="0.25">
      <c r="A3" s="4" t="s">
        <v>73</v>
      </c>
      <c r="B3" t="s">
        <v>74</v>
      </c>
      <c r="E3" s="4" t="s">
        <v>75</v>
      </c>
      <c r="F3" t="s">
        <v>76</v>
      </c>
    </row>
    <row r="4" spans="1:10" x14ac:dyDescent="0.25">
      <c r="A4" s="4" t="s">
        <v>77</v>
      </c>
      <c r="B4" t="s">
        <v>78</v>
      </c>
      <c r="E4" s="4"/>
    </row>
    <row r="6" spans="1:10" ht="30" x14ac:dyDescent="0.25">
      <c r="A6" s="5" t="s">
        <v>79</v>
      </c>
      <c r="B6" s="5" t="s">
        <v>80</v>
      </c>
      <c r="C6" s="5" t="s">
        <v>81</v>
      </c>
      <c r="D6" s="5" t="s">
        <v>82</v>
      </c>
      <c r="E6" s="5" t="s">
        <v>83</v>
      </c>
      <c r="F6" s="5" t="s">
        <v>84</v>
      </c>
      <c r="G6" s="5" t="s">
        <v>85</v>
      </c>
      <c r="H6" s="5" t="s">
        <v>86</v>
      </c>
      <c r="I6" s="5" t="s">
        <v>87</v>
      </c>
      <c r="J6" s="5" t="s">
        <v>88</v>
      </c>
    </row>
    <row r="7" spans="1:10" x14ac:dyDescent="0.25">
      <c r="A7" t="s">
        <v>89</v>
      </c>
      <c r="B7" s="6">
        <v>2850000000</v>
      </c>
      <c r="C7" s="6">
        <v>2650000000</v>
      </c>
      <c r="D7" s="6">
        <f t="shared" ref="D7:D14" si="0">B7-C7</f>
        <v>200000000</v>
      </c>
      <c r="E7" s="7">
        <f t="shared" ref="E7:E14" si="1">IF(C7=0,0,D7/C7)</f>
        <v>7.5471698113207544E-2</v>
      </c>
      <c r="F7" s="6">
        <v>2600000000</v>
      </c>
      <c r="G7" s="6">
        <f t="shared" ref="G7:G14" si="2">B7-F7</f>
        <v>250000000</v>
      </c>
      <c r="H7" s="7">
        <f t="shared" ref="H7:H14" si="3">IF(F7=0,0,G7/F7)</f>
        <v>9.6153846153846159E-2</v>
      </c>
      <c r="I7" t="str">
        <f t="shared" ref="I7:I14" si="4">IF(ABS(E7)&gt;0.5,"EXTREMO - Investigar",IF(ABS(E7)&gt;0.3,"ALTO - Justificar",IF(ABS(E7)&gt;0.15,"MODERADO","NORMAL")))</f>
        <v>NORMAL</v>
      </c>
      <c r="J7" t="str">
        <f t="shared" ref="J7:J14" si="5">IF(I7="EXTREMO*","CRÍTICO",IF(I7="ALTO*","ALTO","BAJO"))</f>
        <v>BAJO</v>
      </c>
    </row>
    <row r="8" spans="1:10" x14ac:dyDescent="0.25">
      <c r="A8" t="s">
        <v>90</v>
      </c>
      <c r="B8" s="6">
        <v>680000000</v>
      </c>
      <c r="C8" s="6">
        <v>420000000</v>
      </c>
      <c r="D8" s="6">
        <f t="shared" si="0"/>
        <v>260000000</v>
      </c>
      <c r="E8" s="7">
        <f t="shared" si="1"/>
        <v>0.61904761904761907</v>
      </c>
      <c r="F8" s="6">
        <v>450000000</v>
      </c>
      <c r="G8" s="6">
        <f t="shared" si="2"/>
        <v>230000000</v>
      </c>
      <c r="H8" s="7">
        <f t="shared" si="3"/>
        <v>0.51111111111111107</v>
      </c>
      <c r="I8" t="str">
        <f t="shared" si="4"/>
        <v>EXTREMO - Investigar</v>
      </c>
      <c r="J8" t="str">
        <f t="shared" si="5"/>
        <v>BAJO</v>
      </c>
    </row>
    <row r="9" spans="1:10" x14ac:dyDescent="0.25">
      <c r="A9" t="s">
        <v>91</v>
      </c>
      <c r="B9" s="6">
        <v>320000000</v>
      </c>
      <c r="C9" s="6">
        <v>315000000</v>
      </c>
      <c r="D9" s="6">
        <f t="shared" si="0"/>
        <v>5000000</v>
      </c>
      <c r="E9" s="7">
        <f t="shared" si="1"/>
        <v>1.5873015873015872E-2</v>
      </c>
      <c r="F9" s="6">
        <v>310000000</v>
      </c>
      <c r="G9" s="6">
        <f t="shared" si="2"/>
        <v>10000000</v>
      </c>
      <c r="H9" s="7">
        <f t="shared" si="3"/>
        <v>3.2258064516129031E-2</v>
      </c>
      <c r="I9" t="str">
        <f t="shared" si="4"/>
        <v>NORMAL</v>
      </c>
      <c r="J9" t="str">
        <f t="shared" si="5"/>
        <v>BAJO</v>
      </c>
    </row>
    <row r="10" spans="1:10" x14ac:dyDescent="0.25">
      <c r="A10" t="s">
        <v>92</v>
      </c>
      <c r="B10" s="6">
        <v>145000000</v>
      </c>
      <c r="C10" s="6">
        <v>138000000</v>
      </c>
      <c r="D10" s="6">
        <f t="shared" si="0"/>
        <v>7000000</v>
      </c>
      <c r="E10" s="7">
        <f t="shared" si="1"/>
        <v>5.0724637681159424E-2</v>
      </c>
      <c r="F10" s="6">
        <v>140000000</v>
      </c>
      <c r="G10" s="6">
        <f t="shared" si="2"/>
        <v>5000000</v>
      </c>
      <c r="H10" s="7">
        <f t="shared" si="3"/>
        <v>3.5714285714285712E-2</v>
      </c>
      <c r="I10" t="str">
        <f t="shared" si="4"/>
        <v>NORMAL</v>
      </c>
      <c r="J10" t="str">
        <f t="shared" si="5"/>
        <v>BAJO</v>
      </c>
    </row>
    <row r="11" spans="1:10" x14ac:dyDescent="0.25">
      <c r="A11" t="s">
        <v>93</v>
      </c>
      <c r="B11" s="6">
        <v>195000000</v>
      </c>
      <c r="C11" s="6">
        <v>180000000</v>
      </c>
      <c r="D11" s="6">
        <f t="shared" si="0"/>
        <v>15000000</v>
      </c>
      <c r="E11" s="7">
        <f t="shared" si="1"/>
        <v>8.3333333333333329E-2</v>
      </c>
      <c r="F11" s="6">
        <v>185000000</v>
      </c>
      <c r="G11" s="6">
        <f t="shared" si="2"/>
        <v>10000000</v>
      </c>
      <c r="H11" s="7">
        <f t="shared" si="3"/>
        <v>5.4054054054054057E-2</v>
      </c>
      <c r="I11" t="str">
        <f t="shared" si="4"/>
        <v>NORMAL</v>
      </c>
      <c r="J11" t="str">
        <f t="shared" si="5"/>
        <v>BAJO</v>
      </c>
    </row>
    <row r="12" spans="1:10" x14ac:dyDescent="0.25">
      <c r="A12" t="s">
        <v>94</v>
      </c>
      <c r="B12" s="6">
        <v>425000000</v>
      </c>
      <c r="C12" s="6">
        <v>380000000</v>
      </c>
      <c r="D12" s="6">
        <f t="shared" si="0"/>
        <v>45000000</v>
      </c>
      <c r="E12" s="7">
        <f t="shared" si="1"/>
        <v>0.11842105263157894</v>
      </c>
      <c r="F12" s="6">
        <v>390000000</v>
      </c>
      <c r="G12" s="6">
        <f t="shared" si="2"/>
        <v>35000000</v>
      </c>
      <c r="H12" s="7">
        <f t="shared" si="3"/>
        <v>8.9743589743589744E-2</v>
      </c>
      <c r="I12" t="str">
        <f t="shared" si="4"/>
        <v>NORMAL</v>
      </c>
      <c r="J12" t="str">
        <f t="shared" si="5"/>
        <v>BAJO</v>
      </c>
    </row>
    <row r="13" spans="1:10" x14ac:dyDescent="0.25">
      <c r="A13" t="s">
        <v>95</v>
      </c>
      <c r="B13" s="6">
        <v>520000000</v>
      </c>
      <c r="C13" s="6">
        <v>285000000</v>
      </c>
      <c r="D13" s="6">
        <f t="shared" si="0"/>
        <v>235000000</v>
      </c>
      <c r="E13" s="7">
        <f t="shared" si="1"/>
        <v>0.82456140350877194</v>
      </c>
      <c r="F13" s="6">
        <v>300000000</v>
      </c>
      <c r="G13" s="6">
        <f t="shared" si="2"/>
        <v>220000000</v>
      </c>
      <c r="H13" s="7">
        <f t="shared" si="3"/>
        <v>0.73333333333333328</v>
      </c>
      <c r="I13" t="str">
        <f t="shared" si="4"/>
        <v>EXTREMO - Investigar</v>
      </c>
      <c r="J13" t="str">
        <f t="shared" si="5"/>
        <v>BAJO</v>
      </c>
    </row>
    <row r="14" spans="1:10" x14ac:dyDescent="0.25">
      <c r="A14" t="s">
        <v>96</v>
      </c>
      <c r="B14" s="6">
        <v>380000000</v>
      </c>
      <c r="C14" s="6">
        <v>375000000</v>
      </c>
      <c r="D14" s="6">
        <f t="shared" si="0"/>
        <v>5000000</v>
      </c>
      <c r="E14" s="7">
        <f t="shared" si="1"/>
        <v>1.3333333333333334E-2</v>
      </c>
      <c r="F14" s="6">
        <v>370000000</v>
      </c>
      <c r="G14" s="6">
        <f t="shared" si="2"/>
        <v>10000000</v>
      </c>
      <c r="H14" s="7">
        <f t="shared" si="3"/>
        <v>2.7027027027027029E-2</v>
      </c>
      <c r="I14" t="str">
        <f t="shared" si="4"/>
        <v>NORMAL</v>
      </c>
      <c r="J14" t="str">
        <f t="shared" si="5"/>
        <v>BAJO</v>
      </c>
    </row>
    <row r="17" spans="1:4" x14ac:dyDescent="0.25">
      <c r="A17" s="22" t="s">
        <v>97</v>
      </c>
      <c r="B17" s="15"/>
      <c r="C17" s="15"/>
      <c r="D17" s="15"/>
    </row>
    <row r="18" spans="1:4" x14ac:dyDescent="0.25">
      <c r="A18" t="s">
        <v>98</v>
      </c>
      <c r="B18" s="8">
        <f>COUNTIF(J7:J14,"CRÍTICO")</f>
        <v>0</v>
      </c>
    </row>
    <row r="19" spans="1:4" x14ac:dyDescent="0.25">
      <c r="A19" t="s">
        <v>99</v>
      </c>
      <c r="B19">
        <f>COUNTIF(J7:J14,"ALTO")</f>
        <v>0</v>
      </c>
    </row>
    <row r="20" spans="1:4" x14ac:dyDescent="0.25">
      <c r="A20" t="s">
        <v>100</v>
      </c>
      <c r="B20" s="9">
        <f>SUM(B7:B14)</f>
        <v>5515000000</v>
      </c>
    </row>
    <row r="21" spans="1:4" x14ac:dyDescent="0.25">
      <c r="A21" t="s">
        <v>101</v>
      </c>
      <c r="B21" s="9">
        <f>SUM(D7:D14)</f>
        <v>772000000</v>
      </c>
    </row>
  </sheetData>
  <mergeCells count="2">
    <mergeCell ref="A17:D17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workbookViewId="0"/>
  </sheetViews>
  <sheetFormatPr baseColWidth="10" defaultColWidth="9.140625" defaultRowHeight="15" x14ac:dyDescent="0.25"/>
  <cols>
    <col min="1" max="11" width="18" customWidth="1"/>
  </cols>
  <sheetData>
    <row r="1" spans="1:11" ht="18" x14ac:dyDescent="0.25">
      <c r="A1" s="23" t="s">
        <v>102</v>
      </c>
      <c r="B1" s="15"/>
      <c r="C1" s="15"/>
      <c r="D1" s="15"/>
      <c r="E1" s="15"/>
      <c r="F1" s="15"/>
      <c r="G1" s="15"/>
      <c r="H1" s="15"/>
    </row>
    <row r="2" spans="1:11" x14ac:dyDescent="0.25">
      <c r="A2" s="4" t="s">
        <v>69</v>
      </c>
      <c r="B2" t="s">
        <v>70</v>
      </c>
      <c r="E2" s="4" t="s">
        <v>71</v>
      </c>
      <c r="F2" t="s">
        <v>72</v>
      </c>
    </row>
    <row r="3" spans="1:11" x14ac:dyDescent="0.25">
      <c r="A3" s="4" t="s">
        <v>73</v>
      </c>
      <c r="B3" t="s">
        <v>74</v>
      </c>
      <c r="E3" s="4" t="s">
        <v>75</v>
      </c>
      <c r="F3" t="s">
        <v>76</v>
      </c>
    </row>
    <row r="4" spans="1:11" x14ac:dyDescent="0.25">
      <c r="A4" s="4" t="s">
        <v>77</v>
      </c>
      <c r="B4" t="s">
        <v>103</v>
      </c>
      <c r="E4" s="4"/>
    </row>
    <row r="6" spans="1:11" ht="30" x14ac:dyDescent="0.25">
      <c r="A6" s="5" t="s">
        <v>104</v>
      </c>
      <c r="B6" s="5" t="s">
        <v>105</v>
      </c>
      <c r="C6" s="5" t="s">
        <v>106</v>
      </c>
      <c r="D6" s="5" t="s">
        <v>107</v>
      </c>
      <c r="E6" s="5" t="s">
        <v>108</v>
      </c>
      <c r="F6" s="5" t="s">
        <v>109</v>
      </c>
      <c r="G6" s="5" t="s">
        <v>110</v>
      </c>
      <c r="H6" s="5" t="s">
        <v>111</v>
      </c>
      <c r="I6" s="5" t="s">
        <v>112</v>
      </c>
      <c r="J6" s="5" t="s">
        <v>88</v>
      </c>
      <c r="K6" s="5" t="s">
        <v>113</v>
      </c>
    </row>
    <row r="7" spans="1:11" x14ac:dyDescent="0.25">
      <c r="A7" t="s">
        <v>114</v>
      </c>
      <c r="B7" s="10" t="s">
        <v>115</v>
      </c>
      <c r="C7" t="s">
        <v>116</v>
      </c>
      <c r="D7" t="s">
        <v>117</v>
      </c>
      <c r="E7" s="6">
        <v>85000000</v>
      </c>
      <c r="F7" t="s">
        <v>118</v>
      </c>
      <c r="G7" t="s">
        <v>119</v>
      </c>
      <c r="H7" t="s">
        <v>119</v>
      </c>
      <c r="I7" t="str">
        <f>IF(G7=H7,"SÍ",IF(G7="Sin autorización","NO - SIN AUTORIZACIÓN","NO - NIVEL INCORRECTO"))</f>
        <v>SÍ</v>
      </c>
      <c r="J7" t="str">
        <f>IF(I7="NO - SIN AUTORIZACIÓN","CRÍTICO",IF(I7="NO - NIVEL INCORRECTO","ALTO","BAJO"))</f>
        <v>BAJO</v>
      </c>
    </row>
    <row r="8" spans="1:11" x14ac:dyDescent="0.25">
      <c r="A8" t="s">
        <v>120</v>
      </c>
      <c r="B8" s="10" t="s">
        <v>121</v>
      </c>
      <c r="C8" t="s">
        <v>122</v>
      </c>
      <c r="D8" t="s">
        <v>123</v>
      </c>
      <c r="E8" s="6">
        <v>45000000</v>
      </c>
      <c r="F8" t="s">
        <v>124</v>
      </c>
      <c r="G8" t="s">
        <v>124</v>
      </c>
      <c r="H8" t="s">
        <v>119</v>
      </c>
      <c r="I8" t="str">
        <f>IF(G8=H8,"SÍ",IF(G8="Sin autorización","NO - SIN AUTORIZACIÓN","NO - NIVEL INCORRECTO"))</f>
        <v>NO - NIVEL INCORRECTO</v>
      </c>
      <c r="J8" t="str">
        <f>IF(I8="NO - SIN AUTORIZACIÓN","CRÍTICO",IF(I8="NO - NIVEL INCORRECTO","ALTO","BAJO"))</f>
        <v>ALTO</v>
      </c>
    </row>
    <row r="9" spans="1:11" x14ac:dyDescent="0.25">
      <c r="A9" t="s">
        <v>125</v>
      </c>
      <c r="B9" s="10" t="s">
        <v>126</v>
      </c>
      <c r="C9" t="s">
        <v>127</v>
      </c>
      <c r="D9" t="s">
        <v>128</v>
      </c>
      <c r="E9" s="6">
        <v>32000000</v>
      </c>
      <c r="F9" t="s">
        <v>129</v>
      </c>
      <c r="G9" t="s">
        <v>130</v>
      </c>
      <c r="H9" t="s">
        <v>130</v>
      </c>
      <c r="I9" t="str">
        <f>IF(G9=H9,"SÍ",IF(G9="Sin autorización","NO - SIN AUTORIZACIÓN","NO - NIVEL INCORRECTO"))</f>
        <v>SÍ</v>
      </c>
      <c r="J9" t="str">
        <f>IF(I9="NO - SIN AUTORIZACIÓN","CRÍTICO",IF(I9="NO - NIVEL INCORRECTO","ALTO","BAJO"))</f>
        <v>BAJO</v>
      </c>
    </row>
    <row r="10" spans="1:11" x14ac:dyDescent="0.25">
      <c r="A10" t="s">
        <v>131</v>
      </c>
      <c r="B10" s="10" t="s">
        <v>132</v>
      </c>
      <c r="C10" t="s">
        <v>133</v>
      </c>
      <c r="D10" t="s">
        <v>134</v>
      </c>
      <c r="E10" s="6">
        <v>120000000</v>
      </c>
      <c r="F10" t="s">
        <v>135</v>
      </c>
      <c r="G10" t="s">
        <v>136</v>
      </c>
      <c r="H10" t="s">
        <v>137</v>
      </c>
      <c r="I10" t="str">
        <f>IF(G10=H10,"SÍ",IF(G10="Sin autorización","NO - SIN AUTORIZACIÓN","NO - NIVEL INCORRECTO"))</f>
        <v>NO - SIN AUTORIZACIÓN</v>
      </c>
      <c r="J10" t="str">
        <f>IF(I10="NO - SIN AUTORIZACIÓN","CRÍTICO",IF(I10="NO - NIVEL INCORRECTO","ALTO","BAJO"))</f>
        <v>CRÍTICO</v>
      </c>
    </row>
    <row r="13" spans="1:11" x14ac:dyDescent="0.25">
      <c r="A13" s="24" t="s">
        <v>138</v>
      </c>
      <c r="B13" s="15"/>
      <c r="C13" s="15"/>
      <c r="D13" s="15"/>
    </row>
    <row r="14" spans="1:11" x14ac:dyDescent="0.25">
      <c r="A14" t="s">
        <v>139</v>
      </c>
      <c r="B14">
        <f>COUNTA(A7:A10)</f>
        <v>4</v>
      </c>
    </row>
    <row r="15" spans="1:11" x14ac:dyDescent="0.25">
      <c r="A15" t="s">
        <v>140</v>
      </c>
      <c r="B15" s="8">
        <f>COUNTIFS(I7:I10,"NO*")</f>
        <v>2</v>
      </c>
    </row>
    <row r="16" spans="1:11" x14ac:dyDescent="0.25">
      <c r="A16" t="s">
        <v>141</v>
      </c>
      <c r="B16" s="11">
        <f>SUMIF(I7:I10,"NO*",E7:E10)</f>
        <v>165000000</v>
      </c>
    </row>
  </sheetData>
  <mergeCells count="2">
    <mergeCell ref="A13:D13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workbookViewId="0"/>
  </sheetViews>
  <sheetFormatPr baseColWidth="10" defaultColWidth="9.140625" defaultRowHeight="15" x14ac:dyDescent="0.25"/>
  <cols>
    <col min="1" max="10" width="20" customWidth="1"/>
  </cols>
  <sheetData>
    <row r="1" spans="1:10" ht="18" x14ac:dyDescent="0.25">
      <c r="A1" s="23" t="s">
        <v>142</v>
      </c>
      <c r="B1" s="15"/>
      <c r="C1" s="15"/>
      <c r="D1" s="15"/>
      <c r="E1" s="15"/>
      <c r="F1" s="15"/>
      <c r="G1" s="15"/>
      <c r="H1" s="15"/>
    </row>
    <row r="2" spans="1:10" x14ac:dyDescent="0.25">
      <c r="A2" s="4" t="s">
        <v>69</v>
      </c>
      <c r="B2" t="s">
        <v>70</v>
      </c>
      <c r="E2" s="4" t="s">
        <v>71</v>
      </c>
      <c r="F2" t="s">
        <v>72</v>
      </c>
    </row>
    <row r="3" spans="1:10" x14ac:dyDescent="0.25">
      <c r="A3" s="4" t="s">
        <v>73</v>
      </c>
      <c r="B3" t="s">
        <v>74</v>
      </c>
      <c r="E3" s="4" t="s">
        <v>75</v>
      </c>
      <c r="F3" t="s">
        <v>76</v>
      </c>
    </row>
    <row r="4" spans="1:10" x14ac:dyDescent="0.25">
      <c r="A4" s="4" t="s">
        <v>77</v>
      </c>
      <c r="B4" t="s">
        <v>143</v>
      </c>
      <c r="E4" s="4"/>
    </row>
    <row r="6" spans="1:10" ht="30" x14ac:dyDescent="0.25">
      <c r="A6" s="5" t="s">
        <v>104</v>
      </c>
      <c r="B6" s="5" t="s">
        <v>105</v>
      </c>
      <c r="C6" s="5" t="s">
        <v>144</v>
      </c>
      <c r="D6" s="5" t="s">
        <v>106</v>
      </c>
      <c r="E6" s="5" t="s">
        <v>107</v>
      </c>
      <c r="F6" s="5" t="s">
        <v>108</v>
      </c>
      <c r="G6" s="5" t="s">
        <v>145</v>
      </c>
      <c r="H6" s="5" t="s">
        <v>146</v>
      </c>
      <c r="I6" s="5" t="s">
        <v>147</v>
      </c>
      <c r="J6" s="5" t="s">
        <v>148</v>
      </c>
    </row>
    <row r="7" spans="1:10" x14ac:dyDescent="0.25">
      <c r="A7" t="s">
        <v>114</v>
      </c>
      <c r="B7" s="10" t="s">
        <v>149</v>
      </c>
      <c r="C7" t="s">
        <v>150</v>
      </c>
      <c r="D7" t="s">
        <v>151</v>
      </c>
      <c r="E7" t="s">
        <v>152</v>
      </c>
      <c r="F7" s="6">
        <v>850000</v>
      </c>
      <c r="G7" t="s">
        <v>153</v>
      </c>
      <c r="H7" t="s">
        <v>154</v>
      </c>
      <c r="I7" t="str">
        <f>IF(F7&gt;1000000,"ALTO - Valor significativo","MEDIO - Verificar")</f>
        <v>MEDIO - Verificar</v>
      </c>
      <c r="J7" t="s">
        <v>155</v>
      </c>
    </row>
    <row r="8" spans="1:10" x14ac:dyDescent="0.25">
      <c r="A8" t="s">
        <v>120</v>
      </c>
      <c r="B8" s="10" t="s">
        <v>156</v>
      </c>
      <c r="C8" t="s">
        <v>157</v>
      </c>
      <c r="D8" t="s">
        <v>158</v>
      </c>
      <c r="E8" t="s">
        <v>159</v>
      </c>
      <c r="F8" s="6">
        <v>450000</v>
      </c>
      <c r="G8" t="s">
        <v>160</v>
      </c>
      <c r="H8" t="s">
        <v>161</v>
      </c>
      <c r="I8" t="str">
        <f>IF(F8&gt;1000000,"ALTO - Valor significativo","MEDIO - Verificar")</f>
        <v>MEDIO - Verificar</v>
      </c>
      <c r="J8" t="s">
        <v>155</v>
      </c>
    </row>
    <row r="9" spans="1:10" x14ac:dyDescent="0.25">
      <c r="A9" t="s">
        <v>125</v>
      </c>
      <c r="B9" s="10" t="s">
        <v>121</v>
      </c>
      <c r="C9" t="s">
        <v>162</v>
      </c>
      <c r="D9" t="s">
        <v>163</v>
      </c>
      <c r="E9" t="s">
        <v>164</v>
      </c>
      <c r="F9" s="6">
        <v>320000</v>
      </c>
      <c r="G9" t="s">
        <v>165</v>
      </c>
      <c r="H9" t="s">
        <v>166</v>
      </c>
      <c r="I9" t="str">
        <f>IF(F9&gt;1000000,"ALTO - Valor significativo","MEDIO - Verificar")</f>
        <v>MEDIO - Verificar</v>
      </c>
      <c r="J9" t="s">
        <v>155</v>
      </c>
    </row>
    <row r="10" spans="1:10" x14ac:dyDescent="0.25">
      <c r="A10" t="s">
        <v>131</v>
      </c>
      <c r="B10" s="10" t="s">
        <v>167</v>
      </c>
      <c r="C10" t="s">
        <v>168</v>
      </c>
      <c r="D10" t="s">
        <v>169</v>
      </c>
      <c r="E10" t="s">
        <v>170</v>
      </c>
      <c r="F10" s="6">
        <v>2800000</v>
      </c>
      <c r="G10" t="s">
        <v>119</v>
      </c>
      <c r="H10" t="s">
        <v>171</v>
      </c>
      <c r="I10" t="str">
        <f>IF(F10&gt;1000000,"ALTO - Valor significativo","MEDIO - Verificar")</f>
        <v>ALTO - Valor significativo</v>
      </c>
      <c r="J10" t="s">
        <v>155</v>
      </c>
    </row>
    <row r="13" spans="1:10" x14ac:dyDescent="0.25">
      <c r="A13" s="24" t="s">
        <v>172</v>
      </c>
      <c r="B13" s="15"/>
      <c r="C13" s="15"/>
      <c r="D13" s="15"/>
      <c r="E13" s="15"/>
    </row>
    <row r="14" spans="1:10" x14ac:dyDescent="0.25">
      <c r="A14" t="s">
        <v>173</v>
      </c>
      <c r="B14" s="4">
        <f>COUNTA(A7:A10)</f>
        <v>4</v>
      </c>
    </row>
    <row r="15" spans="1:10" x14ac:dyDescent="0.25">
      <c r="A15" t="s">
        <v>174</v>
      </c>
      <c r="B15" s="11">
        <f>SUM(F7:F10)</f>
        <v>4420000</v>
      </c>
    </row>
    <row r="17" spans="1:10" x14ac:dyDescent="0.25">
      <c r="A17" s="25" t="s">
        <v>175</v>
      </c>
      <c r="B17" s="15"/>
      <c r="C17" s="15"/>
      <c r="D17" s="15"/>
      <c r="E17" s="15"/>
      <c r="F17" s="15"/>
      <c r="G17" s="15"/>
      <c r="H17" s="15"/>
      <c r="I17" s="15"/>
      <c r="J17" s="15"/>
    </row>
    <row r="18" spans="1:10" x14ac:dyDescent="0.25">
      <c r="A18" s="16" t="s">
        <v>176</v>
      </c>
      <c r="B18" s="15"/>
      <c r="C18" s="15"/>
      <c r="D18" s="15"/>
      <c r="E18" s="15"/>
      <c r="F18" s="15"/>
      <c r="G18" s="15"/>
      <c r="H18" s="15"/>
      <c r="I18" s="15"/>
      <c r="J18" s="15"/>
    </row>
  </sheetData>
  <mergeCells count="4">
    <mergeCell ref="A17:J17"/>
    <mergeCell ref="A18:J18"/>
    <mergeCell ref="A13:E13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workbookViewId="0"/>
  </sheetViews>
  <sheetFormatPr baseColWidth="10" defaultColWidth="9.140625" defaultRowHeight="15" x14ac:dyDescent="0.25"/>
  <cols>
    <col min="1" max="11" width="18" customWidth="1"/>
  </cols>
  <sheetData>
    <row r="1" spans="1:11" ht="18" x14ac:dyDescent="0.25">
      <c r="A1" s="23" t="s">
        <v>177</v>
      </c>
      <c r="B1" s="15"/>
      <c r="C1" s="15"/>
      <c r="D1" s="15"/>
      <c r="E1" s="15"/>
      <c r="F1" s="15"/>
      <c r="G1" s="15"/>
      <c r="H1" s="15"/>
    </row>
    <row r="2" spans="1:11" x14ac:dyDescent="0.25">
      <c r="A2" s="4" t="s">
        <v>69</v>
      </c>
      <c r="B2" t="s">
        <v>70</v>
      </c>
      <c r="E2" s="4" t="s">
        <v>71</v>
      </c>
      <c r="F2" t="s">
        <v>72</v>
      </c>
    </row>
    <row r="3" spans="1:11" x14ac:dyDescent="0.25">
      <c r="A3" s="4" t="s">
        <v>73</v>
      </c>
      <c r="B3" t="s">
        <v>74</v>
      </c>
      <c r="E3" s="4" t="s">
        <v>75</v>
      </c>
      <c r="F3" t="s">
        <v>76</v>
      </c>
    </row>
    <row r="4" spans="1:11" x14ac:dyDescent="0.25">
      <c r="A4" s="4" t="s">
        <v>77</v>
      </c>
      <c r="B4" t="s">
        <v>178</v>
      </c>
      <c r="E4" s="4"/>
    </row>
    <row r="6" spans="1:11" ht="30" x14ac:dyDescent="0.25">
      <c r="A6" s="5" t="s">
        <v>104</v>
      </c>
      <c r="B6" s="5" t="s">
        <v>145</v>
      </c>
      <c r="C6" s="5" t="s">
        <v>179</v>
      </c>
      <c r="D6" s="5" t="s">
        <v>180</v>
      </c>
      <c r="E6" s="5" t="s">
        <v>181</v>
      </c>
      <c r="F6" s="5" t="s">
        <v>182</v>
      </c>
      <c r="G6" s="5" t="s">
        <v>183</v>
      </c>
      <c r="H6" s="5" t="s">
        <v>184</v>
      </c>
      <c r="I6" s="5" t="s">
        <v>185</v>
      </c>
      <c r="J6" s="5" t="s">
        <v>87</v>
      </c>
      <c r="K6" s="5" t="s">
        <v>88</v>
      </c>
    </row>
    <row r="7" spans="1:11" x14ac:dyDescent="0.25">
      <c r="A7" t="s">
        <v>114</v>
      </c>
      <c r="B7" t="s">
        <v>186</v>
      </c>
      <c r="C7" t="s">
        <v>153</v>
      </c>
      <c r="D7">
        <v>18</v>
      </c>
      <c r="E7" s="6">
        <v>52000000</v>
      </c>
      <c r="F7" s="6">
        <f>E7/D7</f>
        <v>2888888.888888889</v>
      </c>
      <c r="G7" s="6">
        <v>2500000</v>
      </c>
      <c r="H7" s="6">
        <f>F7-G7</f>
        <v>388888.88888888899</v>
      </c>
      <c r="I7" s="7">
        <f>IF(G7=0,0,H7/G7)</f>
        <v>0.15555555555555559</v>
      </c>
      <c r="J7" t="str">
        <f>IF(I7&gt;0.5,"CRÍTICO - Revisar justificación",IF(I7&gt;0.3,"ALTO - Analizar",IF(I7&gt;0.15,"MODERADO","NORMAL")))</f>
        <v>MODERADO</v>
      </c>
      <c r="K7" t="str">
        <f>IF(J7="CRÍTICO*","ALTO",IF(J7="ALTO*","MEDIO","BAJO"))</f>
        <v>BAJO</v>
      </c>
    </row>
    <row r="8" spans="1:11" x14ac:dyDescent="0.25">
      <c r="A8" t="s">
        <v>120</v>
      </c>
      <c r="B8" t="s">
        <v>187</v>
      </c>
      <c r="C8" t="s">
        <v>130</v>
      </c>
      <c r="D8">
        <v>12</v>
      </c>
      <c r="E8" s="6">
        <v>28000000</v>
      </c>
      <c r="F8" s="6">
        <f>E8/D8</f>
        <v>2333333.3333333335</v>
      </c>
      <c r="G8" s="6">
        <v>2500000</v>
      </c>
      <c r="H8" s="6">
        <f>F8-G8</f>
        <v>-166666.66666666651</v>
      </c>
      <c r="I8" s="7">
        <f>IF(G8=0,0,H8/G8)</f>
        <v>-6.666666666666661E-2</v>
      </c>
      <c r="J8" t="str">
        <f>IF(I8&gt;0.5,"CRÍTICO - Revisar justificación",IF(I8&gt;0.3,"ALTO - Analizar",IF(I8&gt;0.15,"MODERADO","NORMAL")))</f>
        <v>NORMAL</v>
      </c>
      <c r="K8" t="str">
        <f>IF(J8="CRÍTICO*","ALTO",IF(J8="ALTO*","MEDIO","BAJO"))</f>
        <v>BAJO</v>
      </c>
    </row>
    <row r="9" spans="1:11" x14ac:dyDescent="0.25">
      <c r="A9" t="s">
        <v>125</v>
      </c>
      <c r="B9" t="s">
        <v>188</v>
      </c>
      <c r="C9" t="s">
        <v>189</v>
      </c>
      <c r="D9">
        <v>8</v>
      </c>
      <c r="E9" s="6">
        <v>38000000</v>
      </c>
      <c r="F9" s="6">
        <f>E9/D9</f>
        <v>4750000</v>
      </c>
      <c r="G9" s="6">
        <v>2500000</v>
      </c>
      <c r="H9" s="6">
        <f>F9-G9</f>
        <v>2250000</v>
      </c>
      <c r="I9" s="7">
        <f>IF(G9=0,0,H9/G9)</f>
        <v>0.9</v>
      </c>
      <c r="J9" t="str">
        <f>IF(I9&gt;0.5,"CRÍTICO - Revisar justificación",IF(I9&gt;0.3,"ALTO - Analizar",IF(I9&gt;0.15,"MODERADO","NORMAL")))</f>
        <v>CRÍTICO - Revisar justificación</v>
      </c>
      <c r="K9" t="str">
        <f>IF(J9="CRÍTICO*","ALTO",IF(J9="ALTO*","MEDIO","BAJO"))</f>
        <v>BAJO</v>
      </c>
    </row>
    <row r="10" spans="1:11" x14ac:dyDescent="0.25">
      <c r="A10" t="s">
        <v>131</v>
      </c>
      <c r="B10" t="s">
        <v>190</v>
      </c>
      <c r="C10" t="s">
        <v>191</v>
      </c>
      <c r="D10">
        <v>22</v>
      </c>
      <c r="E10" s="6">
        <v>85000000</v>
      </c>
      <c r="F10" s="6">
        <f>E10/D10</f>
        <v>3863636.3636363638</v>
      </c>
      <c r="G10" s="6">
        <v>2500000</v>
      </c>
      <c r="H10" s="6">
        <f>F10-G10</f>
        <v>1363636.3636363638</v>
      </c>
      <c r="I10" s="7">
        <f>IF(G10=0,0,H10/G10)</f>
        <v>0.54545454545454553</v>
      </c>
      <c r="J10" t="str">
        <f>IF(I10&gt;0.5,"CRÍTICO - Revisar justificación",IF(I10&gt;0.3,"ALTO - Analizar",IF(I10&gt;0.15,"MODERADO","NORMAL")))</f>
        <v>CRÍTICO - Revisar justificación</v>
      </c>
      <c r="K10" t="str">
        <f>IF(J10="CRÍTICO*","ALTO",IF(J10="ALTO*","MEDIO","BAJO"))</f>
        <v>BAJO</v>
      </c>
    </row>
    <row r="13" spans="1:11" x14ac:dyDescent="0.25">
      <c r="A13" s="26" t="s">
        <v>192</v>
      </c>
      <c r="B13" s="15"/>
      <c r="C13" s="15"/>
      <c r="D13" s="15"/>
    </row>
    <row r="14" spans="1:11" x14ac:dyDescent="0.25">
      <c r="A14" t="s">
        <v>193</v>
      </c>
      <c r="B14">
        <f>COUNTA(A7:A10)</f>
        <v>4</v>
      </c>
    </row>
    <row r="15" spans="1:11" x14ac:dyDescent="0.25">
      <c r="A15" t="s">
        <v>194</v>
      </c>
      <c r="B15">
        <f>SUM(D7:D10)</f>
        <v>60</v>
      </c>
    </row>
    <row r="16" spans="1:11" x14ac:dyDescent="0.25">
      <c r="A16" t="s">
        <v>195</v>
      </c>
      <c r="B16" s="9">
        <f>SUM(E7:E10)</f>
        <v>203000000</v>
      </c>
    </row>
    <row r="17" spans="1:2" x14ac:dyDescent="0.25">
      <c r="A17" t="s">
        <v>196</v>
      </c>
      <c r="B17" s="12">
        <f>COUNTIF(K7:K10,"ALTO")</f>
        <v>0</v>
      </c>
    </row>
  </sheetData>
  <mergeCells count="2">
    <mergeCell ref="A13:D13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workbookViewId="0"/>
  </sheetViews>
  <sheetFormatPr baseColWidth="10" defaultColWidth="9.140625" defaultRowHeight="15" x14ac:dyDescent="0.25"/>
  <cols>
    <col min="1" max="11" width="18" customWidth="1"/>
  </cols>
  <sheetData>
    <row r="1" spans="1:11" ht="18" x14ac:dyDescent="0.25">
      <c r="A1" s="23" t="s">
        <v>197</v>
      </c>
      <c r="B1" s="15"/>
      <c r="C1" s="15"/>
      <c r="D1" s="15"/>
      <c r="E1" s="15"/>
      <c r="F1" s="15"/>
      <c r="G1" s="15"/>
      <c r="H1" s="15"/>
    </row>
    <row r="2" spans="1:11" x14ac:dyDescent="0.25">
      <c r="A2" s="4" t="s">
        <v>69</v>
      </c>
      <c r="B2" t="s">
        <v>70</v>
      </c>
      <c r="E2" s="4" t="s">
        <v>71</v>
      </c>
      <c r="F2" t="s">
        <v>72</v>
      </c>
    </row>
    <row r="3" spans="1:11" x14ac:dyDescent="0.25">
      <c r="A3" s="4" t="s">
        <v>73</v>
      </c>
      <c r="B3" t="s">
        <v>74</v>
      </c>
      <c r="E3" s="4" t="s">
        <v>75</v>
      </c>
      <c r="F3" t="s">
        <v>76</v>
      </c>
    </row>
    <row r="4" spans="1:11" x14ac:dyDescent="0.25">
      <c r="A4" s="4" t="s">
        <v>77</v>
      </c>
      <c r="B4" t="s">
        <v>198</v>
      </c>
      <c r="E4" s="4"/>
    </row>
    <row r="6" spans="1:11" ht="30" x14ac:dyDescent="0.25">
      <c r="A6" s="5" t="s">
        <v>104</v>
      </c>
      <c r="B6" s="5" t="s">
        <v>199</v>
      </c>
      <c r="C6" s="5" t="s">
        <v>200</v>
      </c>
      <c r="D6" s="5" t="s">
        <v>201</v>
      </c>
      <c r="E6" s="5" t="s">
        <v>108</v>
      </c>
      <c r="F6" s="5" t="s">
        <v>202</v>
      </c>
      <c r="G6" s="5" t="s">
        <v>203</v>
      </c>
      <c r="H6" s="5" t="s">
        <v>204</v>
      </c>
      <c r="I6" s="5" t="s">
        <v>205</v>
      </c>
      <c r="J6" s="5" t="s">
        <v>88</v>
      </c>
      <c r="K6" s="5" t="s">
        <v>113</v>
      </c>
    </row>
    <row r="7" spans="1:11" x14ac:dyDescent="0.25">
      <c r="A7" t="s">
        <v>114</v>
      </c>
      <c r="B7" t="s">
        <v>206</v>
      </c>
      <c r="C7" t="s">
        <v>207</v>
      </c>
      <c r="D7" t="s">
        <v>208</v>
      </c>
      <c r="E7" s="6">
        <v>85000000</v>
      </c>
      <c r="F7" t="s">
        <v>209</v>
      </c>
      <c r="G7" t="s">
        <v>210</v>
      </c>
      <c r="H7" t="s">
        <v>119</v>
      </c>
      <c r="I7" t="str">
        <f>IF(AND(F7="SÍ",H7&lt;&gt;"Sin aprobación"),"SÍ","NO")</f>
        <v>SÍ</v>
      </c>
      <c r="J7" t="str">
        <f>IF(I7="NO","ALTO - Posible servicio no recibido","BAJO")</f>
        <v>BAJO</v>
      </c>
    </row>
    <row r="8" spans="1:11" x14ac:dyDescent="0.25">
      <c r="A8" t="s">
        <v>120</v>
      </c>
      <c r="B8" t="s">
        <v>211</v>
      </c>
      <c r="C8" t="s">
        <v>212</v>
      </c>
      <c r="D8" t="s">
        <v>213</v>
      </c>
      <c r="E8" s="6">
        <v>15000000</v>
      </c>
      <c r="F8" t="s">
        <v>214</v>
      </c>
      <c r="G8" t="s">
        <v>215</v>
      </c>
      <c r="H8" t="s">
        <v>216</v>
      </c>
      <c r="I8" t="str">
        <f>IF(AND(F8="SÍ",H8&lt;&gt;"Sin aprobación"),"SÍ","NO")</f>
        <v>NO</v>
      </c>
      <c r="J8" t="str">
        <f>IF(I8="NO","ALTO - Posible servicio no recibido","BAJO")</f>
        <v>ALTO - Posible servicio no recibido</v>
      </c>
    </row>
    <row r="9" spans="1:11" x14ac:dyDescent="0.25">
      <c r="A9" t="s">
        <v>125</v>
      </c>
      <c r="B9" t="s">
        <v>217</v>
      </c>
      <c r="C9" t="s">
        <v>218</v>
      </c>
      <c r="D9" t="s">
        <v>219</v>
      </c>
      <c r="E9" s="6">
        <v>28000000</v>
      </c>
      <c r="F9" t="s">
        <v>209</v>
      </c>
      <c r="G9" t="s">
        <v>220</v>
      </c>
      <c r="H9" t="s">
        <v>221</v>
      </c>
      <c r="I9" t="str">
        <f>IF(AND(F9="SÍ",H9&lt;&gt;"Sin aprobación"),"SÍ","NO")</f>
        <v>SÍ</v>
      </c>
      <c r="J9" t="str">
        <f>IF(I9="NO","ALTO - Posible servicio no recibido","BAJO")</f>
        <v>BAJO</v>
      </c>
    </row>
    <row r="10" spans="1:11" x14ac:dyDescent="0.25">
      <c r="A10" t="s">
        <v>131</v>
      </c>
      <c r="B10" t="s">
        <v>222</v>
      </c>
      <c r="C10" t="s">
        <v>223</v>
      </c>
      <c r="D10" t="s">
        <v>224</v>
      </c>
      <c r="E10" s="6">
        <v>35000000</v>
      </c>
      <c r="F10" t="s">
        <v>214</v>
      </c>
      <c r="G10" t="s">
        <v>225</v>
      </c>
      <c r="H10" t="s">
        <v>130</v>
      </c>
      <c r="I10" t="str">
        <f>IF(AND(F10="SÍ",H10&lt;&gt;"Sin aprobación"),"SÍ","NO")</f>
        <v>NO</v>
      </c>
      <c r="J10" t="str">
        <f>IF(I10="NO","ALTO - Posible servicio no recibido","BAJO")</f>
        <v>ALTO - Posible servicio no recibido</v>
      </c>
    </row>
    <row r="13" spans="1:11" x14ac:dyDescent="0.25">
      <c r="A13" s="22" t="s">
        <v>226</v>
      </c>
      <c r="B13" s="15"/>
      <c r="C13" s="15"/>
      <c r="D13" s="15"/>
    </row>
    <row r="14" spans="1:11" x14ac:dyDescent="0.25">
      <c r="A14" t="s">
        <v>227</v>
      </c>
      <c r="B14">
        <f>COUNTA(A7:A10)</f>
        <v>4</v>
      </c>
    </row>
    <row r="15" spans="1:11" x14ac:dyDescent="0.25">
      <c r="A15" t="s">
        <v>228</v>
      </c>
      <c r="B15" s="12">
        <f>COUNTIF(I7:I10,"NO")</f>
        <v>2</v>
      </c>
    </row>
    <row r="16" spans="1:11" x14ac:dyDescent="0.25">
      <c r="A16" t="s">
        <v>229</v>
      </c>
      <c r="B16" s="13">
        <f>SUMIF(I7:I10,"NO",E7:E10)</f>
        <v>50000000</v>
      </c>
    </row>
  </sheetData>
  <mergeCells count="2">
    <mergeCell ref="A13:D13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/>
  </sheetViews>
  <sheetFormatPr baseColWidth="10" defaultColWidth="9.140625" defaultRowHeight="15" x14ac:dyDescent="0.25"/>
  <cols>
    <col min="1" max="10" width="18" customWidth="1"/>
  </cols>
  <sheetData>
    <row r="1" spans="1:10" ht="18" x14ac:dyDescent="0.25">
      <c r="A1" s="23" t="s">
        <v>230</v>
      </c>
      <c r="B1" s="15"/>
      <c r="C1" s="15"/>
      <c r="D1" s="15"/>
      <c r="E1" s="15"/>
      <c r="F1" s="15"/>
      <c r="G1" s="15"/>
      <c r="H1" s="15"/>
    </row>
    <row r="2" spans="1:10" x14ac:dyDescent="0.25">
      <c r="A2" s="4" t="s">
        <v>69</v>
      </c>
      <c r="B2" t="s">
        <v>70</v>
      </c>
      <c r="E2" s="4" t="s">
        <v>71</v>
      </c>
      <c r="F2" t="s">
        <v>72</v>
      </c>
    </row>
    <row r="3" spans="1:10" x14ac:dyDescent="0.25">
      <c r="A3" s="4" t="s">
        <v>73</v>
      </c>
      <c r="B3" t="s">
        <v>74</v>
      </c>
      <c r="E3" s="4" t="s">
        <v>75</v>
      </c>
      <c r="F3" t="s">
        <v>76</v>
      </c>
    </row>
    <row r="4" spans="1:10" x14ac:dyDescent="0.25">
      <c r="A4" s="4" t="s">
        <v>77</v>
      </c>
      <c r="B4" t="s">
        <v>231</v>
      </c>
      <c r="E4" s="4"/>
    </row>
    <row r="6" spans="1:10" ht="30" x14ac:dyDescent="0.25">
      <c r="A6" s="5" t="s">
        <v>104</v>
      </c>
      <c r="B6" s="5" t="s">
        <v>105</v>
      </c>
      <c r="C6" s="5" t="s">
        <v>232</v>
      </c>
      <c r="D6" s="5" t="s">
        <v>233</v>
      </c>
      <c r="E6" s="5" t="s">
        <v>234</v>
      </c>
      <c r="F6" s="5" t="s">
        <v>108</v>
      </c>
      <c r="G6" s="5" t="s">
        <v>106</v>
      </c>
      <c r="H6" s="5" t="s">
        <v>235</v>
      </c>
      <c r="I6" s="5" t="s">
        <v>236</v>
      </c>
      <c r="J6" s="5" t="s">
        <v>88</v>
      </c>
    </row>
    <row r="7" spans="1:10" x14ac:dyDescent="0.25">
      <c r="A7" t="s">
        <v>114</v>
      </c>
      <c r="B7" s="10" t="s">
        <v>121</v>
      </c>
      <c r="C7" t="s">
        <v>237</v>
      </c>
      <c r="D7" t="s">
        <v>238</v>
      </c>
      <c r="E7" t="s">
        <v>239</v>
      </c>
      <c r="F7" s="6">
        <v>45000000</v>
      </c>
      <c r="G7" t="s">
        <v>240</v>
      </c>
      <c r="H7" t="s">
        <v>160</v>
      </c>
      <c r="I7" t="s">
        <v>214</v>
      </c>
      <c r="J7" t="str">
        <f>IF(H7="Sin aprobación","CRÍTICO",IF(I7="NO","ALTO","MEDIO"))</f>
        <v>ALTO</v>
      </c>
    </row>
    <row r="8" spans="1:10" x14ac:dyDescent="0.25">
      <c r="A8" t="s">
        <v>120</v>
      </c>
      <c r="B8" s="10" t="s">
        <v>126</v>
      </c>
      <c r="C8" t="s">
        <v>241</v>
      </c>
      <c r="D8" t="s">
        <v>242</v>
      </c>
      <c r="E8" t="s">
        <v>238</v>
      </c>
      <c r="F8" s="6">
        <v>28000000</v>
      </c>
      <c r="G8" t="s">
        <v>243</v>
      </c>
      <c r="H8" t="s">
        <v>244</v>
      </c>
      <c r="I8" t="s">
        <v>209</v>
      </c>
      <c r="J8" t="str">
        <f>IF(H8="Sin aprobación","CRÍTICO",IF(I8="NO","ALTO","MEDIO"))</f>
        <v>MEDIO</v>
      </c>
    </row>
    <row r="9" spans="1:10" x14ac:dyDescent="0.25">
      <c r="A9" t="s">
        <v>125</v>
      </c>
      <c r="B9" s="10" t="s">
        <v>245</v>
      </c>
      <c r="C9" t="s">
        <v>246</v>
      </c>
      <c r="D9" t="s">
        <v>239</v>
      </c>
      <c r="E9" t="s">
        <v>247</v>
      </c>
      <c r="F9" s="6">
        <v>85000000</v>
      </c>
      <c r="G9" t="s">
        <v>248</v>
      </c>
      <c r="H9" t="s">
        <v>216</v>
      </c>
      <c r="I9" t="s">
        <v>214</v>
      </c>
      <c r="J9" t="str">
        <f>IF(H9="Sin aprobación","CRÍTICO",IF(I9="NO","ALTO","MEDIO"))</f>
        <v>CRÍTICO</v>
      </c>
    </row>
    <row r="12" spans="1:10" x14ac:dyDescent="0.25">
      <c r="A12" s="24" t="s">
        <v>249</v>
      </c>
      <c r="B12" s="15"/>
      <c r="C12" s="15"/>
      <c r="D12" s="15"/>
    </row>
    <row r="13" spans="1:10" x14ac:dyDescent="0.25">
      <c r="A13" t="s">
        <v>250</v>
      </c>
      <c r="B13">
        <f>COUNTA(A7:A9)</f>
        <v>3</v>
      </c>
    </row>
    <row r="14" spans="1:10" x14ac:dyDescent="0.25">
      <c r="A14" t="s">
        <v>251</v>
      </c>
      <c r="B14" s="12">
        <f>COUNTIF(I7:I9,"NO")</f>
        <v>2</v>
      </c>
    </row>
    <row r="15" spans="1:10" x14ac:dyDescent="0.25">
      <c r="A15" t="s">
        <v>252</v>
      </c>
      <c r="B15" s="9">
        <f>SUM(F7:F9)</f>
        <v>158000000</v>
      </c>
    </row>
    <row r="17" spans="1:10" x14ac:dyDescent="0.25">
      <c r="A17" s="27" t="s">
        <v>253</v>
      </c>
      <c r="B17" s="15"/>
      <c r="C17" s="15"/>
      <c r="D17" s="15"/>
      <c r="E17" s="15"/>
      <c r="F17" s="15"/>
      <c r="G17" s="15"/>
      <c r="H17" s="15"/>
      <c r="I17" s="15"/>
      <c r="J17" s="15"/>
    </row>
  </sheetData>
  <mergeCells count="3">
    <mergeCell ref="A17:J17"/>
    <mergeCell ref="A12:D1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workbookViewId="0"/>
  </sheetViews>
  <sheetFormatPr baseColWidth="10" defaultColWidth="9.140625" defaultRowHeight="15" x14ac:dyDescent="0.25"/>
  <cols>
    <col min="1" max="11" width="16" customWidth="1"/>
  </cols>
  <sheetData>
    <row r="1" spans="1:11" ht="18" x14ac:dyDescent="0.25">
      <c r="A1" s="23" t="s">
        <v>254</v>
      </c>
      <c r="B1" s="15"/>
      <c r="C1" s="15"/>
      <c r="D1" s="15"/>
      <c r="E1" s="15"/>
      <c r="F1" s="15"/>
      <c r="G1" s="15"/>
      <c r="H1" s="15"/>
    </row>
    <row r="2" spans="1:11" x14ac:dyDescent="0.25">
      <c r="A2" s="4" t="s">
        <v>69</v>
      </c>
      <c r="B2" t="s">
        <v>70</v>
      </c>
      <c r="E2" s="4" t="s">
        <v>71</v>
      </c>
      <c r="F2" t="s">
        <v>72</v>
      </c>
    </row>
    <row r="3" spans="1:11" x14ac:dyDescent="0.25">
      <c r="A3" s="4" t="s">
        <v>73</v>
      </c>
      <c r="B3" t="s">
        <v>74</v>
      </c>
      <c r="E3" s="4" t="s">
        <v>75</v>
      </c>
      <c r="F3" t="s">
        <v>76</v>
      </c>
    </row>
    <row r="4" spans="1:11" x14ac:dyDescent="0.25">
      <c r="A4" s="4" t="s">
        <v>77</v>
      </c>
      <c r="B4" t="s">
        <v>255</v>
      </c>
      <c r="E4" s="4"/>
    </row>
    <row r="6" spans="1:11" ht="30" x14ac:dyDescent="0.25">
      <c r="A6" s="5" t="s">
        <v>104</v>
      </c>
      <c r="B6" s="5" t="s">
        <v>144</v>
      </c>
      <c r="C6" s="5" t="s">
        <v>256</v>
      </c>
      <c r="D6" s="5" t="s">
        <v>107</v>
      </c>
      <c r="E6" s="5" t="s">
        <v>106</v>
      </c>
      <c r="F6" s="5" t="s">
        <v>108</v>
      </c>
      <c r="G6" s="5" t="s">
        <v>257</v>
      </c>
      <c r="H6" s="5" t="s">
        <v>258</v>
      </c>
      <c r="I6" s="5" t="s">
        <v>259</v>
      </c>
      <c r="J6" s="5" t="s">
        <v>260</v>
      </c>
      <c r="K6" s="5" t="s">
        <v>261</v>
      </c>
    </row>
    <row r="7" spans="1:11" x14ac:dyDescent="0.25">
      <c r="A7" t="s">
        <v>114</v>
      </c>
      <c r="B7" t="s">
        <v>262</v>
      </c>
      <c r="C7" s="10" t="s">
        <v>245</v>
      </c>
      <c r="D7" t="s">
        <v>263</v>
      </c>
      <c r="E7" t="s">
        <v>264</v>
      </c>
      <c r="F7" s="6">
        <v>8500000</v>
      </c>
      <c r="G7" s="10" t="s">
        <v>265</v>
      </c>
      <c r="H7" s="10" t="s">
        <v>266</v>
      </c>
      <c r="I7" t="str">
        <f>IF(G7&lt;=DATE(2024,12,31),"2024","2025")</f>
        <v>2025</v>
      </c>
      <c r="J7" t="str">
        <f>IF(AND(I7="2024",H7&gt;DATE(2024,12,31)),"SÍ",IF(AND(I7="2025",H7&lt;=DATE(2024,12,31)),"SÍ","NO"))</f>
        <v>NO</v>
      </c>
      <c r="K7" s="6">
        <f>IF(J7="SÍ",F7,0)</f>
        <v>0</v>
      </c>
    </row>
    <row r="8" spans="1:11" x14ac:dyDescent="0.25">
      <c r="A8" t="s">
        <v>120</v>
      </c>
      <c r="B8" t="s">
        <v>267</v>
      </c>
      <c r="C8" s="10" t="s">
        <v>266</v>
      </c>
      <c r="D8" t="s">
        <v>268</v>
      </c>
      <c r="E8" t="s">
        <v>93</v>
      </c>
      <c r="F8" s="6">
        <v>12000000</v>
      </c>
      <c r="G8" s="10" t="s">
        <v>269</v>
      </c>
      <c r="H8" s="10" t="s">
        <v>269</v>
      </c>
      <c r="I8" t="str">
        <f>IF(G8&lt;=DATE(2024,12,31),"2024","2025")</f>
        <v>2025</v>
      </c>
      <c r="J8" t="str">
        <f>IF(AND(I8="2024",H8&gt;DATE(2024,12,31)),"SÍ",IF(AND(I8="2025",H8&lt;=DATE(2024,12,31)),"SÍ","NO"))</f>
        <v>NO</v>
      </c>
      <c r="K8" s="6">
        <f>IF(J8="SÍ",F8,0)</f>
        <v>0</v>
      </c>
    </row>
    <row r="9" spans="1:11" x14ac:dyDescent="0.25">
      <c r="A9" t="s">
        <v>125</v>
      </c>
      <c r="B9" t="s">
        <v>270</v>
      </c>
      <c r="C9" s="10" t="s">
        <v>269</v>
      </c>
      <c r="D9" t="s">
        <v>271</v>
      </c>
      <c r="E9" t="s">
        <v>272</v>
      </c>
      <c r="F9" s="6">
        <v>15000000</v>
      </c>
      <c r="G9" s="10" t="s">
        <v>273</v>
      </c>
      <c r="H9" s="10" t="s">
        <v>274</v>
      </c>
      <c r="I9" t="str">
        <f>IF(G9&lt;=DATE(2024,12,31),"2024","2025")</f>
        <v>2025</v>
      </c>
      <c r="J9" t="str">
        <f>IF(AND(I9="2024",H9&gt;DATE(2024,12,31)),"SÍ",IF(AND(I9="2025",H9&lt;=DATE(2024,12,31)),"SÍ","NO"))</f>
        <v>NO</v>
      </c>
      <c r="K9" s="6">
        <f>IF(J9="SÍ",F9,0)</f>
        <v>0</v>
      </c>
    </row>
    <row r="10" spans="1:11" x14ac:dyDescent="0.25">
      <c r="A10" t="s">
        <v>131</v>
      </c>
      <c r="B10" t="s">
        <v>275</v>
      </c>
      <c r="C10" s="10" t="s">
        <v>273</v>
      </c>
      <c r="D10" t="s">
        <v>276</v>
      </c>
      <c r="E10" t="s">
        <v>277</v>
      </c>
      <c r="F10" s="6">
        <v>9500000</v>
      </c>
      <c r="G10" s="10" t="s">
        <v>278</v>
      </c>
      <c r="H10" s="10" t="s">
        <v>279</v>
      </c>
      <c r="I10" t="str">
        <f>IF(G10&lt;=DATE(2024,12,31),"2024","2025")</f>
        <v>2025</v>
      </c>
      <c r="J10" t="str">
        <f>IF(AND(I10="2024",H10&gt;DATE(2024,12,31)),"SÍ",IF(AND(I10="2025",H10&lt;=DATE(2024,12,31)),"SÍ","NO"))</f>
        <v>NO</v>
      </c>
      <c r="K10" s="6">
        <f>IF(J10="SÍ",F10,0)</f>
        <v>0</v>
      </c>
    </row>
    <row r="13" spans="1:11" x14ac:dyDescent="0.25">
      <c r="A13" s="26" t="s">
        <v>280</v>
      </c>
      <c r="B13" s="15"/>
      <c r="C13" s="15"/>
      <c r="D13" s="15"/>
    </row>
    <row r="14" spans="1:11" x14ac:dyDescent="0.25">
      <c r="A14" t="s">
        <v>281</v>
      </c>
      <c r="B14">
        <f>COUNTA(A7:A10)</f>
        <v>4</v>
      </c>
    </row>
    <row r="15" spans="1:11" x14ac:dyDescent="0.25">
      <c r="A15" t="s">
        <v>282</v>
      </c>
      <c r="B15" s="12">
        <f>COUNTIF(J7:J10,"SÍ")</f>
        <v>0</v>
      </c>
    </row>
    <row r="16" spans="1:11" x14ac:dyDescent="0.25">
      <c r="A16" t="s">
        <v>283</v>
      </c>
      <c r="B16" s="9">
        <f>SUM(K7:K10)</f>
        <v>0</v>
      </c>
    </row>
  </sheetData>
  <mergeCells count="2">
    <mergeCell ref="A13:D13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/>
  </sheetViews>
  <sheetFormatPr baseColWidth="10" defaultColWidth="9.140625" defaultRowHeight="15" x14ac:dyDescent="0.25"/>
  <cols>
    <col min="1" max="10" width="18" customWidth="1"/>
  </cols>
  <sheetData>
    <row r="1" spans="1:10" ht="18" x14ac:dyDescent="0.25">
      <c r="A1" s="23" t="s">
        <v>284</v>
      </c>
      <c r="B1" s="15"/>
      <c r="C1" s="15"/>
      <c r="D1" s="15"/>
      <c r="E1" s="15"/>
      <c r="F1" s="15"/>
      <c r="G1" s="15"/>
      <c r="H1" s="15"/>
    </row>
    <row r="2" spans="1:10" x14ac:dyDescent="0.25">
      <c r="A2" s="4" t="s">
        <v>69</v>
      </c>
      <c r="B2" t="s">
        <v>70</v>
      </c>
      <c r="E2" s="4" t="s">
        <v>71</v>
      </c>
      <c r="F2" t="s">
        <v>72</v>
      </c>
    </row>
    <row r="3" spans="1:10" x14ac:dyDescent="0.25">
      <c r="A3" s="4" t="s">
        <v>73</v>
      </c>
      <c r="B3" t="s">
        <v>74</v>
      </c>
      <c r="E3" s="4" t="s">
        <v>75</v>
      </c>
      <c r="F3" t="s">
        <v>76</v>
      </c>
    </row>
    <row r="4" spans="1:10" x14ac:dyDescent="0.25">
      <c r="A4" s="4" t="s">
        <v>77</v>
      </c>
      <c r="B4" t="s">
        <v>285</v>
      </c>
      <c r="E4" s="4"/>
    </row>
    <row r="6" spans="1:10" ht="30" x14ac:dyDescent="0.25">
      <c r="A6" s="5" t="s">
        <v>104</v>
      </c>
      <c r="B6" s="5" t="s">
        <v>105</v>
      </c>
      <c r="C6" s="5" t="s">
        <v>286</v>
      </c>
      <c r="D6" s="5" t="s">
        <v>106</v>
      </c>
      <c r="E6" s="5" t="s">
        <v>108</v>
      </c>
      <c r="F6" s="5" t="s">
        <v>287</v>
      </c>
      <c r="G6" s="5" t="s">
        <v>235</v>
      </c>
      <c r="H6" s="5" t="s">
        <v>288</v>
      </c>
      <c r="I6" s="5" t="s">
        <v>87</v>
      </c>
      <c r="J6" s="5" t="s">
        <v>88</v>
      </c>
    </row>
    <row r="7" spans="1:10" x14ac:dyDescent="0.25">
      <c r="A7" t="s">
        <v>114</v>
      </c>
      <c r="B7" s="10" t="s">
        <v>115</v>
      </c>
      <c r="C7" t="s">
        <v>289</v>
      </c>
      <c r="D7" t="s">
        <v>290</v>
      </c>
      <c r="E7" s="6">
        <v>450000</v>
      </c>
      <c r="F7" t="s">
        <v>291</v>
      </c>
      <c r="G7" t="s">
        <v>292</v>
      </c>
      <c r="H7" t="s">
        <v>292</v>
      </c>
      <c r="I7" t="str">
        <f>IF(F7="Sin soporte","INADECUADO",IF(F7="Sin factura","DEFICIENTE",IF(F7="Sin documentos","CRÍTICO","ADECUADO")))</f>
        <v>ADECUADO</v>
      </c>
      <c r="J7" t="str">
        <f>IF(I7="CRÍTICO","ALTO",IF(OR(I7="INADECUADO",I7="DEFICIENTE"),"MEDIO","BAJO"))</f>
        <v>BAJO</v>
      </c>
    </row>
    <row r="8" spans="1:10" x14ac:dyDescent="0.25">
      <c r="A8" t="s">
        <v>120</v>
      </c>
      <c r="B8" s="10" t="s">
        <v>121</v>
      </c>
      <c r="C8" t="s">
        <v>293</v>
      </c>
      <c r="D8" t="s">
        <v>294</v>
      </c>
      <c r="E8" s="6">
        <v>850000</v>
      </c>
      <c r="F8" t="s">
        <v>295</v>
      </c>
      <c r="G8" t="s">
        <v>296</v>
      </c>
      <c r="H8" t="s">
        <v>296</v>
      </c>
      <c r="I8" t="str">
        <f>IF(F8="Sin soporte","INADECUADO",IF(F8="Sin factura","DEFICIENTE",IF(F8="Sin documentos","CRÍTICO","ADECUADO")))</f>
        <v>INADECUADO</v>
      </c>
      <c r="J8" t="str">
        <f>IF(I8="CRÍTICO","ALTO",IF(OR(I8="INADECUADO",I8="DEFICIENTE"),"MEDIO","BAJO"))</f>
        <v>MEDIO</v>
      </c>
    </row>
    <row r="9" spans="1:10" x14ac:dyDescent="0.25">
      <c r="A9" t="s">
        <v>125</v>
      </c>
      <c r="B9" s="10" t="s">
        <v>126</v>
      </c>
      <c r="C9" t="s">
        <v>297</v>
      </c>
      <c r="D9" t="s">
        <v>298</v>
      </c>
      <c r="E9" s="6">
        <v>1200000</v>
      </c>
      <c r="F9" t="s">
        <v>299</v>
      </c>
      <c r="G9" t="s">
        <v>292</v>
      </c>
      <c r="H9" t="s">
        <v>292</v>
      </c>
      <c r="I9" t="str">
        <f>IF(F9="Sin soporte","INADECUADO",IF(F9="Sin factura","DEFICIENTE",IF(F9="Sin documentos","CRÍTICO","ADECUADO")))</f>
        <v>DEFICIENTE</v>
      </c>
      <c r="J9" t="str">
        <f>IF(I9="CRÍTICO","ALTO",IF(OR(I9="INADECUADO",I9="DEFICIENTE"),"MEDIO","BAJO"))</f>
        <v>MEDIO</v>
      </c>
    </row>
    <row r="10" spans="1:10" x14ac:dyDescent="0.25">
      <c r="A10" t="s">
        <v>131</v>
      </c>
      <c r="B10" s="10" t="s">
        <v>132</v>
      </c>
      <c r="C10" t="s">
        <v>300</v>
      </c>
      <c r="D10" t="s">
        <v>297</v>
      </c>
      <c r="E10" s="6">
        <v>2500000</v>
      </c>
      <c r="F10" t="s">
        <v>301</v>
      </c>
      <c r="G10" t="s">
        <v>296</v>
      </c>
      <c r="H10" t="s">
        <v>296</v>
      </c>
      <c r="I10" t="str">
        <f>IF(F10="Sin soporte","INADECUADO",IF(F10="Sin factura","DEFICIENTE",IF(F10="Sin documentos","CRÍTICO","ADECUADO")))</f>
        <v>CRÍTICO</v>
      </c>
      <c r="J10" t="str">
        <f>IF(I10="CRÍTICO","ALTO",IF(OR(I10="INADECUADO",I10="DEFICIENTE"),"MEDIO","BAJO"))</f>
        <v>ALTO</v>
      </c>
    </row>
    <row r="13" spans="1:10" x14ac:dyDescent="0.25">
      <c r="A13" s="24" t="s">
        <v>302</v>
      </c>
      <c r="B13" s="15"/>
      <c r="C13" s="15"/>
      <c r="D13" s="15"/>
    </row>
    <row r="14" spans="1:10" x14ac:dyDescent="0.25">
      <c r="A14" t="s">
        <v>303</v>
      </c>
      <c r="B14">
        <f>COUNTA(A7:A10)</f>
        <v>4</v>
      </c>
    </row>
    <row r="15" spans="1:10" x14ac:dyDescent="0.25">
      <c r="A15" t="s">
        <v>304</v>
      </c>
      <c r="B15" s="8">
        <f>COUNTIFS(I7:I10,"&lt;&gt;ADECUADO")</f>
        <v>3</v>
      </c>
    </row>
    <row r="16" spans="1:10" x14ac:dyDescent="0.25">
      <c r="A16" t="s">
        <v>305</v>
      </c>
      <c r="B16" s="13">
        <f>SUMIF(I7:I10,"&lt;&gt;ADECUADO",E7:E10)</f>
        <v>4550000</v>
      </c>
    </row>
  </sheetData>
  <mergeCells count="2">
    <mergeCell ref="A13:D13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workbookViewId="0"/>
  </sheetViews>
  <sheetFormatPr baseColWidth="10" defaultColWidth="9.140625" defaultRowHeight="15" x14ac:dyDescent="0.25"/>
  <cols>
    <col min="1" max="11" width="18" customWidth="1"/>
  </cols>
  <sheetData>
    <row r="1" spans="1:11" ht="18" x14ac:dyDescent="0.25">
      <c r="A1" s="23" t="s">
        <v>306</v>
      </c>
      <c r="B1" s="15"/>
      <c r="C1" s="15"/>
      <c r="D1" s="15"/>
      <c r="E1" s="15"/>
      <c r="F1" s="15"/>
      <c r="G1" s="15"/>
      <c r="H1" s="15"/>
    </row>
    <row r="2" spans="1:11" x14ac:dyDescent="0.25">
      <c r="A2" s="4" t="s">
        <v>69</v>
      </c>
      <c r="B2" t="s">
        <v>70</v>
      </c>
      <c r="E2" s="4" t="s">
        <v>71</v>
      </c>
      <c r="F2" t="s">
        <v>72</v>
      </c>
    </row>
    <row r="3" spans="1:11" x14ac:dyDescent="0.25">
      <c r="A3" s="4" t="s">
        <v>73</v>
      </c>
      <c r="B3" t="s">
        <v>74</v>
      </c>
      <c r="E3" s="4" t="s">
        <v>75</v>
      </c>
      <c r="F3" t="s">
        <v>76</v>
      </c>
    </row>
    <row r="4" spans="1:11" x14ac:dyDescent="0.25">
      <c r="A4" s="4" t="s">
        <v>77</v>
      </c>
      <c r="B4" t="s">
        <v>307</v>
      </c>
      <c r="E4" s="4"/>
    </row>
    <row r="6" spans="1:11" ht="30" x14ac:dyDescent="0.25">
      <c r="A6" s="5" t="s">
        <v>104</v>
      </c>
      <c r="B6" s="5" t="s">
        <v>286</v>
      </c>
      <c r="C6" s="5" t="s">
        <v>308</v>
      </c>
      <c r="D6" s="5" t="s">
        <v>309</v>
      </c>
      <c r="E6" s="5" t="s">
        <v>106</v>
      </c>
      <c r="F6" s="5" t="s">
        <v>108</v>
      </c>
      <c r="G6" s="5" t="s">
        <v>310</v>
      </c>
      <c r="H6" s="5" t="s">
        <v>311</v>
      </c>
      <c r="I6" s="5" t="s">
        <v>312</v>
      </c>
      <c r="J6" s="5" t="s">
        <v>87</v>
      </c>
      <c r="K6" s="5" t="s">
        <v>88</v>
      </c>
    </row>
    <row r="7" spans="1:11" x14ac:dyDescent="0.25">
      <c r="A7" t="s">
        <v>114</v>
      </c>
      <c r="B7" t="s">
        <v>313</v>
      </c>
      <c r="C7" t="s">
        <v>314</v>
      </c>
      <c r="D7" t="s">
        <v>315</v>
      </c>
      <c r="E7" t="s">
        <v>316</v>
      </c>
      <c r="F7" s="6">
        <v>185000000</v>
      </c>
      <c r="G7" t="s">
        <v>209</v>
      </c>
      <c r="H7" t="s">
        <v>317</v>
      </c>
      <c r="I7" t="s">
        <v>318</v>
      </c>
      <c r="J7" t="str">
        <f>IF(AND(G7="SÍ",H7="Sin estudio"),"CRÍTICO - Riesgo fiscal alto",IF(G7="SÍ","ALTO - Revisar","NORMAL"))</f>
        <v>CRÍTICO - Riesgo fiscal alto</v>
      </c>
      <c r="K7" t="str">
        <f>IF(J7="CRÍTICO*","CRÍTICO",IF(J7="ALTO*","ALTO","BAJO"))</f>
        <v>BAJO</v>
      </c>
    </row>
    <row r="8" spans="1:11" x14ac:dyDescent="0.25">
      <c r="A8" t="s">
        <v>120</v>
      </c>
      <c r="B8" t="s">
        <v>319</v>
      </c>
      <c r="C8" t="s">
        <v>320</v>
      </c>
      <c r="D8" t="s">
        <v>321</v>
      </c>
      <c r="E8" t="s">
        <v>322</v>
      </c>
      <c r="F8" s="6">
        <v>95000000</v>
      </c>
      <c r="G8" t="s">
        <v>209</v>
      </c>
      <c r="H8" t="s">
        <v>323</v>
      </c>
      <c r="I8" t="s">
        <v>324</v>
      </c>
      <c r="J8" t="str">
        <f>IF(AND(G8="SÍ",H8="Sin estudio"),"CRÍTICO - Riesgo fiscal alto",IF(G8="SÍ","ALTO - Revisar","NORMAL"))</f>
        <v>ALTO - Revisar</v>
      </c>
      <c r="K8" t="str">
        <f>IF(J8="CRÍTICO*","CRÍTICO",IF(J8="ALTO*","ALTO","BAJO"))</f>
        <v>BAJO</v>
      </c>
    </row>
    <row r="9" spans="1:11" x14ac:dyDescent="0.25">
      <c r="A9" t="s">
        <v>125</v>
      </c>
      <c r="B9" t="s">
        <v>325</v>
      </c>
      <c r="C9" t="s">
        <v>326</v>
      </c>
      <c r="D9" t="s">
        <v>327</v>
      </c>
      <c r="E9" t="s">
        <v>264</v>
      </c>
      <c r="F9" s="6">
        <v>45000000</v>
      </c>
      <c r="G9" t="s">
        <v>214</v>
      </c>
      <c r="H9" t="s">
        <v>293</v>
      </c>
      <c r="I9" t="s">
        <v>291</v>
      </c>
      <c r="J9" t="str">
        <f>IF(AND(G9="SÍ",H9="Sin estudio"),"CRÍTICO - Riesgo fiscal alto",IF(G9="SÍ","ALTO - Revisar","NORMAL"))</f>
        <v>NORMAL</v>
      </c>
      <c r="K9" t="str">
        <f>IF(J9="CRÍTICO*","CRÍTICO",IF(J9="ALTO*","ALTO","BAJO"))</f>
        <v>BAJO</v>
      </c>
    </row>
    <row r="12" spans="1:11" x14ac:dyDescent="0.25">
      <c r="A12" s="24" t="s">
        <v>328</v>
      </c>
      <c r="B12" s="15"/>
      <c r="C12" s="15"/>
      <c r="D12" s="15"/>
    </row>
    <row r="13" spans="1:11" x14ac:dyDescent="0.25">
      <c r="A13" t="s">
        <v>329</v>
      </c>
      <c r="B13" s="8">
        <f>COUNTIF(G7:G9,"SÍ")</f>
        <v>2</v>
      </c>
    </row>
    <row r="14" spans="1:11" x14ac:dyDescent="0.25">
      <c r="A14" t="s">
        <v>330</v>
      </c>
      <c r="B14" s="11">
        <f>SUMIF(G7:G9,"SÍ",F7:F9)</f>
        <v>280000000</v>
      </c>
    </row>
    <row r="15" spans="1:11" x14ac:dyDescent="0.25">
      <c r="A15" t="s">
        <v>331</v>
      </c>
      <c r="B15">
        <f>COUNTIFS(G7:G9,"SÍ",H7:H9,"Sin*")</f>
        <v>2</v>
      </c>
    </row>
    <row r="17" spans="1:11" x14ac:dyDescent="0.25">
      <c r="A17" s="27" t="s">
        <v>332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</row>
  </sheetData>
  <mergeCells count="3">
    <mergeCell ref="A12:D12"/>
    <mergeCell ref="A17:K17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workbookViewId="0"/>
  </sheetViews>
  <sheetFormatPr baseColWidth="10" defaultColWidth="9.140625" defaultRowHeight="15" x14ac:dyDescent="0.25"/>
  <cols>
    <col min="1" max="10" width="18" customWidth="1"/>
  </cols>
  <sheetData>
    <row r="1" spans="1:10" ht="18" x14ac:dyDescent="0.25">
      <c r="A1" s="23" t="s">
        <v>333</v>
      </c>
      <c r="B1" s="15"/>
      <c r="C1" s="15"/>
      <c r="D1" s="15"/>
      <c r="E1" s="15"/>
      <c r="F1" s="15"/>
      <c r="G1" s="15"/>
      <c r="H1" s="15"/>
    </row>
    <row r="2" spans="1:10" x14ac:dyDescent="0.25">
      <c r="A2" s="4" t="s">
        <v>69</v>
      </c>
      <c r="B2" t="s">
        <v>70</v>
      </c>
      <c r="E2" s="4" t="s">
        <v>71</v>
      </c>
      <c r="F2" t="s">
        <v>72</v>
      </c>
    </row>
    <row r="3" spans="1:10" x14ac:dyDescent="0.25">
      <c r="A3" s="4" t="s">
        <v>73</v>
      </c>
      <c r="B3" t="s">
        <v>74</v>
      </c>
      <c r="E3" s="4" t="s">
        <v>75</v>
      </c>
      <c r="F3" t="s">
        <v>76</v>
      </c>
    </row>
    <row r="4" spans="1:10" x14ac:dyDescent="0.25">
      <c r="A4" s="4" t="s">
        <v>77</v>
      </c>
      <c r="B4" t="s">
        <v>334</v>
      </c>
      <c r="E4" s="4"/>
    </row>
    <row r="6" spans="1:10" ht="30" x14ac:dyDescent="0.25">
      <c r="A6" s="5" t="s">
        <v>104</v>
      </c>
      <c r="B6" s="5" t="s">
        <v>107</v>
      </c>
      <c r="C6" s="5" t="s">
        <v>106</v>
      </c>
      <c r="D6" s="5" t="s">
        <v>108</v>
      </c>
      <c r="E6" s="5" t="s">
        <v>335</v>
      </c>
      <c r="F6" s="5" t="s">
        <v>336</v>
      </c>
      <c r="G6" s="5" t="s">
        <v>337</v>
      </c>
      <c r="H6" s="5" t="s">
        <v>338</v>
      </c>
      <c r="I6" s="5" t="s">
        <v>148</v>
      </c>
      <c r="J6" s="5" t="s">
        <v>88</v>
      </c>
    </row>
    <row r="7" spans="1:10" x14ac:dyDescent="0.25">
      <c r="A7" t="s">
        <v>114</v>
      </c>
      <c r="B7" t="s">
        <v>339</v>
      </c>
      <c r="C7" t="s">
        <v>340</v>
      </c>
      <c r="D7" s="6">
        <v>28000000</v>
      </c>
      <c r="E7" s="10" t="s">
        <v>115</v>
      </c>
      <c r="F7" t="s">
        <v>341</v>
      </c>
      <c r="G7" t="s">
        <v>342</v>
      </c>
      <c r="H7" t="s">
        <v>209</v>
      </c>
      <c r="I7" t="str">
        <f>IF(H7="NO","Investigar + recuperar pago","N/A")</f>
        <v>N/A</v>
      </c>
      <c r="J7" t="str">
        <f>IF(H7="NO","ALTO - Posible fraude","BAJO")</f>
        <v>BAJO</v>
      </c>
    </row>
    <row r="8" spans="1:10" x14ac:dyDescent="0.25">
      <c r="A8" t="s">
        <v>120</v>
      </c>
      <c r="B8" t="s">
        <v>343</v>
      </c>
      <c r="C8" t="s">
        <v>344</v>
      </c>
      <c r="D8" s="6">
        <v>15000000</v>
      </c>
      <c r="E8" s="10" t="s">
        <v>121</v>
      </c>
      <c r="F8" t="s">
        <v>345</v>
      </c>
      <c r="G8" t="s">
        <v>346</v>
      </c>
      <c r="H8" t="s">
        <v>214</v>
      </c>
      <c r="I8" t="str">
        <f>IF(H8="NO","Investigar + recuperar pago","N/A")</f>
        <v>Investigar + recuperar pago</v>
      </c>
      <c r="J8" t="str">
        <f>IF(H8="NO","ALTO - Posible fraude","BAJO")</f>
        <v>ALTO - Posible fraude</v>
      </c>
    </row>
    <row r="9" spans="1:10" x14ac:dyDescent="0.25">
      <c r="A9" t="s">
        <v>125</v>
      </c>
      <c r="B9" t="s">
        <v>347</v>
      </c>
      <c r="C9" t="s">
        <v>348</v>
      </c>
      <c r="D9" s="6">
        <v>35000000</v>
      </c>
      <c r="E9" s="10" t="s">
        <v>126</v>
      </c>
      <c r="F9" t="s">
        <v>225</v>
      </c>
      <c r="G9" t="s">
        <v>346</v>
      </c>
      <c r="H9" t="s">
        <v>214</v>
      </c>
      <c r="I9" t="str">
        <f>IF(H9="NO","Investigar + recuperar pago","N/A")</f>
        <v>Investigar + recuperar pago</v>
      </c>
      <c r="J9" t="str">
        <f>IF(H9="NO","ALTO - Posible fraude","BAJO")</f>
        <v>ALTO - Posible fraude</v>
      </c>
    </row>
    <row r="12" spans="1:10" x14ac:dyDescent="0.25">
      <c r="A12" s="24" t="s">
        <v>349</v>
      </c>
      <c r="B12" s="15"/>
      <c r="C12" s="15"/>
      <c r="D12" s="15"/>
    </row>
    <row r="13" spans="1:10" x14ac:dyDescent="0.25">
      <c r="A13" t="s">
        <v>228</v>
      </c>
      <c r="B13" s="8">
        <f>COUNTIF(H7:H9,"NO")</f>
        <v>2</v>
      </c>
    </row>
    <row r="14" spans="1:10" x14ac:dyDescent="0.25">
      <c r="A14" t="s">
        <v>350</v>
      </c>
      <c r="B14" s="11">
        <f>SUMIF(H7:H9,"NO",D7:D9)</f>
        <v>50000000</v>
      </c>
    </row>
  </sheetData>
  <mergeCells count="2">
    <mergeCell ref="A12:D1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/>
  </sheetViews>
  <sheetFormatPr baseColWidth="10" defaultColWidth="9.140625" defaultRowHeight="15" x14ac:dyDescent="0.25"/>
  <cols>
    <col min="1" max="7" width="18" customWidth="1"/>
  </cols>
  <sheetData>
    <row r="1" spans="1:8" ht="18" x14ac:dyDescent="0.25">
      <c r="A1" s="23" t="s">
        <v>351</v>
      </c>
      <c r="B1" s="15"/>
      <c r="C1" s="15"/>
      <c r="D1" s="15"/>
      <c r="E1" s="15"/>
      <c r="F1" s="15"/>
      <c r="G1" s="15"/>
      <c r="H1" s="15"/>
    </row>
    <row r="2" spans="1:8" x14ac:dyDescent="0.25">
      <c r="A2" s="4" t="s">
        <v>69</v>
      </c>
      <c r="B2" t="s">
        <v>70</v>
      </c>
      <c r="E2" s="4" t="s">
        <v>71</v>
      </c>
      <c r="F2" t="s">
        <v>72</v>
      </c>
    </row>
    <row r="3" spans="1:8" x14ac:dyDescent="0.25">
      <c r="A3" s="4" t="s">
        <v>73</v>
      </c>
      <c r="B3" t="s">
        <v>74</v>
      </c>
      <c r="E3" s="4" t="s">
        <v>75</v>
      </c>
      <c r="F3" t="s">
        <v>76</v>
      </c>
    </row>
    <row r="4" spans="1:8" x14ac:dyDescent="0.25">
      <c r="A4" s="4" t="s">
        <v>77</v>
      </c>
      <c r="B4" t="s">
        <v>352</v>
      </c>
      <c r="E4" s="4"/>
    </row>
    <row r="5" spans="1:8" x14ac:dyDescent="0.25">
      <c r="A5" t="s">
        <v>353</v>
      </c>
      <c r="B5" s="9">
        <v>12500000000</v>
      </c>
      <c r="D5" s="9">
        <v>11800000000</v>
      </c>
    </row>
    <row r="6" spans="1:8" x14ac:dyDescent="0.25">
      <c r="A6" s="5" t="s">
        <v>79</v>
      </c>
      <c r="B6" s="5" t="s">
        <v>354</v>
      </c>
      <c r="C6" s="5" t="s">
        <v>355</v>
      </c>
      <c r="D6" s="5" t="s">
        <v>356</v>
      </c>
      <c r="E6" s="5" t="s">
        <v>355</v>
      </c>
      <c r="F6" s="5" t="s">
        <v>357</v>
      </c>
      <c r="G6" s="5" t="s">
        <v>87</v>
      </c>
    </row>
    <row r="7" spans="1:8" x14ac:dyDescent="0.25">
      <c r="A7" t="s">
        <v>89</v>
      </c>
      <c r="B7" s="6">
        <v>2850000000</v>
      </c>
      <c r="C7" s="14">
        <f>B7/$B$5</f>
        <v>0.22800000000000001</v>
      </c>
      <c r="D7" s="6">
        <v>2650000000</v>
      </c>
      <c r="E7" s="14">
        <f>D7/$D$5</f>
        <v>0.22457627118644069</v>
      </c>
      <c r="F7" s="14">
        <f>C7-E7</f>
        <v>3.423728813559318E-3</v>
      </c>
      <c r="G7" t="str">
        <f>IF(ABS(F7)&gt;0.03,"SIGNIFICATIVO",IF(ABS(F7)&gt;0.01,"MODERADO","NORMAL"))</f>
        <v>NORMAL</v>
      </c>
    </row>
    <row r="8" spans="1:8" x14ac:dyDescent="0.25">
      <c r="A8" t="s">
        <v>90</v>
      </c>
      <c r="B8" s="6">
        <v>680000000</v>
      </c>
      <c r="C8" s="14">
        <f>B8/$B$5</f>
        <v>5.4399999999999997E-2</v>
      </c>
      <c r="D8" s="6">
        <v>420000000</v>
      </c>
      <c r="E8" s="14">
        <f>D8/$D$5</f>
        <v>3.5593220338983052E-2</v>
      </c>
      <c r="F8" s="14">
        <f>C8-E8</f>
        <v>1.8806779661016945E-2</v>
      </c>
      <c r="G8" t="str">
        <f>IF(ABS(F8)&gt;0.03,"SIGNIFICATIVO",IF(ABS(F8)&gt;0.01,"MODERADO","NORMAL"))</f>
        <v>MODERADO</v>
      </c>
    </row>
    <row r="9" spans="1:8" x14ac:dyDescent="0.25">
      <c r="A9" t="s">
        <v>91</v>
      </c>
      <c r="B9" s="6">
        <v>320000000</v>
      </c>
      <c r="C9" s="14">
        <f>B9/$B$5</f>
        <v>2.5600000000000001E-2</v>
      </c>
      <c r="D9" s="6">
        <v>315000000</v>
      </c>
      <c r="E9" s="14">
        <f>D9/$D$5</f>
        <v>2.6694915254237287E-2</v>
      </c>
      <c r="F9" s="14">
        <f>C9-E9</f>
        <v>-1.0949152542372859E-3</v>
      </c>
      <c r="G9" t="str">
        <f>IF(ABS(F9)&gt;0.03,"SIGNIFICATIVO",IF(ABS(F9)&gt;0.01,"MODERADO","NORMAL"))</f>
        <v>NORMAL</v>
      </c>
    </row>
    <row r="10" spans="1:8" x14ac:dyDescent="0.25">
      <c r="A10" t="s">
        <v>92</v>
      </c>
      <c r="B10" s="6">
        <v>145000000</v>
      </c>
      <c r="C10" s="14">
        <f>B10/$B$5</f>
        <v>1.1599999999999999E-2</v>
      </c>
      <c r="D10" s="6">
        <v>138000000</v>
      </c>
      <c r="E10" s="14">
        <f>D10/$D$5</f>
        <v>1.1694915254237288E-2</v>
      </c>
      <c r="F10" s="14">
        <f>C10-E10</f>
        <v>-9.4915254237288443E-5</v>
      </c>
      <c r="G10" t="str">
        <f>IF(ABS(F10)&gt;0.03,"SIGNIFICATIVO",IF(ABS(F10)&gt;0.01,"MODERADO","NORMAL"))</f>
        <v>NORMAL</v>
      </c>
    </row>
    <row r="11" spans="1:8" x14ac:dyDescent="0.25">
      <c r="A11" t="s">
        <v>94</v>
      </c>
      <c r="B11" s="6">
        <v>425000000</v>
      </c>
      <c r="C11" s="14">
        <f>B11/$B$5</f>
        <v>3.4000000000000002E-2</v>
      </c>
      <c r="D11" s="6">
        <v>380000000</v>
      </c>
      <c r="E11" s="14">
        <f>D11/$D$5</f>
        <v>3.2203389830508473E-2</v>
      </c>
      <c r="F11" s="14">
        <f>C11-E11</f>
        <v>1.796610169491529E-3</v>
      </c>
      <c r="G11" t="str">
        <f>IF(ABS(F11)&gt;0.03,"SIGNIFICATIVO",IF(ABS(F11)&gt;0.01,"MODERADO","NORMAL"))</f>
        <v>NORMAL</v>
      </c>
    </row>
    <row r="14" spans="1:8" x14ac:dyDescent="0.25">
      <c r="A14" s="22" t="s">
        <v>358</v>
      </c>
      <c r="B14" s="15"/>
      <c r="C14" s="15"/>
    </row>
    <row r="15" spans="1:8" x14ac:dyDescent="0.25">
      <c r="A15" t="s">
        <v>359</v>
      </c>
      <c r="B15">
        <f>COUNTIF(G7:G11,"SIGNIFICATIVO")</f>
        <v>0</v>
      </c>
    </row>
  </sheetData>
  <mergeCells count="2">
    <mergeCell ref="A14:C14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/>
  </sheetViews>
  <sheetFormatPr baseColWidth="10" defaultColWidth="9.140625" defaultRowHeight="15" x14ac:dyDescent="0.25"/>
  <cols>
    <col min="1" max="11" width="18" customWidth="1"/>
  </cols>
  <sheetData>
    <row r="1" spans="1:11" ht="18" x14ac:dyDescent="0.25">
      <c r="A1" s="23" t="s">
        <v>360</v>
      </c>
      <c r="B1" s="15"/>
      <c r="C1" s="15"/>
      <c r="D1" s="15"/>
      <c r="E1" s="15"/>
      <c r="F1" s="15"/>
      <c r="G1" s="15"/>
      <c r="H1" s="15"/>
    </row>
    <row r="2" spans="1:11" x14ac:dyDescent="0.25">
      <c r="A2" s="4" t="s">
        <v>69</v>
      </c>
      <c r="B2" t="s">
        <v>70</v>
      </c>
      <c r="E2" s="4" t="s">
        <v>71</v>
      </c>
      <c r="F2" t="s">
        <v>72</v>
      </c>
    </row>
    <row r="3" spans="1:11" x14ac:dyDescent="0.25">
      <c r="A3" s="4" t="s">
        <v>73</v>
      </c>
      <c r="B3" t="s">
        <v>74</v>
      </c>
      <c r="E3" s="4" t="s">
        <v>75</v>
      </c>
      <c r="F3" t="s">
        <v>76</v>
      </c>
    </row>
    <row r="4" spans="1:11" x14ac:dyDescent="0.25">
      <c r="A4" s="4" t="s">
        <v>77</v>
      </c>
      <c r="B4" t="s">
        <v>361</v>
      </c>
      <c r="E4" s="4"/>
    </row>
    <row r="6" spans="1:11" ht="30" x14ac:dyDescent="0.25">
      <c r="A6" s="5" t="s">
        <v>104</v>
      </c>
      <c r="B6" s="5" t="s">
        <v>362</v>
      </c>
      <c r="C6" s="5" t="s">
        <v>363</v>
      </c>
      <c r="D6" s="5" t="s">
        <v>364</v>
      </c>
      <c r="E6" s="5" t="s">
        <v>365</v>
      </c>
      <c r="F6" s="5" t="s">
        <v>366</v>
      </c>
      <c r="G6" s="5" t="s">
        <v>367</v>
      </c>
      <c r="H6" s="5" t="s">
        <v>368</v>
      </c>
      <c r="I6" s="5" t="s">
        <v>369</v>
      </c>
      <c r="J6" s="5" t="s">
        <v>87</v>
      </c>
      <c r="K6" s="5" t="s">
        <v>88</v>
      </c>
    </row>
    <row r="7" spans="1:11" x14ac:dyDescent="0.25">
      <c r="A7" t="s">
        <v>114</v>
      </c>
      <c r="B7" t="s">
        <v>370</v>
      </c>
      <c r="C7" t="s">
        <v>207</v>
      </c>
      <c r="D7" t="s">
        <v>371</v>
      </c>
      <c r="E7" t="s">
        <v>207</v>
      </c>
      <c r="F7" t="s">
        <v>372</v>
      </c>
      <c r="G7" t="s">
        <v>373</v>
      </c>
      <c r="H7" t="s">
        <v>374</v>
      </c>
      <c r="I7" s="6">
        <v>85000000</v>
      </c>
      <c r="J7" t="str">
        <f>IF(OR(C7=E7,H7=H7),"DUPLICADO CONFIRMADO","VERIFICAR")</f>
        <v>DUPLICADO CONFIRMADO</v>
      </c>
      <c r="K7" t="str">
        <f>IF(J7="DUPLICADO CONFIRMADO","ALTO","MEDIO")</f>
        <v>ALTO</v>
      </c>
    </row>
    <row r="8" spans="1:11" x14ac:dyDescent="0.25">
      <c r="A8" t="s">
        <v>120</v>
      </c>
      <c r="B8" t="s">
        <v>375</v>
      </c>
      <c r="C8" t="s">
        <v>218</v>
      </c>
      <c r="D8" t="s">
        <v>376</v>
      </c>
      <c r="E8" t="s">
        <v>218</v>
      </c>
      <c r="F8" t="s">
        <v>372</v>
      </c>
      <c r="G8" t="s">
        <v>377</v>
      </c>
      <c r="H8" t="s">
        <v>374</v>
      </c>
      <c r="I8" s="6">
        <v>120000000</v>
      </c>
      <c r="J8" t="str">
        <f>IF(OR(C8=E8,H8=H8),"DUPLICADO CONFIRMADO","VERIFICAR")</f>
        <v>DUPLICADO CONFIRMADO</v>
      </c>
      <c r="K8" t="str">
        <f>IF(J8="DUPLICADO CONFIRMADO","ALTO","MEDIO")</f>
        <v>ALTO</v>
      </c>
    </row>
    <row r="11" spans="1:11" x14ac:dyDescent="0.25">
      <c r="A11" s="24" t="s">
        <v>378</v>
      </c>
      <c r="B11" s="15"/>
      <c r="C11" s="15"/>
      <c r="D11" s="15"/>
    </row>
    <row r="12" spans="1:11" x14ac:dyDescent="0.25">
      <c r="A12" t="s">
        <v>379</v>
      </c>
      <c r="B12" s="8">
        <f>COUNTIF(J7:J8,"DUPLICADO*")</f>
        <v>2</v>
      </c>
    </row>
    <row r="13" spans="1:11" x14ac:dyDescent="0.25">
      <c r="A13" t="s">
        <v>380</v>
      </c>
      <c r="B13" s="9">
        <f>SUMIF(J7:J8,"DUPLICADO*",I7:I8)</f>
        <v>205000000</v>
      </c>
    </row>
  </sheetData>
  <mergeCells count="2">
    <mergeCell ref="A11:D11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workbookViewId="0"/>
  </sheetViews>
  <sheetFormatPr baseColWidth="10" defaultColWidth="9.140625" defaultRowHeight="15" x14ac:dyDescent="0.25"/>
  <cols>
    <col min="1" max="10" width="18" customWidth="1"/>
  </cols>
  <sheetData>
    <row r="1" spans="1:10" ht="18" x14ac:dyDescent="0.25">
      <c r="A1" s="23" t="s">
        <v>381</v>
      </c>
      <c r="B1" s="15"/>
      <c r="C1" s="15"/>
      <c r="D1" s="15"/>
      <c r="E1" s="15"/>
      <c r="F1" s="15"/>
      <c r="G1" s="15"/>
      <c r="H1" s="15"/>
    </row>
    <row r="2" spans="1:10" x14ac:dyDescent="0.25">
      <c r="A2" s="4" t="s">
        <v>69</v>
      </c>
      <c r="B2" t="s">
        <v>70</v>
      </c>
      <c r="E2" s="4" t="s">
        <v>71</v>
      </c>
      <c r="F2" t="s">
        <v>72</v>
      </c>
    </row>
    <row r="3" spans="1:10" x14ac:dyDescent="0.25">
      <c r="A3" s="4" t="s">
        <v>73</v>
      </c>
      <c r="B3" t="s">
        <v>74</v>
      </c>
      <c r="E3" s="4" t="s">
        <v>75</v>
      </c>
      <c r="F3" t="s">
        <v>76</v>
      </c>
    </row>
    <row r="4" spans="1:10" x14ac:dyDescent="0.25">
      <c r="A4" s="4" t="s">
        <v>77</v>
      </c>
      <c r="B4" t="s">
        <v>382</v>
      </c>
      <c r="E4" s="4"/>
    </row>
    <row r="6" spans="1:10" ht="30" x14ac:dyDescent="0.25">
      <c r="A6" s="5" t="s">
        <v>104</v>
      </c>
      <c r="B6" s="5" t="s">
        <v>105</v>
      </c>
      <c r="C6" s="5" t="s">
        <v>107</v>
      </c>
      <c r="D6" s="5" t="s">
        <v>106</v>
      </c>
      <c r="E6" s="5" t="s">
        <v>108</v>
      </c>
      <c r="F6" s="5" t="s">
        <v>383</v>
      </c>
      <c r="G6" s="5" t="s">
        <v>384</v>
      </c>
      <c r="H6" s="5" t="s">
        <v>110</v>
      </c>
      <c r="I6" s="5" t="s">
        <v>385</v>
      </c>
      <c r="J6" s="5" t="s">
        <v>88</v>
      </c>
    </row>
    <row r="7" spans="1:10" x14ac:dyDescent="0.25">
      <c r="A7" t="s">
        <v>114</v>
      </c>
      <c r="B7" s="10" t="s">
        <v>115</v>
      </c>
      <c r="C7" t="s">
        <v>386</v>
      </c>
      <c r="D7" t="s">
        <v>387</v>
      </c>
      <c r="E7" s="6">
        <v>49500000</v>
      </c>
      <c r="F7" s="6">
        <v>50000000</v>
      </c>
      <c r="G7" s="6">
        <f>F7-E7</f>
        <v>500000</v>
      </c>
      <c r="H7" t="s">
        <v>388</v>
      </c>
      <c r="I7" t="str">
        <f>IF(G7&lt;2000000,"SÍ - Muy cercano al límite",IF(G7&lt;5000000,"REVISAR","NO"))</f>
        <v>SÍ - Muy cercano al límite</v>
      </c>
      <c r="J7" t="str">
        <f>IF(I7="SÍ*","ALTO","BAJO")</f>
        <v>BAJO</v>
      </c>
    </row>
    <row r="8" spans="1:10" x14ac:dyDescent="0.25">
      <c r="A8" t="s">
        <v>120</v>
      </c>
      <c r="B8" s="10" t="s">
        <v>121</v>
      </c>
      <c r="C8" t="s">
        <v>268</v>
      </c>
      <c r="D8" t="s">
        <v>264</v>
      </c>
      <c r="E8" s="6">
        <v>49800000</v>
      </c>
      <c r="F8" s="6">
        <v>50000000</v>
      </c>
      <c r="G8" s="6">
        <f>F8-E8</f>
        <v>200000</v>
      </c>
      <c r="H8" t="s">
        <v>388</v>
      </c>
      <c r="I8" t="str">
        <f>IF(G8&lt;2000000,"SÍ - Muy cercano al límite",IF(G8&lt;5000000,"REVISAR","NO"))</f>
        <v>SÍ - Muy cercano al límite</v>
      </c>
      <c r="J8" t="str">
        <f>IF(I8="SÍ*","ALTO","BAJO")</f>
        <v>BAJO</v>
      </c>
    </row>
    <row r="9" spans="1:10" x14ac:dyDescent="0.25">
      <c r="A9" t="s">
        <v>125</v>
      </c>
      <c r="B9" s="10" t="s">
        <v>126</v>
      </c>
      <c r="C9" t="s">
        <v>389</v>
      </c>
      <c r="D9" t="s">
        <v>272</v>
      </c>
      <c r="E9" s="6">
        <v>49900000</v>
      </c>
      <c r="F9" s="6">
        <v>50000000</v>
      </c>
      <c r="G9" s="6">
        <f>F9-E9</f>
        <v>100000</v>
      </c>
      <c r="H9" t="s">
        <v>388</v>
      </c>
      <c r="I9" t="str">
        <f>IF(G9&lt;2000000,"SÍ - Muy cercano al límite",IF(G9&lt;5000000,"REVISAR","NO"))</f>
        <v>SÍ - Muy cercano al límite</v>
      </c>
      <c r="J9" t="str">
        <f>IF(I9="SÍ*","ALTO","BAJO")</f>
        <v>BAJO</v>
      </c>
    </row>
    <row r="10" spans="1:10" x14ac:dyDescent="0.25">
      <c r="A10" t="s">
        <v>131</v>
      </c>
      <c r="B10" s="10" t="s">
        <v>132</v>
      </c>
      <c r="C10" t="s">
        <v>276</v>
      </c>
      <c r="D10" t="s">
        <v>277</v>
      </c>
      <c r="E10" s="6">
        <v>35000000</v>
      </c>
      <c r="F10" s="6">
        <v>50000000</v>
      </c>
      <c r="G10" s="6">
        <f>F10-E10</f>
        <v>15000000</v>
      </c>
      <c r="H10" t="s">
        <v>388</v>
      </c>
      <c r="I10" t="str">
        <f>IF(G10&lt;2000000,"SÍ - Muy cercano al límite",IF(G10&lt;5000000,"REVISAR","NO"))</f>
        <v>NO</v>
      </c>
      <c r="J10" t="str">
        <f>IF(I10="SÍ*","ALTO","BAJO")</f>
        <v>BAJO</v>
      </c>
    </row>
    <row r="13" spans="1:10" x14ac:dyDescent="0.25">
      <c r="A13" s="24" t="s">
        <v>390</v>
      </c>
      <c r="B13" s="15"/>
      <c r="C13" s="15"/>
      <c r="D13" s="15"/>
    </row>
    <row r="14" spans="1:10" x14ac:dyDescent="0.25">
      <c r="A14" t="s">
        <v>391</v>
      </c>
      <c r="B14" s="8">
        <f>COUNTIF(I7:I10,"SÍ*")</f>
        <v>3</v>
      </c>
    </row>
    <row r="15" spans="1:10" x14ac:dyDescent="0.25">
      <c r="A15" t="s">
        <v>392</v>
      </c>
      <c r="B15" s="13">
        <f>SUMIF(I7:I10,"SÍ*",E7:E10)</f>
        <v>149200000</v>
      </c>
    </row>
    <row r="16" spans="1:10" x14ac:dyDescent="0.25">
      <c r="A16" t="s">
        <v>393</v>
      </c>
      <c r="B16" s="9">
        <f>AVERAGEIF(I7:I10,"SÍ*",G7:G10)</f>
        <v>266666.66666666669</v>
      </c>
    </row>
    <row r="18" spans="1:10" x14ac:dyDescent="0.25">
      <c r="A18" s="27" t="s">
        <v>394</v>
      </c>
      <c r="B18" s="15"/>
      <c r="C18" s="15"/>
      <c r="D18" s="15"/>
      <c r="E18" s="15"/>
      <c r="F18" s="15"/>
      <c r="G18" s="15"/>
      <c r="H18" s="15"/>
      <c r="I18" s="15"/>
      <c r="J18" s="15"/>
    </row>
  </sheetData>
  <mergeCells count="3">
    <mergeCell ref="A18:J18"/>
    <mergeCell ref="A13:D1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ÍNDICE</vt:lpstr>
      <vt:lpstr>PT J.1 - Variaciones</vt:lpstr>
      <vt:lpstr>PT J.2 - Autorizaciones</vt:lpstr>
      <vt:lpstr>PT J.3 - Gastos Personales</vt:lpstr>
      <vt:lpstr>PT J.4 - Viajes</vt:lpstr>
      <vt:lpstr>PT J.5 - Consultorías</vt:lpstr>
      <vt:lpstr>PT J.6 - Reclasificaciones</vt:lpstr>
      <vt:lpstr>PT J.7 - Cut-Off</vt:lpstr>
      <vt:lpstr>PT J.8 - Efectivo</vt:lpstr>
      <vt:lpstr>PT J.9 - Relacionadas</vt:lpstr>
      <vt:lpstr>PT J.10 - Servicios No Recib</vt:lpstr>
      <vt:lpstr>PT J.11 - % Ingresos</vt:lpstr>
      <vt:lpstr>PT J.12 - Prov Duplicados</vt:lpstr>
      <vt:lpstr>PT J.13 - Límites Autoriz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2025-11-17T19:56:06Z</dcterms:created>
  <dcterms:modified xsi:type="dcterms:W3CDTF">2025-11-17T20:09:21Z</dcterms:modified>
</cp:coreProperties>
</file>