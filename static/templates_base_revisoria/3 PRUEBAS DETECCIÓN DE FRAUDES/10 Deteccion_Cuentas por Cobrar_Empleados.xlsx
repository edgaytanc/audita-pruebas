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Toño\Desktop\PAPELES COLOMBIA\"/>
    </mc:Choice>
  </mc:AlternateContent>
  <bookViews>
    <workbookView xWindow="0" yWindow="0" windowWidth="25200" windowHeight="7980" tabRatio="500"/>
  </bookViews>
  <sheets>
    <sheet name="INDICE" sheetId="1" r:id="rId1"/>
    <sheet name="PT_D1_Anticipos" sheetId="2" r:id="rId2"/>
    <sheet name="PT_D2_Viaticos" sheetId="3" r:id="rId3"/>
    <sheet name="PT_D3_Morosidad" sheetId="4" r:id="rId4"/>
    <sheet name="PT_D4_Ejecutivos" sheetId="5" r:id="rId5"/>
    <sheet name="PT_D5_Faltantes" sheetId="6" r:id="rId6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6" l="1"/>
  <c r="H10" i="6"/>
  <c r="H9" i="6"/>
  <c r="H8" i="6"/>
  <c r="H7" i="6"/>
  <c r="H6" i="6"/>
  <c r="F11" i="5"/>
  <c r="E11" i="5"/>
  <c r="I10" i="5"/>
  <c r="I9" i="5"/>
  <c r="I8" i="5"/>
  <c r="I7" i="5"/>
  <c r="I6" i="5"/>
  <c r="C11" i="4"/>
  <c r="E10" i="4"/>
  <c r="H10" i="4" s="1"/>
  <c r="E9" i="4"/>
  <c r="H9" i="4" s="1"/>
  <c r="E8" i="4"/>
  <c r="G8" i="4" s="1"/>
  <c r="H7" i="4"/>
  <c r="G7" i="4"/>
  <c r="E7" i="4"/>
  <c r="E6" i="4"/>
  <c r="H6" i="4" s="1"/>
  <c r="F11" i="3"/>
  <c r="E11" i="3"/>
  <c r="G11" i="3" s="1"/>
  <c r="H10" i="3"/>
  <c r="I10" i="3" s="1"/>
  <c r="G10" i="3"/>
  <c r="H9" i="3"/>
  <c r="I9" i="3" s="1"/>
  <c r="G9" i="3"/>
  <c r="H8" i="3"/>
  <c r="I8" i="3" s="1"/>
  <c r="G8" i="3"/>
  <c r="H7" i="3"/>
  <c r="I7" i="3" s="1"/>
  <c r="G7" i="3"/>
  <c r="I6" i="3"/>
  <c r="H6" i="3"/>
  <c r="G6" i="3"/>
  <c r="E11" i="2"/>
  <c r="G10" i="2"/>
  <c r="F10" i="2"/>
  <c r="F9" i="2"/>
  <c r="G9" i="2" s="1"/>
  <c r="F8" i="2"/>
  <c r="G8" i="2" s="1"/>
  <c r="F7" i="2"/>
  <c r="G7" i="2" s="1"/>
  <c r="G6" i="2"/>
  <c r="F6" i="2"/>
  <c r="H8" i="4" l="1"/>
  <c r="G6" i="4"/>
  <c r="G10" i="4"/>
  <c r="G9" i="4"/>
</calcChain>
</file>

<file path=xl/sharedStrings.xml><?xml version="1.0" encoding="utf-8"?>
<sst xmlns="http://schemas.openxmlformats.org/spreadsheetml/2006/main" count="175" uniqueCount="124">
  <si>
    <t>DETECCIÓN DE FRAUDES EN CUENTAS POR COBRAR EMPLEADOS</t>
  </si>
  <si>
    <t>Papeles de Trabajo - Revisoría Fiscal Colombia (Art. 207 C.Co.)</t>
  </si>
  <si>
    <t>INFORMACIÓN GENERAL</t>
  </si>
  <si>
    <t>Entidad:</t>
  </si>
  <si>
    <t>[Nombre de la Empresa S.A.S.]</t>
  </si>
  <si>
    <t>NIT:</t>
  </si>
  <si>
    <t>[900.XXX.XXX-X]</t>
  </si>
  <si>
    <t>Período Auditado:</t>
  </si>
  <si>
    <t>2025</t>
  </si>
  <si>
    <t>Revisor Fiscal:</t>
  </si>
  <si>
    <t>[Nombre del RF - TP XXXXX-T]</t>
  </si>
  <si>
    <t>Fecha Revisión:</t>
  </si>
  <si>
    <t>27/01/2026</t>
  </si>
  <si>
    <t>ÍNDICE DE PAPELES DE TRABAJO</t>
  </si>
  <si>
    <t>PT D.1</t>
  </si>
  <si>
    <t>ANTICIPOS NO LIQUIDADOS</t>
  </si>
  <si>
    <t>PT D.2</t>
  </si>
  <si>
    <t>VIÁTICOS NO COMPROBADOS</t>
  </si>
  <si>
    <t>PT D.3</t>
  </si>
  <si>
    <t>PRÉSTAMOS - ANÁLISIS DE MOROSIDAD</t>
  </si>
  <si>
    <t>PT D.4</t>
  </si>
  <si>
    <t>PRÉSTAMOS A EJECUTIVOS</t>
  </si>
  <si>
    <t>PT D.5</t>
  </si>
  <si>
    <t>FALTANTES DE CAJA CHICA</t>
  </si>
  <si>
    <t>PT D.1 - ANTICIPOS NO LIQUIDADOS</t>
  </si>
  <si>
    <t>← Volver al ÍNDICE</t>
  </si>
  <si>
    <t>Objetivo: Identificar anticipos no liquidados que puedan convertirse en cuentas incobrables</t>
  </si>
  <si>
    <t>Nº</t>
  </si>
  <si>
    <t>Nombre Empleado</t>
  </si>
  <si>
    <t>Fecha Anticipo</t>
  </si>
  <si>
    <t>Concepto</t>
  </si>
  <si>
    <t>Valor</t>
  </si>
  <si>
    <t>Días Sin Liquidar</t>
  </si>
  <si>
    <t>NIVEL RIESGO</t>
  </si>
  <si>
    <t>OBSERVACIONES</t>
  </si>
  <si>
    <t>Juan Carlos Pérez Gómez</t>
  </si>
  <si>
    <t>Anticipo Quincena</t>
  </si>
  <si>
    <t>Dentro de plazo normal</t>
  </si>
  <si>
    <t>María Fernanda López</t>
  </si>
  <si>
    <t>Anticipo Compras</t>
  </si>
  <si>
    <t>Recordar liquidación al empleado</t>
  </si>
  <si>
    <t>Roberto González Silva</t>
  </si>
  <si>
    <t>Anticipo Calamidad</t>
  </si>
  <si>
    <t>Solicitar liquidación urgente</t>
  </si>
  <si>
    <t>Ana Patricia Rodríguez</t>
  </si>
  <si>
    <t>Anticipo Educación</t>
  </si>
  <si>
    <t>Carlos Alberto Martínez</t>
  </si>
  <si>
    <t>Anticipo Salario</t>
  </si>
  <si>
    <t>ANTICIPO VENCIDO &gt;90 días - Iniciar cobro</t>
  </si>
  <si>
    <t>TOTAL ANTICIPOS:</t>
  </si>
  <si>
    <t>PT D.2 - VIÁTICOS NO COMPROBADOS</t>
  </si>
  <si>
    <t>Objetivo: Verificar comprobación de viáticos (Estatuto Tributario Art. 107-1)</t>
  </si>
  <si>
    <t>Fecha Viático</t>
  </si>
  <si>
    <t>Destino</t>
  </si>
  <si>
    <t>Valor Entregado</t>
  </si>
  <si>
    <t>Valor Comprobado</t>
  </si>
  <si>
    <t>Diferencia</t>
  </si>
  <si>
    <t>Días Sin Comprobar</t>
  </si>
  <si>
    <t>Cali</t>
  </si>
  <si>
    <t>Comprobado correctamente</t>
  </si>
  <si>
    <t>Medellín</t>
  </si>
  <si>
    <t>Comprobación tardía - Verificar soportes</t>
  </si>
  <si>
    <t>Barranquilla</t>
  </si>
  <si>
    <t>SIN COMPROBACIÓN - Exigir inmediato</t>
  </si>
  <si>
    <t>Bucaramanga</t>
  </si>
  <si>
    <t>Cartagena</t>
  </si>
  <si>
    <t>Dif. $340,000 - Solicitar devolución o soporte</t>
  </si>
  <si>
    <t>TOTALES:</t>
  </si>
  <si>
    <t>PT D.3 - PRÉSTAMOS A EMPLEADOS - ANÁLISIS DE MOROSIDAD</t>
  </si>
  <si>
    <t>Objetivo: Evaluar morosidad en préstamos y estimar provisión (NIC 39/NIIF 9)</t>
  </si>
  <si>
    <t>Saldo Vencido</t>
  </si>
  <si>
    <t>Fecha Vencimiento</t>
  </si>
  <si>
    <t>Días Mora</t>
  </si>
  <si>
    <t>Cuotas Atrasadas</t>
  </si>
  <si>
    <t>Clasificación</t>
  </si>
  <si>
    <t>Al día</t>
  </si>
  <si>
    <t>Cobro urgente - Provisión 25%</t>
  </si>
  <si>
    <t>Gestión cobro jurídica - Provisión 50%</t>
  </si>
  <si>
    <t>Recordatorio de pago - Monitorear</t>
  </si>
  <si>
    <t>TOTAL SALDOS VENCIDOS:</t>
  </si>
  <si>
    <t>PT D.4 - PRÉSTAMOS A EJECUTIVOS Y PARTES RELACIONADAS</t>
  </si>
  <si>
    <t>Objetivo: Verificar revelación en EEFF (NIC 24) y aprobación Junta Directiva (Art. 185 C.Co.)</t>
  </si>
  <si>
    <t>Nombre</t>
  </si>
  <si>
    <t>Cargo/Relación</t>
  </si>
  <si>
    <t>Fecha Préstamo</t>
  </si>
  <si>
    <t>Valor Original</t>
  </si>
  <si>
    <t>Saldo Actual</t>
  </si>
  <si>
    <t>Aprobación Junta</t>
  </si>
  <si>
    <t>Revelado EEFF</t>
  </si>
  <si>
    <t>Luis Fernando Gómez</t>
  </si>
  <si>
    <t>Gerente General</t>
  </si>
  <si>
    <t>Sí</t>
  </si>
  <si>
    <t>Cumple requisitos legales y contables</t>
  </si>
  <si>
    <t>Patricia Sánchez V.</t>
  </si>
  <si>
    <t>Gerente Financiero</t>
  </si>
  <si>
    <t>Ricardo Pérez (Accionista)</t>
  </si>
  <si>
    <t>Accionista 15%</t>
  </si>
  <si>
    <t>No</t>
  </si>
  <si>
    <t>VIOLACIÓN LEGAL - Sin aprobación ni revelación</t>
  </si>
  <si>
    <t>Sandra Morales</t>
  </si>
  <si>
    <t>Gerente Comercial</t>
  </si>
  <si>
    <t>Jorge López (Hijo GG)</t>
  </si>
  <si>
    <t>Familiar Gerente</t>
  </si>
  <si>
    <t>SIN REVELACIÓN - Incumple NIC 24</t>
  </si>
  <si>
    <t>PT D.5 - FALTANTES DE CAJA CHICA ASIGNADOS A EMPLEADOS</t>
  </si>
  <si>
    <t>Objetivo: Controlar faltantes de caja y su recuperación</t>
  </si>
  <si>
    <t>Fondo Asignado</t>
  </si>
  <si>
    <t>Fecha Faltante</t>
  </si>
  <si>
    <t>Valor Faltante</t>
  </si>
  <si>
    <t>% Faltante</t>
  </si>
  <si>
    <t>Estado Recuperación</t>
  </si>
  <si>
    <t>Caja General</t>
  </si>
  <si>
    <t>En Descuento</t>
  </si>
  <si>
    <t>En proceso de recuperación</t>
  </si>
  <si>
    <t>Caja Menor Admin</t>
  </si>
  <si>
    <t>Pendiente</t>
  </si>
  <si>
    <t>FALTANTE SIGNIFICATIVO - Iniciar descuento inmediato</t>
  </si>
  <si>
    <t>Caja Menor Almacén</t>
  </si>
  <si>
    <t>Descuento Parcial</t>
  </si>
  <si>
    <t>Caja Viáticos</t>
  </si>
  <si>
    <t>Descuento Completo</t>
  </si>
  <si>
    <t>Recuperado totalmente</t>
  </si>
  <si>
    <t>Caja Menor Producción</t>
  </si>
  <si>
    <t>TOTAL FALTANTES: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</si>
</sst>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1F4E78"/>
      <name val="Arial"/>
      <charset val="1"/>
    </font>
    <font>
      <b/>
      <sz val="14"/>
      <color rgb="FF1F4E78"/>
      <name val="Arial"/>
      <charset val="1"/>
    </font>
    <font>
      <u/>
      <sz val="10"/>
      <color rgb="FF0563C1"/>
      <name val="Arial"/>
      <charset val="1"/>
    </font>
    <font>
      <u/>
      <sz val="9"/>
      <color rgb="FF0563C1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0" fontId="7" fillId="0" borderId="0" xfId="0" applyFont="1"/>
    <xf numFmtId="3" fontId="7" fillId="0" borderId="0" xfId="0" applyNumberFormat="1" applyFont="1"/>
    <xf numFmtId="10" fontId="0" fillId="0" borderId="1" xfId="0" applyNumberFormat="1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Downloads/4_Deteccion_Fraudes_CxC_Empleados_ConDatos.xlsx" TargetMode="External"/><Relationship Id="rId2" Type="http://schemas.openxmlformats.org/officeDocument/2006/relationships/hyperlink" Target="../../../../Downloads/4_Deteccion_Fraudes_CxC_Empleados_ConDatos.xlsx" TargetMode="External"/><Relationship Id="rId1" Type="http://schemas.openxmlformats.org/officeDocument/2006/relationships/hyperlink" Target="../../../../Downloads/4_Deteccion_Fraudes_CxC_Empleados_ConDatos.xlsx" TargetMode="External"/><Relationship Id="rId5" Type="http://schemas.openxmlformats.org/officeDocument/2006/relationships/hyperlink" Target="../../../../Downloads/4_Deteccion_Fraudes_CxC_Empleados_ConDatos.xlsx" TargetMode="External"/><Relationship Id="rId4" Type="http://schemas.openxmlformats.org/officeDocument/2006/relationships/hyperlink" Target="../../../../Downloads/4_Deteccion_Fraudes_CxC_Empleados_ConDatos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Downloads/4_Deteccion_Fraudes_CxC_Empleados_ConDatos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Downloads/4_Deteccion_Fraudes_CxC_Empleados_ConDatos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Downloads/4_Deteccion_Fraudes_CxC_Empleados_ConDatos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Downloads/4_Deteccion_Fraudes_CxC_Empleados_ConDatos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Downloads/4_Deteccion_Fraudes_CxC_Empleados_ConDato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zoomScaleNormal="100" workbookViewId="0">
      <selection activeCell="C8" sqref="C8"/>
    </sheetView>
  </sheetViews>
  <sheetFormatPr baseColWidth="10" defaultColWidth="8.7109375" defaultRowHeight="15" x14ac:dyDescent="0.25"/>
  <cols>
    <col min="1" max="1" width="37.5703125" customWidth="1"/>
    <col min="2" max="2" width="55" customWidth="1"/>
  </cols>
  <sheetData>
    <row r="1" spans="1:4" ht="20.25" x14ac:dyDescent="0.3">
      <c r="A1" s="11" t="s">
        <v>0</v>
      </c>
      <c r="B1" s="11"/>
      <c r="C1" s="11"/>
      <c r="D1" s="11"/>
    </row>
    <row r="2" spans="1:4" x14ac:dyDescent="0.25">
      <c r="A2" s="12" t="s">
        <v>1</v>
      </c>
      <c r="B2" s="12"/>
      <c r="C2" s="12"/>
      <c r="D2" s="12"/>
    </row>
    <row r="4" spans="1:4" ht="18" x14ac:dyDescent="0.25">
      <c r="A4" s="1" t="s">
        <v>2</v>
      </c>
    </row>
    <row r="5" spans="1:4" x14ac:dyDescent="0.25">
      <c r="A5" t="s">
        <v>3</v>
      </c>
      <c r="B5" t="s">
        <v>4</v>
      </c>
    </row>
    <row r="6" spans="1:4" x14ac:dyDescent="0.25">
      <c r="A6" t="s">
        <v>5</v>
      </c>
      <c r="B6" t="s">
        <v>6</v>
      </c>
    </row>
    <row r="7" spans="1:4" x14ac:dyDescent="0.25">
      <c r="A7" t="s">
        <v>7</v>
      </c>
      <c r="B7" t="s">
        <v>8</v>
      </c>
    </row>
    <row r="8" spans="1:4" x14ac:dyDescent="0.25">
      <c r="A8" t="s">
        <v>9</v>
      </c>
      <c r="B8" t="s">
        <v>10</v>
      </c>
    </row>
    <row r="9" spans="1:4" x14ac:dyDescent="0.25">
      <c r="A9" t="s">
        <v>11</v>
      </c>
      <c r="B9" t="s">
        <v>12</v>
      </c>
    </row>
    <row r="11" spans="1:4" ht="18" x14ac:dyDescent="0.25">
      <c r="A11" s="1" t="s">
        <v>13</v>
      </c>
    </row>
    <row r="12" spans="1:4" x14ac:dyDescent="0.25">
      <c r="A12" t="s">
        <v>14</v>
      </c>
      <c r="B12" s="2" t="s">
        <v>15</v>
      </c>
    </row>
    <row r="13" spans="1:4" x14ac:dyDescent="0.25">
      <c r="A13" t="s">
        <v>16</v>
      </c>
      <c r="B13" s="2" t="s">
        <v>17</v>
      </c>
    </row>
    <row r="14" spans="1:4" x14ac:dyDescent="0.25">
      <c r="A14" t="s">
        <v>18</v>
      </c>
      <c r="B14" s="2" t="s">
        <v>19</v>
      </c>
    </row>
    <row r="15" spans="1:4" x14ac:dyDescent="0.25">
      <c r="A15" t="s">
        <v>20</v>
      </c>
      <c r="B15" s="2" t="s">
        <v>21</v>
      </c>
    </row>
    <row r="16" spans="1:4" x14ac:dyDescent="0.25">
      <c r="A16" t="s">
        <v>22</v>
      </c>
      <c r="B16" s="2" t="s">
        <v>23</v>
      </c>
    </row>
  </sheetData>
  <mergeCells count="2">
    <mergeCell ref="A1:D1"/>
    <mergeCell ref="A2:D2"/>
  </mergeCells>
  <hyperlinks>
    <hyperlink ref="B12" r:id="rId1" location="PT_D1_Anticipos!A1"/>
    <hyperlink ref="B13" r:id="rId2" location="PT_D2_Viaticos!A1"/>
    <hyperlink ref="B14" r:id="rId3" location="PT_D3_Morosidad!A1"/>
    <hyperlink ref="B15" r:id="rId4" location="PT_D4_Ejecutivos!A1"/>
    <hyperlink ref="B16" r:id="rId5" location="PT_D5_Faltantes!A1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activeCell="J14" sqref="J14"/>
    </sheetView>
  </sheetViews>
  <sheetFormatPr baseColWidth="10" defaultColWidth="8.7109375" defaultRowHeight="15" x14ac:dyDescent="0.25"/>
  <cols>
    <col min="2" max="2" width="26" customWidth="1"/>
    <col min="3" max="3" width="15" customWidth="1"/>
    <col min="4" max="4" width="22" customWidth="1"/>
    <col min="5" max="5" width="14" customWidth="1"/>
    <col min="6" max="6" width="17.28515625" customWidth="1"/>
    <col min="7" max="7" width="17.85546875" customWidth="1"/>
    <col min="8" max="8" width="38" customWidth="1"/>
  </cols>
  <sheetData>
    <row r="1" spans="1:8" ht="18" x14ac:dyDescent="0.25">
      <c r="A1" s="13" t="s">
        <v>24</v>
      </c>
      <c r="B1" s="13"/>
      <c r="C1" s="13"/>
      <c r="D1" s="13"/>
      <c r="E1" s="13"/>
      <c r="F1" s="13"/>
      <c r="G1" s="13"/>
      <c r="H1" s="13"/>
    </row>
    <row r="2" spans="1:8" x14ac:dyDescent="0.25">
      <c r="A2" s="3" t="s">
        <v>25</v>
      </c>
    </row>
    <row r="3" spans="1:8" x14ac:dyDescent="0.25">
      <c r="A3" s="12" t="s">
        <v>26</v>
      </c>
      <c r="B3" s="12"/>
      <c r="C3" s="12"/>
      <c r="D3" s="12"/>
      <c r="E3" s="12"/>
      <c r="F3" s="12"/>
      <c r="G3" s="12"/>
      <c r="H3" s="12"/>
    </row>
    <row r="5" spans="1:8" ht="30" x14ac:dyDescent="0.25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</row>
    <row r="6" spans="1:8" x14ac:dyDescent="0.25">
      <c r="A6" s="5">
        <v>1</v>
      </c>
      <c r="B6" s="5" t="s">
        <v>35</v>
      </c>
      <c r="C6" s="6">
        <v>46037.642837501902</v>
      </c>
      <c r="D6" s="5" t="s">
        <v>36</v>
      </c>
      <c r="E6" s="7">
        <v>500000</v>
      </c>
      <c r="F6" s="5">
        <f ca="1">TODAY()-C6</f>
        <v>14.35716249809775</v>
      </c>
      <c r="G6" s="5" t="str">
        <f ca="1">IF(F6&lt;=30,"BAJO",IF(F6&lt;=60,"MEDIO",IF(F6&lt;=90,"ALTO","CRÍTICO")))</f>
        <v>BAJO</v>
      </c>
      <c r="H6" s="5" t="s">
        <v>37</v>
      </c>
    </row>
    <row r="7" spans="1:8" x14ac:dyDescent="0.25">
      <c r="A7" s="5">
        <v>2</v>
      </c>
      <c r="B7" s="5" t="s">
        <v>38</v>
      </c>
      <c r="C7" s="6">
        <v>46006.642837505999</v>
      </c>
      <c r="D7" s="5" t="s">
        <v>39</v>
      </c>
      <c r="E7" s="7">
        <v>1200000</v>
      </c>
      <c r="F7" s="5">
        <f ca="1">TODAY()-C7</f>
        <v>45.357162494001386</v>
      </c>
      <c r="G7" s="5" t="str">
        <f ca="1">IF(F7&lt;=30,"BAJO",IF(F7&lt;=60,"MEDIO",IF(F7&lt;=90,"ALTO","CRÍTICO")))</f>
        <v>MEDIO</v>
      </c>
      <c r="H7" s="5" t="s">
        <v>40</v>
      </c>
    </row>
    <row r="8" spans="1:8" x14ac:dyDescent="0.25">
      <c r="A8" s="5">
        <v>3</v>
      </c>
      <c r="B8" s="5" t="s">
        <v>41</v>
      </c>
      <c r="C8" s="6">
        <v>45981.642837507199</v>
      </c>
      <c r="D8" s="5" t="s">
        <v>42</v>
      </c>
      <c r="E8" s="7">
        <v>2500000</v>
      </c>
      <c r="F8" s="5">
        <f ca="1">TODAY()-C8</f>
        <v>70.357162492800853</v>
      </c>
      <c r="G8" s="5" t="str">
        <f ca="1">IF(F8&lt;=30,"BAJO",IF(F8&lt;=60,"MEDIO",IF(F8&lt;=90,"ALTO","CRÍTICO")))</f>
        <v>ALTO</v>
      </c>
      <c r="H8" s="5" t="s">
        <v>43</v>
      </c>
    </row>
    <row r="9" spans="1:8" x14ac:dyDescent="0.25">
      <c r="A9" s="5">
        <v>4</v>
      </c>
      <c r="B9" s="5" t="s">
        <v>44</v>
      </c>
      <c r="C9" s="6">
        <v>46027.6428375084</v>
      </c>
      <c r="D9" s="5" t="s">
        <v>45</v>
      </c>
      <c r="E9" s="7">
        <v>800000</v>
      </c>
      <c r="F9" s="5">
        <f ca="1">TODAY()-C9</f>
        <v>24.35716249160032</v>
      </c>
      <c r="G9" s="5" t="str">
        <f ca="1">IF(F9&lt;=30,"BAJO",IF(F9&lt;=60,"MEDIO",IF(F9&lt;=90,"ALTO","CRÍTICO")))</f>
        <v>BAJO</v>
      </c>
      <c r="H9" s="5" t="s">
        <v>37</v>
      </c>
    </row>
    <row r="10" spans="1:8" x14ac:dyDescent="0.25">
      <c r="A10" s="5">
        <v>5</v>
      </c>
      <c r="B10" s="5" t="s">
        <v>46</v>
      </c>
      <c r="C10" s="6">
        <v>45938.642837509302</v>
      </c>
      <c r="D10" s="5" t="s">
        <v>47</v>
      </c>
      <c r="E10" s="7">
        <v>1500000</v>
      </c>
      <c r="F10" s="5">
        <f ca="1">TODAY()-C10</f>
        <v>113.3571624906981</v>
      </c>
      <c r="G10" s="5" t="str">
        <f ca="1">IF(F10&lt;=30,"BAJO",IF(F10&lt;=60,"MEDIO",IF(F10&lt;=90,"ALTO","CRÍTICO")))</f>
        <v>CRÍTICO</v>
      </c>
      <c r="H10" s="5" t="s">
        <v>48</v>
      </c>
    </row>
    <row r="11" spans="1:8" x14ac:dyDescent="0.25">
      <c r="D11" s="8" t="s">
        <v>49</v>
      </c>
      <c r="E11" s="9">
        <f>SUM(E6:E10)</f>
        <v>6500000</v>
      </c>
    </row>
  </sheetData>
  <mergeCells count="2">
    <mergeCell ref="A1:H1"/>
    <mergeCell ref="A3:H3"/>
  </mergeCells>
  <hyperlinks>
    <hyperlink ref="A2" r:id="rId1" location="INDICE!A1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zoomScaleNormal="100" workbookViewId="0">
      <selection activeCell="H9" sqref="H9"/>
    </sheetView>
  </sheetViews>
  <sheetFormatPr baseColWidth="10" defaultColWidth="8.7109375" defaultRowHeight="15" x14ac:dyDescent="0.25"/>
  <cols>
    <col min="2" max="2" width="26" customWidth="1"/>
    <col min="3" max="3" width="12.7109375" customWidth="1"/>
    <col min="4" max="4" width="18" customWidth="1"/>
    <col min="5" max="5" width="11.7109375" customWidth="1"/>
    <col min="6" max="6" width="11.28515625" customWidth="1"/>
    <col min="7" max="7" width="15.42578125" customWidth="1"/>
    <col min="10" max="10" width="40" customWidth="1"/>
  </cols>
  <sheetData>
    <row r="1" spans="1:10" ht="18" x14ac:dyDescent="0.25">
      <c r="A1" s="13" t="s">
        <v>50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5">
      <c r="A2" s="3" t="s">
        <v>25</v>
      </c>
    </row>
    <row r="3" spans="1:10" x14ac:dyDescent="0.25">
      <c r="A3" s="12" t="s">
        <v>51</v>
      </c>
      <c r="B3" s="12"/>
      <c r="C3" s="12"/>
      <c r="D3" s="12"/>
      <c r="E3" s="12"/>
      <c r="F3" s="12"/>
      <c r="G3" s="12"/>
      <c r="H3" s="12"/>
      <c r="I3" s="12"/>
      <c r="J3" s="12"/>
    </row>
    <row r="5" spans="1:10" ht="60" x14ac:dyDescent="0.25">
      <c r="A5" s="4" t="s">
        <v>27</v>
      </c>
      <c r="B5" s="4" t="s">
        <v>28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4" t="s">
        <v>57</v>
      </c>
      <c r="I5" s="4" t="s">
        <v>33</v>
      </c>
      <c r="J5" s="4" t="s">
        <v>34</v>
      </c>
    </row>
    <row r="6" spans="1:10" x14ac:dyDescent="0.25">
      <c r="A6" s="5">
        <v>1</v>
      </c>
      <c r="B6" s="5" t="s">
        <v>41</v>
      </c>
      <c r="C6" s="6">
        <v>46041.6428375338</v>
      </c>
      <c r="D6" s="5" t="s">
        <v>58</v>
      </c>
      <c r="E6" s="7">
        <v>450000</v>
      </c>
      <c r="F6" s="7">
        <v>420000</v>
      </c>
      <c r="G6" s="7">
        <f t="shared" ref="G6:G11" si="0">E6-F6</f>
        <v>30000</v>
      </c>
      <c r="H6" s="5">
        <f ca="1">TODAY()-C6</f>
        <v>10.357162466199952</v>
      </c>
      <c r="I6" s="5" t="str">
        <f ca="1">IF(H6&lt;=10,"BAJO",IF(H6&lt;=30,"MEDIO",IF(H6&lt;=45,"ALTO","CRÍTICO")))</f>
        <v>MEDIO</v>
      </c>
      <c r="J6" s="5" t="s">
        <v>59</v>
      </c>
    </row>
    <row r="7" spans="1:10" x14ac:dyDescent="0.25">
      <c r="A7" s="5">
        <v>2</v>
      </c>
      <c r="B7" s="5" t="s">
        <v>38</v>
      </c>
      <c r="C7" s="6">
        <v>46011.642837535401</v>
      </c>
      <c r="D7" s="5" t="s">
        <v>60</v>
      </c>
      <c r="E7" s="7">
        <v>650000</v>
      </c>
      <c r="F7" s="7">
        <v>550000</v>
      </c>
      <c r="G7" s="7">
        <f t="shared" si="0"/>
        <v>100000</v>
      </c>
      <c r="H7" s="5">
        <f ca="1">TODAY()-C7</f>
        <v>40.357162464599242</v>
      </c>
      <c r="I7" s="5" t="str">
        <f ca="1">IF(H7&lt;=10,"BAJO",IF(H7&lt;=30,"MEDIO",IF(H7&lt;=45,"ALTO","CRÍTICO")))</f>
        <v>ALTO</v>
      </c>
      <c r="J7" s="5" t="s">
        <v>61</v>
      </c>
    </row>
    <row r="8" spans="1:10" x14ac:dyDescent="0.25">
      <c r="A8" s="5">
        <v>3</v>
      </c>
      <c r="B8" s="5" t="s">
        <v>46</v>
      </c>
      <c r="C8" s="6">
        <v>45999.642837536601</v>
      </c>
      <c r="D8" s="5" t="s">
        <v>62</v>
      </c>
      <c r="E8" s="7">
        <v>800000</v>
      </c>
      <c r="F8" s="7">
        <v>0</v>
      </c>
      <c r="G8" s="7">
        <f t="shared" si="0"/>
        <v>800000</v>
      </c>
      <c r="H8" s="5">
        <f ca="1">TODAY()-C8</f>
        <v>52.357162463398708</v>
      </c>
      <c r="I8" s="5" t="str">
        <f ca="1">IF(H8&lt;=10,"BAJO",IF(H8&lt;=30,"MEDIO",IF(H8&lt;=45,"ALTO","CRÍTICO")))</f>
        <v>CRÍTICO</v>
      </c>
      <c r="J8" s="5" t="s">
        <v>63</v>
      </c>
    </row>
    <row r="9" spans="1:10" x14ac:dyDescent="0.25">
      <c r="A9" s="5">
        <v>4</v>
      </c>
      <c r="B9" s="5" t="s">
        <v>35</v>
      </c>
      <c r="C9" s="6">
        <v>46044.642837537802</v>
      </c>
      <c r="D9" s="5" t="s">
        <v>64</v>
      </c>
      <c r="E9" s="7">
        <v>380000</v>
      </c>
      <c r="F9" s="7">
        <v>380000</v>
      </c>
      <c r="G9" s="7">
        <f t="shared" si="0"/>
        <v>0</v>
      </c>
      <c r="H9" s="5">
        <f ca="1">TODAY()-C9</f>
        <v>7.3571624621981755</v>
      </c>
      <c r="I9" s="5" t="str">
        <f ca="1">IF(H9&lt;=10,"BAJO",IF(H9&lt;=30,"MEDIO",IF(H9&lt;=45,"ALTO","CRÍTICO")))</f>
        <v>BAJO</v>
      </c>
      <c r="J9" s="5" t="s">
        <v>59</v>
      </c>
    </row>
    <row r="10" spans="1:10" x14ac:dyDescent="0.25">
      <c r="A10" s="5">
        <v>5</v>
      </c>
      <c r="B10" s="5" t="s">
        <v>44</v>
      </c>
      <c r="C10" s="6">
        <v>45986.642837539701</v>
      </c>
      <c r="D10" s="5" t="s">
        <v>65</v>
      </c>
      <c r="E10" s="7">
        <v>920000</v>
      </c>
      <c r="F10" s="7">
        <v>580000</v>
      </c>
      <c r="G10" s="7">
        <f t="shared" si="0"/>
        <v>340000</v>
      </c>
      <c r="H10" s="5">
        <f ca="1">TODAY()-C10</f>
        <v>65.357162460299151</v>
      </c>
      <c r="I10" s="5" t="str">
        <f ca="1">IF(H10&lt;=10,"BAJO",IF(H10&lt;=30,"MEDIO",IF(H10&lt;=45,"ALTO","CRÍTICO")))</f>
        <v>CRÍTICO</v>
      </c>
      <c r="J10" s="5" t="s">
        <v>66</v>
      </c>
    </row>
    <row r="11" spans="1:10" x14ac:dyDescent="0.25">
      <c r="D11" s="8" t="s">
        <v>67</v>
      </c>
      <c r="E11" s="9">
        <f>SUM(E6:E10)</f>
        <v>3200000</v>
      </c>
      <c r="F11" s="9">
        <f>SUM(F6:F10)</f>
        <v>1930000</v>
      </c>
      <c r="G11" s="9">
        <f t="shared" si="0"/>
        <v>1270000</v>
      </c>
    </row>
  </sheetData>
  <mergeCells count="2">
    <mergeCell ref="A1:J1"/>
    <mergeCell ref="A3:J3"/>
  </mergeCells>
  <hyperlinks>
    <hyperlink ref="A2" r:id="rId1" location="INDICE!A1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Normal="100" workbookViewId="0">
      <selection activeCell="G17" sqref="G17"/>
    </sheetView>
  </sheetViews>
  <sheetFormatPr baseColWidth="10" defaultColWidth="8.7109375" defaultRowHeight="15" x14ac:dyDescent="0.25"/>
  <cols>
    <col min="2" max="2" width="26" customWidth="1"/>
    <col min="3" max="4" width="16" customWidth="1"/>
    <col min="6" max="6" width="13.85546875" customWidth="1"/>
    <col min="7" max="7" width="18" customWidth="1"/>
    <col min="8" max="8" width="13" customWidth="1"/>
    <col min="9" max="9" width="42" customWidth="1"/>
  </cols>
  <sheetData>
    <row r="1" spans="1:9" ht="18" x14ac:dyDescent="0.25">
      <c r="A1" s="13" t="s">
        <v>68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3" t="s">
        <v>25</v>
      </c>
    </row>
    <row r="3" spans="1:9" x14ac:dyDescent="0.25">
      <c r="A3" s="12" t="s">
        <v>69</v>
      </c>
      <c r="B3" s="12"/>
      <c r="C3" s="12"/>
      <c r="D3" s="12"/>
      <c r="E3" s="12"/>
      <c r="F3" s="12"/>
      <c r="G3" s="12"/>
      <c r="H3" s="12"/>
      <c r="I3" s="12"/>
    </row>
    <row r="5" spans="1:9" ht="30" x14ac:dyDescent="0.25">
      <c r="A5" s="4" t="s">
        <v>27</v>
      </c>
      <c r="B5" s="4" t="s">
        <v>28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33</v>
      </c>
      <c r="I5" s="4" t="s">
        <v>34</v>
      </c>
    </row>
    <row r="6" spans="1:9" x14ac:dyDescent="0.25">
      <c r="A6" s="5">
        <v>1</v>
      </c>
      <c r="B6" s="5" t="s">
        <v>35</v>
      </c>
      <c r="C6" s="7">
        <v>450000</v>
      </c>
      <c r="D6" s="6">
        <v>46037.642837555803</v>
      </c>
      <c r="E6" s="5">
        <f ca="1">TODAY()-D6</f>
        <v>14.357162444197456</v>
      </c>
      <c r="F6" s="5">
        <v>1</v>
      </c>
      <c r="G6" s="5" t="str">
        <f ca="1">IF(E6&lt;=30,"Al día",IF(E6&lt;=60,"Vencida 1-60",IF(E6&lt;=90,"Dudoso Recaudo",IF(E6&lt;=180,"Difícil Cobro","Incobrable"))))</f>
        <v>Al día</v>
      </c>
      <c r="H6" s="5" t="str">
        <f ca="1">IF(E6&lt;=30,"BAJO",IF(E6&lt;=90,"MEDIO",IF(E6&lt;=180,"ALTO","CRÍTICO")))</f>
        <v>BAJO</v>
      </c>
      <c r="I6" s="5" t="s">
        <v>75</v>
      </c>
    </row>
    <row r="7" spans="1:9" x14ac:dyDescent="0.25">
      <c r="A7" s="5">
        <v>2</v>
      </c>
      <c r="B7" s="5" t="s">
        <v>41</v>
      </c>
      <c r="C7" s="7">
        <v>2800000</v>
      </c>
      <c r="D7" s="6">
        <v>45971.642837557003</v>
      </c>
      <c r="E7" s="5">
        <f ca="1">TODAY()-D7</f>
        <v>80.357162442996923</v>
      </c>
      <c r="F7" s="5">
        <v>3</v>
      </c>
      <c r="G7" s="5" t="str">
        <f ca="1">IF(E7&lt;=30,"Al día",IF(E7&lt;=60,"Vencida 1-60",IF(E7&lt;=90,"Dudoso Recaudo",IF(E7&lt;=180,"Difícil Cobro","Incobrable"))))</f>
        <v>Dudoso Recaudo</v>
      </c>
      <c r="H7" s="5" t="str">
        <f ca="1">IF(E7&lt;=30,"BAJO",IF(E7&lt;=90,"MEDIO",IF(E7&lt;=180,"ALTO","CRÍTICO")))</f>
        <v>MEDIO</v>
      </c>
      <c r="I7" s="5" t="s">
        <v>76</v>
      </c>
    </row>
    <row r="8" spans="1:9" x14ac:dyDescent="0.25">
      <c r="A8" s="5">
        <v>3</v>
      </c>
      <c r="B8" s="5" t="s">
        <v>38</v>
      </c>
      <c r="C8" s="7">
        <v>650000</v>
      </c>
      <c r="D8" s="6">
        <v>46042.642837558102</v>
      </c>
      <c r="E8" s="5">
        <f ca="1">TODAY()-D8</f>
        <v>9.3571624418982537</v>
      </c>
      <c r="F8" s="5">
        <v>0</v>
      </c>
      <c r="G8" s="5" t="str">
        <f ca="1">IF(E8&lt;=30,"Al día",IF(E8&lt;=60,"Vencida 1-60",IF(E8&lt;=90,"Dudoso Recaudo",IF(E8&lt;=180,"Difícil Cobro","Incobrable"))))</f>
        <v>Al día</v>
      </c>
      <c r="H8" s="5" t="str">
        <f ca="1">IF(E8&lt;=30,"BAJO",IF(E8&lt;=90,"MEDIO",IF(E8&lt;=180,"ALTO","CRÍTICO")))</f>
        <v>BAJO</v>
      </c>
      <c r="I8" s="5" t="s">
        <v>75</v>
      </c>
    </row>
    <row r="9" spans="1:9" x14ac:dyDescent="0.25">
      <c r="A9" s="5">
        <v>4</v>
      </c>
      <c r="B9" s="5" t="s">
        <v>46</v>
      </c>
      <c r="C9" s="7">
        <v>1850000</v>
      </c>
      <c r="D9" s="6">
        <v>45925.642837559099</v>
      </c>
      <c r="E9" s="5">
        <f ca="1">TODAY()-D9</f>
        <v>126.35716244090145</v>
      </c>
      <c r="F9" s="5">
        <v>5</v>
      </c>
      <c r="G9" s="5" t="str">
        <f ca="1">IF(E9&lt;=30,"Al día",IF(E9&lt;=60,"Vencida 1-60",IF(E9&lt;=90,"Dudoso Recaudo",IF(E9&lt;=180,"Difícil Cobro","Incobrable"))))</f>
        <v>Difícil Cobro</v>
      </c>
      <c r="H9" s="5" t="str">
        <f ca="1">IF(E9&lt;=30,"BAJO",IF(E9&lt;=90,"MEDIO",IF(E9&lt;=180,"ALTO","CRÍTICO")))</f>
        <v>ALTO</v>
      </c>
      <c r="I9" s="5" t="s">
        <v>77</v>
      </c>
    </row>
    <row r="10" spans="1:9" x14ac:dyDescent="0.25">
      <c r="A10" s="5">
        <v>5</v>
      </c>
      <c r="B10" s="5" t="s">
        <v>44</v>
      </c>
      <c r="C10" s="7">
        <v>920000</v>
      </c>
      <c r="D10" s="6">
        <v>45996.642837560299</v>
      </c>
      <c r="E10" s="5">
        <f ca="1">TODAY()-D10</f>
        <v>55.357162439700915</v>
      </c>
      <c r="F10" s="5">
        <v>2</v>
      </c>
      <c r="G10" s="5" t="str">
        <f ca="1">IF(E10&lt;=30,"Al día",IF(E10&lt;=60,"Vencida 1-60",IF(E10&lt;=90,"Dudoso Recaudo",IF(E10&lt;=180,"Difícil Cobro","Incobrable"))))</f>
        <v>Vencida 1-60</v>
      </c>
      <c r="H10" s="5" t="str">
        <f ca="1">IF(E10&lt;=30,"BAJO",IF(E10&lt;=90,"MEDIO",IF(E10&lt;=180,"ALTO","CRÍTICO")))</f>
        <v>MEDIO</v>
      </c>
      <c r="I10" s="5" t="s">
        <v>78</v>
      </c>
    </row>
    <row r="11" spans="1:9" x14ac:dyDescent="0.25">
      <c r="B11" s="8" t="s">
        <v>79</v>
      </c>
      <c r="C11" s="9">
        <f>SUM(C6:C10)</f>
        <v>6670000</v>
      </c>
    </row>
  </sheetData>
  <mergeCells count="2">
    <mergeCell ref="A1:I1"/>
    <mergeCell ref="A3:I3"/>
  </mergeCells>
  <hyperlinks>
    <hyperlink ref="A2" r:id="rId1" location="INDICE!A1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zoomScaleNormal="100" workbookViewId="0">
      <selection activeCell="J18" sqref="J17:J18"/>
    </sheetView>
  </sheetViews>
  <sheetFormatPr baseColWidth="10" defaultColWidth="8.7109375" defaultRowHeight="15" x14ac:dyDescent="0.25"/>
  <cols>
    <col min="2" max="2" width="24" customWidth="1"/>
    <col min="3" max="3" width="20" customWidth="1"/>
    <col min="4" max="4" width="15" customWidth="1"/>
    <col min="5" max="5" width="13.85546875" customWidth="1"/>
    <col min="6" max="6" width="12.28515625" customWidth="1"/>
    <col min="10" max="10" width="45.5703125" customWidth="1"/>
  </cols>
  <sheetData>
    <row r="1" spans="1:10" ht="18" x14ac:dyDescent="0.25">
      <c r="A1" s="13" t="s">
        <v>80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5">
      <c r="A2" s="3" t="s">
        <v>25</v>
      </c>
    </row>
    <row r="3" spans="1:10" x14ac:dyDescent="0.25">
      <c r="A3" s="12" t="s">
        <v>81</v>
      </c>
      <c r="B3" s="12"/>
      <c r="C3" s="12"/>
      <c r="D3" s="12"/>
      <c r="E3" s="12"/>
      <c r="F3" s="12"/>
      <c r="G3" s="12"/>
      <c r="H3" s="12"/>
      <c r="I3" s="12"/>
      <c r="J3" s="12"/>
    </row>
    <row r="5" spans="1:10" ht="45" x14ac:dyDescent="0.25">
      <c r="A5" s="4" t="s">
        <v>27</v>
      </c>
      <c r="B5" s="4" t="s">
        <v>82</v>
      </c>
      <c r="C5" s="4" t="s">
        <v>83</v>
      </c>
      <c r="D5" s="4" t="s">
        <v>84</v>
      </c>
      <c r="E5" s="4" t="s">
        <v>85</v>
      </c>
      <c r="F5" s="4" t="s">
        <v>86</v>
      </c>
      <c r="G5" s="4" t="s">
        <v>87</v>
      </c>
      <c r="H5" s="4" t="s">
        <v>88</v>
      </c>
      <c r="I5" s="4" t="s">
        <v>33</v>
      </c>
      <c r="J5" s="4" t="s">
        <v>34</v>
      </c>
    </row>
    <row r="6" spans="1:10" x14ac:dyDescent="0.25">
      <c r="A6" s="5">
        <v>1</v>
      </c>
      <c r="B6" s="5" t="s">
        <v>89</v>
      </c>
      <c r="C6" s="5" t="s">
        <v>90</v>
      </c>
      <c r="D6" s="6">
        <v>45453</v>
      </c>
      <c r="E6" s="7">
        <v>15000000</v>
      </c>
      <c r="F6" s="7">
        <v>9500000</v>
      </c>
      <c r="G6" s="5" t="s">
        <v>91</v>
      </c>
      <c r="H6" s="5" t="s">
        <v>91</v>
      </c>
      <c r="I6" s="5" t="str">
        <f>IF(AND(G6="Sí",H6="Sí"),"BAJO",IF(OR(G6="No",H6="No"),"CRÍTICO","MEDIO"))</f>
        <v>BAJO</v>
      </c>
      <c r="J6" s="5" t="s">
        <v>92</v>
      </c>
    </row>
    <row r="7" spans="1:10" x14ac:dyDescent="0.25">
      <c r="A7" s="5">
        <v>2</v>
      </c>
      <c r="B7" s="5" t="s">
        <v>93</v>
      </c>
      <c r="C7" s="5" t="s">
        <v>94</v>
      </c>
      <c r="D7" s="6">
        <v>45519</v>
      </c>
      <c r="E7" s="7">
        <v>8500000</v>
      </c>
      <c r="F7" s="7">
        <v>6200000</v>
      </c>
      <c r="G7" s="5" t="s">
        <v>91</v>
      </c>
      <c r="H7" s="5" t="s">
        <v>91</v>
      </c>
      <c r="I7" s="5" t="str">
        <f>IF(AND(G7="Sí",H7="Sí"),"BAJO",IF(OR(G7="No",H7="No"),"CRÍTICO","MEDIO"))</f>
        <v>BAJO</v>
      </c>
      <c r="J7" s="5" t="s">
        <v>92</v>
      </c>
    </row>
    <row r="8" spans="1:10" x14ac:dyDescent="0.25">
      <c r="A8" s="5">
        <v>3</v>
      </c>
      <c r="B8" s="5" t="s">
        <v>95</v>
      </c>
      <c r="C8" s="5" t="s">
        <v>96</v>
      </c>
      <c r="D8" s="6">
        <v>45432</v>
      </c>
      <c r="E8" s="7">
        <v>25000000</v>
      </c>
      <c r="F8" s="7">
        <v>18500000</v>
      </c>
      <c r="G8" s="5" t="s">
        <v>97</v>
      </c>
      <c r="H8" s="5" t="s">
        <v>97</v>
      </c>
      <c r="I8" s="5" t="str">
        <f>IF(AND(G8="Sí",H8="Sí"),"BAJO",IF(OR(G8="No",H8="No"),"CRÍTICO","MEDIO"))</f>
        <v>CRÍTICO</v>
      </c>
      <c r="J8" s="5" t="s">
        <v>98</v>
      </c>
    </row>
    <row r="9" spans="1:10" x14ac:dyDescent="0.25">
      <c r="A9" s="5">
        <v>4</v>
      </c>
      <c r="B9" s="5" t="s">
        <v>99</v>
      </c>
      <c r="C9" s="5" t="s">
        <v>100</v>
      </c>
      <c r="D9" s="6">
        <v>45540</v>
      </c>
      <c r="E9" s="7">
        <v>6200000</v>
      </c>
      <c r="F9" s="7">
        <v>4800000</v>
      </c>
      <c r="G9" s="5" t="s">
        <v>91</v>
      </c>
      <c r="H9" s="5" t="s">
        <v>91</v>
      </c>
      <c r="I9" s="5" t="str">
        <f>IF(AND(G9="Sí",H9="Sí"),"BAJO",IF(OR(G9="No",H9="No"),"CRÍTICO","MEDIO"))</f>
        <v>BAJO</v>
      </c>
      <c r="J9" s="5" t="s">
        <v>92</v>
      </c>
    </row>
    <row r="10" spans="1:10" x14ac:dyDescent="0.25">
      <c r="A10" s="5">
        <v>5</v>
      </c>
      <c r="B10" s="5" t="s">
        <v>101</v>
      </c>
      <c r="C10" s="5" t="s">
        <v>102</v>
      </c>
      <c r="D10" s="6">
        <v>45485</v>
      </c>
      <c r="E10" s="7">
        <v>12000000</v>
      </c>
      <c r="F10" s="7">
        <v>10200000</v>
      </c>
      <c r="G10" s="5" t="s">
        <v>91</v>
      </c>
      <c r="H10" s="5" t="s">
        <v>97</v>
      </c>
      <c r="I10" s="5" t="str">
        <f>IF(AND(G10="Sí",H10="Sí"),"BAJO",IF(OR(G10="No",H10="No"),"CRÍTICO","MEDIO"))</f>
        <v>CRÍTICO</v>
      </c>
      <c r="J10" s="5" t="s">
        <v>103</v>
      </c>
    </row>
    <row r="11" spans="1:10" x14ac:dyDescent="0.25">
      <c r="D11" s="8" t="s">
        <v>67</v>
      </c>
      <c r="E11" s="9">
        <f>SUM(E6:E10)</f>
        <v>66700000</v>
      </c>
      <c r="F11" s="9">
        <f>SUM(F6:F10)</f>
        <v>49200000</v>
      </c>
    </row>
  </sheetData>
  <mergeCells count="2">
    <mergeCell ref="A1:J1"/>
    <mergeCell ref="A3:J3"/>
  </mergeCells>
  <hyperlinks>
    <hyperlink ref="A2" r:id="rId1" location="INDICE!A1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Normal="100" workbookViewId="0">
      <selection activeCell="G14" sqref="G14"/>
    </sheetView>
  </sheetViews>
  <sheetFormatPr baseColWidth="10" defaultColWidth="8.7109375" defaultRowHeight="15" x14ac:dyDescent="0.25"/>
  <cols>
    <col min="2" max="2" width="26" customWidth="1"/>
    <col min="3" max="3" width="22" customWidth="1"/>
    <col min="4" max="4" width="16" customWidth="1"/>
    <col min="5" max="5" width="13.28515625" customWidth="1"/>
    <col min="6" max="6" width="15.85546875" customWidth="1"/>
    <col min="7" max="7" width="20" customWidth="1"/>
    <col min="8" max="8" width="12.140625" customWidth="1"/>
    <col min="9" max="9" width="51" customWidth="1"/>
  </cols>
  <sheetData>
    <row r="1" spans="1:9" ht="18" x14ac:dyDescent="0.25">
      <c r="A1" s="13" t="s">
        <v>104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3" t="s">
        <v>25</v>
      </c>
    </row>
    <row r="3" spans="1:9" x14ac:dyDescent="0.25">
      <c r="A3" s="12" t="s">
        <v>105</v>
      </c>
      <c r="B3" s="12"/>
      <c r="C3" s="12"/>
      <c r="D3" s="12"/>
      <c r="E3" s="12"/>
      <c r="F3" s="12"/>
      <c r="G3" s="12"/>
      <c r="H3" s="12"/>
      <c r="I3" s="12"/>
    </row>
    <row r="5" spans="1:9" ht="30" x14ac:dyDescent="0.25">
      <c r="A5" s="4" t="s">
        <v>27</v>
      </c>
      <c r="B5" s="4" t="s">
        <v>28</v>
      </c>
      <c r="C5" s="4" t="s">
        <v>106</v>
      </c>
      <c r="D5" s="4" t="s">
        <v>107</v>
      </c>
      <c r="E5" s="4" t="s">
        <v>108</v>
      </c>
      <c r="F5" s="4" t="s">
        <v>109</v>
      </c>
      <c r="G5" s="4" t="s">
        <v>110</v>
      </c>
      <c r="H5" s="4" t="s">
        <v>33</v>
      </c>
      <c r="I5" s="4" t="s">
        <v>34</v>
      </c>
    </row>
    <row r="6" spans="1:9" x14ac:dyDescent="0.25">
      <c r="A6" s="5">
        <v>1</v>
      </c>
      <c r="B6" s="5" t="s">
        <v>38</v>
      </c>
      <c r="C6" s="5" t="s">
        <v>111</v>
      </c>
      <c r="D6" s="6">
        <v>45675</v>
      </c>
      <c r="E6" s="7">
        <v>85000</v>
      </c>
      <c r="F6" s="10">
        <v>5.6666666666666698E-2</v>
      </c>
      <c r="G6" s="5" t="s">
        <v>112</v>
      </c>
      <c r="H6" s="5" t="str">
        <f>IF(F6&lt;0.05,"BAJO",IF(F6&lt;0.15,"MEDIO",IF(F6&lt;0.3,"ALTO","CRÍTICO")))</f>
        <v>MEDIO</v>
      </c>
      <c r="I6" s="5" t="s">
        <v>113</v>
      </c>
    </row>
    <row r="7" spans="1:9" x14ac:dyDescent="0.25">
      <c r="A7" s="5">
        <v>2</v>
      </c>
      <c r="B7" s="5" t="s">
        <v>44</v>
      </c>
      <c r="C7" s="5" t="s">
        <v>114</v>
      </c>
      <c r="D7" s="6">
        <v>45648</v>
      </c>
      <c r="E7" s="7">
        <v>145000</v>
      </c>
      <c r="F7" s="10">
        <v>0.28999999999999998</v>
      </c>
      <c r="G7" s="5" t="s">
        <v>115</v>
      </c>
      <c r="H7" s="5" t="str">
        <f>IF(F7&lt;0.05,"BAJO",IF(F7&lt;0.15,"MEDIO",IF(F7&lt;0.3,"ALTO","CRÍTICO")))</f>
        <v>ALTO</v>
      </c>
      <c r="I7" s="5" t="s">
        <v>116</v>
      </c>
    </row>
    <row r="8" spans="1:9" x14ac:dyDescent="0.25">
      <c r="A8" s="5">
        <v>3</v>
      </c>
      <c r="B8" s="5" t="s">
        <v>41</v>
      </c>
      <c r="C8" s="5" t="s">
        <v>117</v>
      </c>
      <c r="D8" s="6">
        <v>45667</v>
      </c>
      <c r="E8" s="7">
        <v>320000</v>
      </c>
      <c r="F8" s="10">
        <v>0.4</v>
      </c>
      <c r="G8" s="5" t="s">
        <v>118</v>
      </c>
      <c r="H8" s="5" t="str">
        <f>IF(F8&lt;0.05,"BAJO",IF(F8&lt;0.15,"MEDIO",IF(F8&lt;0.3,"ALTO","CRÍTICO")))</f>
        <v>CRÍTICO</v>
      </c>
      <c r="I8" s="5" t="s">
        <v>113</v>
      </c>
    </row>
    <row r="9" spans="1:9" x14ac:dyDescent="0.25">
      <c r="A9" s="5">
        <v>4</v>
      </c>
      <c r="B9" s="5" t="s">
        <v>46</v>
      </c>
      <c r="C9" s="5" t="s">
        <v>119</v>
      </c>
      <c r="D9" s="6">
        <v>45624</v>
      </c>
      <c r="E9" s="7">
        <v>580000</v>
      </c>
      <c r="F9" s="10">
        <v>0.483333333333333</v>
      </c>
      <c r="G9" s="5" t="s">
        <v>120</v>
      </c>
      <c r="H9" s="5" t="str">
        <f>IF(F9&lt;0.05,"BAJO",IF(F9&lt;0.15,"MEDIO",IF(F9&lt;0.3,"ALTO","CRÍTICO")))</f>
        <v>CRÍTICO</v>
      </c>
      <c r="I9" s="5" t="s">
        <v>121</v>
      </c>
    </row>
    <row r="10" spans="1:9" x14ac:dyDescent="0.25">
      <c r="A10" s="5">
        <v>5</v>
      </c>
      <c r="B10" s="5" t="s">
        <v>35</v>
      </c>
      <c r="C10" s="5" t="s">
        <v>122</v>
      </c>
      <c r="D10" s="6">
        <v>45662</v>
      </c>
      <c r="E10" s="7">
        <v>65000</v>
      </c>
      <c r="F10" s="10">
        <v>0.16250000000000001</v>
      </c>
      <c r="G10" s="5" t="s">
        <v>112</v>
      </c>
      <c r="H10" s="5" t="str">
        <f>IF(F10&lt;0.05,"BAJO",IF(F10&lt;0.15,"MEDIO",IF(F10&lt;0.3,"ALTO","CRÍTICO")))</f>
        <v>ALTO</v>
      </c>
      <c r="I10" s="5" t="s">
        <v>113</v>
      </c>
    </row>
    <row r="11" spans="1:9" x14ac:dyDescent="0.25">
      <c r="D11" s="8" t="s">
        <v>123</v>
      </c>
      <c r="E11" s="9">
        <f>SUM(E6:E10)</f>
        <v>1195000</v>
      </c>
    </row>
  </sheetData>
  <mergeCells count="2">
    <mergeCell ref="A1:I1"/>
    <mergeCell ref="A3:I3"/>
  </mergeCells>
  <hyperlinks>
    <hyperlink ref="A2" r:id="rId1" location="INDICE!A1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INDICE</vt:lpstr>
      <vt:lpstr>PT_D1_Anticipos</vt:lpstr>
      <vt:lpstr>PT_D2_Viaticos</vt:lpstr>
      <vt:lpstr>PT_D3_Morosidad</vt:lpstr>
      <vt:lpstr>PT_D4_Ejecutivos</vt:lpstr>
      <vt:lpstr>PT_D5_Faltantes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2026-01-27T15:25:41Z</dcterms:created>
  <dcterms:modified xsi:type="dcterms:W3CDTF">2026-01-30T17:41:59Z</dcterms:modified>
  <dc:language>en-US</dc:language>
</cp:coreProperties>
</file>