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Toño\Desktop\PAPELES COLOMBIA\1 AUDITORIA Y REVISORIA FISCAL\Pruebas de Deteccion de Fraudes\"/>
    </mc:Choice>
  </mc:AlternateContent>
  <bookViews>
    <workbookView xWindow="0" yWindow="0" windowWidth="25200" windowHeight="11580"/>
  </bookViews>
  <sheets>
    <sheet name="ÍNDICE" sheetId="1" r:id="rId1"/>
    <sheet name="PT K.1 - Altas y Bajas" sheetId="2" r:id="rId2"/>
    <sheet name="PT K.2 - Verif Física" sheetId="3" r:id="rId3"/>
    <sheet name="PT K.3 - Horas Extras" sheetId="4" r:id="rId4"/>
    <sheet name="PT K.4 - Anticipos" sheetId="5" r:id="rId5"/>
    <sheet name="PT K.5 - Retenciones" sheetId="6" r:id="rId6"/>
    <sheet name="PT K.6 - Empleados Fantasma" sheetId="7" r:id="rId7"/>
    <sheet name="PT K.7 - Beneficios" sheetId="8" r:id="rId8"/>
    <sheet name="PT K.8 - Parientes Ejecut" sheetId="9" r:id="rId9"/>
    <sheet name="PT K.9 - Ctas Duplicadas" sheetId="10" r:id="rId10"/>
    <sheet name="PT K.10 - Cruce PILA" sheetId="11" r:id="rId11"/>
    <sheet name="PT K.11 - Datos Bancarios" sheetId="12" r:id="rId12"/>
    <sheet name="PT K.12 - Incrementos" sheetId="13" r:id="rId13"/>
    <sheet name="PT K.13 - Direc Tel Dupl" sheetId="14" r:id="rId14"/>
  </sheets>
  <calcPr calcId="162913"/>
</workbook>
</file>

<file path=xl/calcChain.xml><?xml version="1.0" encoding="utf-8"?>
<calcChain xmlns="http://schemas.openxmlformats.org/spreadsheetml/2006/main">
  <c r="G7" i="2" l="1"/>
  <c r="H7" i="2" s="1"/>
  <c r="B13" i="14"/>
  <c r="B12" i="14"/>
  <c r="I8" i="14"/>
  <c r="J8" i="14" s="1"/>
  <c r="J7" i="14"/>
  <c r="I7" i="14"/>
  <c r="B13" i="13"/>
  <c r="F9" i="13"/>
  <c r="G9" i="13" s="1"/>
  <c r="I9" i="13" s="1"/>
  <c r="K9" i="13" s="1"/>
  <c r="F8" i="13"/>
  <c r="G8" i="13" s="1"/>
  <c r="I8" i="13" s="1"/>
  <c r="K8" i="13" s="1"/>
  <c r="F7" i="13"/>
  <c r="G7" i="13" s="1"/>
  <c r="B13" i="12"/>
  <c r="H9" i="12"/>
  <c r="H8" i="12"/>
  <c r="H7" i="12"/>
  <c r="B14" i="11"/>
  <c r="I10" i="11"/>
  <c r="H10" i="11"/>
  <c r="J10" i="11" s="1"/>
  <c r="J9" i="11"/>
  <c r="I9" i="11"/>
  <c r="H9" i="11"/>
  <c r="B15" i="11" s="1"/>
  <c r="J8" i="11"/>
  <c r="I8" i="11"/>
  <c r="H8" i="11"/>
  <c r="J7" i="11"/>
  <c r="I7" i="11"/>
  <c r="H7" i="11"/>
  <c r="B13" i="10"/>
  <c r="B12" i="10"/>
  <c r="J8" i="10"/>
  <c r="J7" i="10"/>
  <c r="B13" i="9"/>
  <c r="B12" i="9"/>
  <c r="K8" i="9"/>
  <c r="K7" i="9"/>
  <c r="B14" i="8"/>
  <c r="G10" i="8"/>
  <c r="H10" i="8" s="1"/>
  <c r="J10" i="8" s="1"/>
  <c r="J9" i="8"/>
  <c r="H9" i="8"/>
  <c r="G9" i="8"/>
  <c r="J8" i="8"/>
  <c r="H8" i="8"/>
  <c r="G8" i="8"/>
  <c r="H7" i="8"/>
  <c r="G7" i="8"/>
  <c r="B16" i="8" s="1"/>
  <c r="I10" i="7"/>
  <c r="J10" i="7" s="1"/>
  <c r="K10" i="7" s="1"/>
  <c r="I9" i="7"/>
  <c r="J9" i="7" s="1"/>
  <c r="K9" i="7" s="1"/>
  <c r="I8" i="7"/>
  <c r="J8" i="7" s="1"/>
  <c r="K8" i="7" s="1"/>
  <c r="J7" i="7"/>
  <c r="B14" i="7" s="1"/>
  <c r="I7" i="7"/>
  <c r="B14" i="6"/>
  <c r="I10" i="6"/>
  <c r="H10" i="6"/>
  <c r="G10" i="6"/>
  <c r="F10" i="6"/>
  <c r="E10" i="6"/>
  <c r="J10" i="6" s="1"/>
  <c r="K10" i="6" s="1"/>
  <c r="D10" i="6"/>
  <c r="I9" i="6"/>
  <c r="H9" i="6"/>
  <c r="G9" i="6"/>
  <c r="F9" i="6"/>
  <c r="E9" i="6"/>
  <c r="J9" i="6" s="1"/>
  <c r="K9" i="6" s="1"/>
  <c r="D9" i="6"/>
  <c r="I8" i="6"/>
  <c r="H8" i="6"/>
  <c r="G8" i="6"/>
  <c r="F8" i="6"/>
  <c r="E8" i="6"/>
  <c r="J8" i="6" s="1"/>
  <c r="K8" i="6" s="1"/>
  <c r="D8" i="6"/>
  <c r="I7" i="6"/>
  <c r="H7" i="6"/>
  <c r="G7" i="6"/>
  <c r="F7" i="6"/>
  <c r="E7" i="6"/>
  <c r="J7" i="6" s="1"/>
  <c r="D7" i="6"/>
  <c r="B17" i="5"/>
  <c r="B15" i="5"/>
  <c r="B14" i="5"/>
  <c r="J10" i="5"/>
  <c r="I10" i="5"/>
  <c r="J9" i="5"/>
  <c r="I9" i="5"/>
  <c r="J8" i="5"/>
  <c r="I8" i="5"/>
  <c r="J7" i="5"/>
  <c r="I7" i="5"/>
  <c r="B16" i="5" s="1"/>
  <c r="B17" i="4"/>
  <c r="B16" i="4"/>
  <c r="B15" i="4"/>
  <c r="B14" i="4"/>
  <c r="I10" i="4"/>
  <c r="J10" i="4" s="1"/>
  <c r="K10" i="4" s="1"/>
  <c r="H10" i="4"/>
  <c r="K9" i="4"/>
  <c r="J9" i="4"/>
  <c r="I9" i="4"/>
  <c r="H9" i="4"/>
  <c r="I8" i="4"/>
  <c r="J8" i="4" s="1"/>
  <c r="K8" i="4" s="1"/>
  <c r="H8" i="4"/>
  <c r="I7" i="4"/>
  <c r="J7" i="4" s="1"/>
  <c r="K7" i="4" s="1"/>
  <c r="H7" i="4"/>
  <c r="B17" i="3"/>
  <c r="B16" i="3"/>
  <c r="B15" i="3"/>
  <c r="K11" i="3"/>
  <c r="J11" i="3"/>
  <c r="K10" i="3"/>
  <c r="J10" i="3"/>
  <c r="K9" i="3"/>
  <c r="J9" i="3"/>
  <c r="K8" i="3"/>
  <c r="J8" i="3"/>
  <c r="K7" i="3"/>
  <c r="J7" i="3"/>
  <c r="B15" i="2"/>
  <c r="G11" i="2"/>
  <c r="H11" i="2" s="1"/>
  <c r="G10" i="2"/>
  <c r="H10" i="2" s="1"/>
  <c r="G9" i="2"/>
  <c r="H9" i="2" s="1"/>
  <c r="G8" i="2"/>
  <c r="H8" i="2" s="1"/>
  <c r="I9" i="2" l="1"/>
  <c r="J9" i="2"/>
  <c r="I8" i="2"/>
  <c r="J8" i="2"/>
  <c r="K7" i="6"/>
  <c r="B15" i="6"/>
  <c r="I10" i="2"/>
  <c r="J10" i="2"/>
  <c r="B15" i="8"/>
  <c r="B17" i="2"/>
  <c r="I7" i="2"/>
  <c r="B16" i="2"/>
  <c r="J7" i="2"/>
  <c r="I11" i="2"/>
  <c r="J11" i="2"/>
  <c r="I7" i="13"/>
  <c r="K7" i="13" s="1"/>
  <c r="B15" i="13" s="1"/>
  <c r="B14" i="13"/>
  <c r="B15" i="7"/>
  <c r="B16" i="7" s="1"/>
  <c r="J7" i="8"/>
  <c r="K7" i="7"/>
</calcChain>
</file>

<file path=xl/sharedStrings.xml><?xml version="1.0" encoding="utf-8"?>
<sst xmlns="http://schemas.openxmlformats.org/spreadsheetml/2006/main" count="669" uniqueCount="320">
  <si>
    <t>PROGRAMA DE AUDITORÍA</t>
  </si>
  <si>
    <t>NÓMINA Y BENEFICIOS A EMPLEADOS</t>
  </si>
  <si>
    <t>DETECCIÓN DE FRAUDE Y EMPLEADOS FANTASMA</t>
  </si>
  <si>
    <t>REF.</t>
  </si>
  <si>
    <t>PAPEL DE TRABAJO</t>
  </si>
  <si>
    <t>NIA/MARCO</t>
  </si>
  <si>
    <t>OBJETIVO PRINCIPAL</t>
  </si>
  <si>
    <t>PT K.1</t>
  </si>
  <si>
    <t>Altas y Bajas vs RRHH</t>
  </si>
  <si>
    <t>NIA 315</t>
  </si>
  <si>
    <t>Verificar consistencia en movimientos de personal</t>
  </si>
  <si>
    <t>PT K.2</t>
  </si>
  <si>
    <t>Verificación Física Empleados</t>
  </si>
  <si>
    <t>NIA 240</t>
  </si>
  <si>
    <t>Detectar empleados fantasma mediante inspección</t>
  </si>
  <si>
    <t>PT K.3</t>
  </si>
  <si>
    <t>Horas Extras y Autorización</t>
  </si>
  <si>
    <t>Identificar abusos en horas extras</t>
  </si>
  <si>
    <t>PT K.4</t>
  </si>
  <si>
    <t>Anticipos y Recuperación</t>
  </si>
  <si>
    <t>NIA 330</t>
  </si>
  <si>
    <t>Evaluar cartera de anticipos a empleados</t>
  </si>
  <si>
    <t>PT K.5</t>
  </si>
  <si>
    <t>Retenciones vs Obligaciones</t>
  </si>
  <si>
    <t>NIA 250</t>
  </si>
  <si>
    <t>Verificar cumplimiento legal Colombia</t>
  </si>
  <si>
    <t>PT K.6</t>
  </si>
  <si>
    <t>Empleados Fantasma - Cruces</t>
  </si>
  <si>
    <t>Detección mediante cruces de información</t>
  </si>
  <si>
    <t>PT K.7</t>
  </si>
  <si>
    <t>Beneficios vs Políticas</t>
  </si>
  <si>
    <t>Verificar cumplimiento políticas internas</t>
  </si>
  <si>
    <t>PT K.8</t>
  </si>
  <si>
    <t>Parientes de Ejecutivos</t>
  </si>
  <si>
    <t>NIA 550</t>
  </si>
  <si>
    <t>Identificar conflictos de interés</t>
  </si>
  <si>
    <t>PT K.9</t>
  </si>
  <si>
    <t>Cuentas Bancarias Duplicadas</t>
  </si>
  <si>
    <t>Detectar fraude por cuentas duplicadas</t>
  </si>
  <si>
    <t>PT K.10</t>
  </si>
  <si>
    <t>Cruce Nómina vs PILA</t>
  </si>
  <si>
    <t>Cumplimiento seguridad social Colombia</t>
  </si>
  <si>
    <t>PT K.11</t>
  </si>
  <si>
    <t>Datos Bancarios Duplicados</t>
  </si>
  <si>
    <t>Detectar posibles empleados fantasma</t>
  </si>
  <si>
    <t>PT K.12</t>
  </si>
  <si>
    <t>Incrementos Salariales</t>
  </si>
  <si>
    <t>Identificar incrementos no autorizados</t>
  </si>
  <si>
    <t>PT K.13</t>
  </si>
  <si>
    <t>Direcciones/Teléfonos Duplicados</t>
  </si>
  <si>
    <t>Detectar patrones de fraude</t>
  </si>
  <si>
    <t>🚨 ESQUEMAS COMUNES DE FRAUDE EN NÓMINA</t>
  </si>
  <si>
    <t>• EMPLEADOS FANTASMA - Mayor esquema de fraude en nómina</t>
  </si>
  <si>
    <t>• Mantener empleados retirados en nómina</t>
  </si>
  <si>
    <t>• Duplicar pagos usando cuentas bancarias propias</t>
  </si>
  <si>
    <t>• Inflación de horas extras sin autorización</t>
  </si>
  <si>
    <t>• Incrementos salariales no autorizados</t>
  </si>
  <si>
    <t>• Beneficios excesivos sin justificación</t>
  </si>
  <si>
    <t>• Nepotismo y conflictos de interés</t>
  </si>
  <si>
    <t>• No reportar empleados en PILA (riesgo legal)</t>
  </si>
  <si>
    <t>⚖️ CUMPLIMIENTO LEGAL COLOMBIA</t>
  </si>
  <si>
    <t>✓ PILA - Planilla Integrada de Liquidación de Aportes (obligatorio mensual)</t>
  </si>
  <si>
    <t>✓ Retención en la fuente según tabla DIAN</t>
  </si>
  <si>
    <t>✓ Aportes a salud (EPS) - 12.5% (empleador 8.5% + empleado 4%)</t>
  </si>
  <si>
    <t>✓ Aportes a pensión (AFP) - 16% (empleador 12% + empleado 4%)</t>
  </si>
  <si>
    <t>✓ Límite horas extras - 2 horas diarias máximo</t>
  </si>
  <si>
    <t>✓ Prestaciones sociales - Prima, cesantías, intereses cesantías, vacaciones</t>
  </si>
  <si>
    <t>NOTAS CRÍTICAS:</t>
  </si>
  <si>
    <t>🔍 La verificación física de empleados es CRÍTICA para detectar fantasmas</t>
  </si>
  <si>
    <t>📊 Cruce con PILA es obligatorio para cumplimiento legal en Colombia</t>
  </si>
  <si>
    <t>🚨 Empleados fantasma pueden representar pérdidas significativas</t>
  </si>
  <si>
    <t>⚖️ Incumplimiento de PILA genera sanciones y riesgos legales</t>
  </si>
  <si>
    <t>📝 Documentar exhaustivamente cualquier hallazgo de fraude</t>
  </si>
  <si>
    <t>👥 Reportar inmediatamente empleados fantasma detectados</t>
  </si>
  <si>
    <t>💰 Calcular pérdidas históricas por fraude detectado</t>
  </si>
  <si>
    <t>PT K.1 - ALTAS Y BAJAS VS. REGISTROS RRHH</t>
  </si>
  <si>
    <t>CLIENTE:</t>
  </si>
  <si>
    <t>[Nombre del Cliente]</t>
  </si>
  <si>
    <t>PERÍODO:</t>
  </si>
  <si>
    <t>[AAAA]</t>
  </si>
  <si>
    <t>AUDITOR:</t>
  </si>
  <si>
    <t>[Nombre Auditor]</t>
  </si>
  <si>
    <t>FECHA:</t>
  </si>
  <si>
    <t>17/11/2025</t>
  </si>
  <si>
    <t>REF:</t>
  </si>
  <si>
    <t>PT K.1 - Altas y Bajas</t>
  </si>
  <si>
    <t>No.</t>
  </si>
  <si>
    <t>EMPLEADO</t>
  </si>
  <si>
    <t>CÉDULA</t>
  </si>
  <si>
    <t>TIPO MOVIMIENTO</t>
  </si>
  <si>
    <t>FECHA MOVIMIENTO RRHH</t>
  </si>
  <si>
    <t>FECHA MOVIMIENTO NÓMINA</t>
  </si>
  <si>
    <t>DIFERENCIA DÍAS</t>
  </si>
  <si>
    <t>COINCIDE</t>
  </si>
  <si>
    <t>IMPACTO NÓMINA</t>
  </si>
  <si>
    <t>RIESGO</t>
  </si>
  <si>
    <t>1</t>
  </si>
  <si>
    <t>Juan Pérez</t>
  </si>
  <si>
    <t>79123456</t>
  </si>
  <si>
    <t>ALTA</t>
  </si>
  <si>
    <t>2024-11-01</t>
  </si>
  <si>
    <t>2</t>
  </si>
  <si>
    <t>María Rodríguez</t>
  </si>
  <si>
    <t>52234567</t>
  </si>
  <si>
    <t>BAJA</t>
  </si>
  <si>
    <t>2024-11-15</t>
  </si>
  <si>
    <t>2024-11-30</t>
  </si>
  <si>
    <t>3</t>
  </si>
  <si>
    <t>Carlos Gómez</t>
  </si>
  <si>
    <t>1023456789</t>
  </si>
  <si>
    <t>2024-12-01</t>
  </si>
  <si>
    <t>4</t>
  </si>
  <si>
    <t>Ana Martínez</t>
  </si>
  <si>
    <t>52345678</t>
  </si>
  <si>
    <t>2024-12-10</t>
  </si>
  <si>
    <t>5</t>
  </si>
  <si>
    <t>Luis Torres</t>
  </si>
  <si>
    <t>79234567</t>
  </si>
  <si>
    <t>2024-12-15</t>
  </si>
  <si>
    <t>EVALUACIÓN DE MOVIMIENTOS</t>
  </si>
  <si>
    <t>Total Movimientos Revisados:</t>
  </si>
  <si>
    <t>Inconsistencias Detectadas:</t>
  </si>
  <si>
    <t>Diferencia Promedio (días):</t>
  </si>
  <si>
    <t>PT K.2 - VERIFICACIÓN FÍSICA DE EXISTENCIA DE EMPLEADOS</t>
  </si>
  <si>
    <t>PT K.2 - Verif Física</t>
  </si>
  <si>
    <t>CARGO</t>
  </si>
  <si>
    <t>ÁREA</t>
  </si>
  <si>
    <t>SALARIO MENSUAL</t>
  </si>
  <si>
    <t>FECHA VERIFICACIÓN</t>
  </si>
  <si>
    <t>PRESENTE</t>
  </si>
  <si>
    <t>VALIDÓ IDENTIDAD</t>
  </si>
  <si>
    <t>OBSERVACIONES</t>
  </si>
  <si>
    <t>Operario</t>
  </si>
  <si>
    <t>Producción</t>
  </si>
  <si>
    <t>SÍ</t>
  </si>
  <si>
    <t>Asistente</t>
  </si>
  <si>
    <t>Administración</t>
  </si>
  <si>
    <t>Pedro Fantasma</t>
  </si>
  <si>
    <t>79999999</t>
  </si>
  <si>
    <t>Coordinador</t>
  </si>
  <si>
    <t>Logística</t>
  </si>
  <si>
    <t>NO</t>
  </si>
  <si>
    <t>Analista</t>
  </si>
  <si>
    <t>Finanzas</t>
  </si>
  <si>
    <t>Jefe</t>
  </si>
  <si>
    <t>Ventas</t>
  </si>
  <si>
    <t>HALLAZGOS CRÍTICOS - EMPLEADOS FANTASMA</t>
  </si>
  <si>
    <t>Total Empleados Verificados:</t>
  </si>
  <si>
    <t>Empleados No Localizados:</t>
  </si>
  <si>
    <t>Valor Mensual Fraude:</t>
  </si>
  <si>
    <t>ACCIÓN INMEDIATA:</t>
  </si>
  <si>
    <t>Suspender pagos. Investigar responsables. Recuperar pagos fraudulentos. Evaluar denuncia penal.</t>
  </si>
  <si>
    <t>PT K.3 - ANÁLISIS DE HORAS EXTRAS Y AUTORIZACIÓN</t>
  </si>
  <si>
    <t>PT K.3 - Horas Extras</t>
  </si>
  <si>
    <t>MES</t>
  </si>
  <si>
    <t>HORAS EXTRAS</t>
  </si>
  <si>
    <t>VALOR HE</t>
  </si>
  <si>
    <t>AUTORIZACIÓN</t>
  </si>
  <si>
    <t>LÍMITE LEGAL (2H/DÍA)</t>
  </si>
  <si>
    <t>EXCEDE LÍMITE</t>
  </si>
  <si>
    <t>% s/SALARIO BASE</t>
  </si>
  <si>
    <t>EVALUACIÓN</t>
  </si>
  <si>
    <t>Nov-2024</t>
  </si>
  <si>
    <t>ANÁLISIS DE HORAS EXTRAS</t>
  </si>
  <si>
    <t>Total Empleados con HE:</t>
  </si>
  <si>
    <t>HE Sin Autorización:</t>
  </si>
  <si>
    <t>Total Valor HE:</t>
  </si>
  <si>
    <t>Exceden Límite Legal:</t>
  </si>
  <si>
    <t>PT K.4 - ANTICIPOS A EMPLEADOS Y RECUPERACIÓN</t>
  </si>
  <si>
    <t>PT K.4 - Anticipos</t>
  </si>
  <si>
    <t>FECHA ANTICIPO</t>
  </si>
  <si>
    <t>VALOR ANTICIPO</t>
  </si>
  <si>
    <t>PLAZO RECUPERACIÓN</t>
  </si>
  <si>
    <t>CUOTA MENSUAL</t>
  </si>
  <si>
    <t>SALDO PENDIENTE</t>
  </si>
  <si>
    <t>MESES MORA</t>
  </si>
  <si>
    <t>ESTADO</t>
  </si>
  <si>
    <t>2024-06-15</t>
  </si>
  <si>
    <t>2024-03-10</t>
  </si>
  <si>
    <t>2023-11-20</t>
  </si>
  <si>
    <t>Pedro Torres</t>
  </si>
  <si>
    <t>2023-08-15</t>
  </si>
  <si>
    <t>CARTERA DE ANTICIPOS</t>
  </si>
  <si>
    <t>Total Anticipos Vigentes:</t>
  </si>
  <si>
    <t>Saldo Total Pendiente:</t>
  </si>
  <si>
    <t>En Mora o Incobrable:</t>
  </si>
  <si>
    <t>Valor en Riesgo:</t>
  </si>
  <si>
    <t>PT K.5 - RETENCIONES VS. OBLIGACIONES LEGALES (DIAN, EPS, AFP)</t>
  </si>
  <si>
    <t>PT K.5 - Retenciones</t>
  </si>
  <si>
    <t>SALARIO BRUTO</t>
  </si>
  <si>
    <t>RETENCIÓN FUENTE CALC</t>
  </si>
  <si>
    <t>RETENCIÓN APLICADA</t>
  </si>
  <si>
    <t>EPS CALC</t>
  </si>
  <si>
    <t>EPS APLICADA</t>
  </si>
  <si>
    <t>AFP CALC</t>
  </si>
  <si>
    <t>AFP APLICADA</t>
  </si>
  <si>
    <t>CUMPLE</t>
  </si>
  <si>
    <t>CUMPLIMIENTO OBLIGACIONES LEGALES</t>
  </si>
  <si>
    <t>Total Empleados Revisados:</t>
  </si>
  <si>
    <t>Con Inconsistencias:</t>
  </si>
  <si>
    <t>RIESGO LEGAL:</t>
  </si>
  <si>
    <t>Inconsistencias en retenciones pueden generar sanciones de DIAN, EPS y AFP. Revisar urgentemente.</t>
  </si>
  <si>
    <t>PT K.6 - EMPLEADOS FANTASMA - COMPARACIÓN CON OTROS REGISTROS</t>
  </si>
  <si>
    <t>PT K.6 - Empleados Fantasma</t>
  </si>
  <si>
    <t>SALARIO</t>
  </si>
  <si>
    <t>EN NÓMINA</t>
  </si>
  <si>
    <t>EN RRHH</t>
  </si>
  <si>
    <t>EN VERIFICACIÓN FÍSICA</t>
  </si>
  <si>
    <t>EN PILA</t>
  </si>
  <si>
    <t>COINCIDENCIAS</t>
  </si>
  <si>
    <t>Empleado Ficticio</t>
  </si>
  <si>
    <t>11111111</t>
  </si>
  <si>
    <t>DETECCIÓN DE FRAUDE - EMPLEADOS FANTASMA</t>
  </si>
  <si>
    <t>Empleados Fantasma Detectados:</t>
  </si>
  <si>
    <t>Valor Anual Estimado:</t>
  </si>
  <si>
    <t>PT K.7 - BENEFICIOS OTORGADOS VS. POLÍTICAS INTERNAS</t>
  </si>
  <si>
    <t>PT K.7 - Beneficios</t>
  </si>
  <si>
    <t>TIPO BENEFICIO</t>
  </si>
  <si>
    <t>VALOR BENEFICIO</t>
  </si>
  <si>
    <t>POLÍTICA EMPRESA</t>
  </si>
  <si>
    <t>VALOR SEGÚN POLÍTICA</t>
  </si>
  <si>
    <t>DIFERENCIA</t>
  </si>
  <si>
    <t>CUMPLE POLÍTICA</t>
  </si>
  <si>
    <t>AUTORIZACIÓN EXCEPCIÓN</t>
  </si>
  <si>
    <t>Prima extralegal</t>
  </si>
  <si>
    <t>1 salario</t>
  </si>
  <si>
    <t>Sin autorización</t>
  </si>
  <si>
    <t>Auxilio educativo</t>
  </si>
  <si>
    <t>2 SMMLV</t>
  </si>
  <si>
    <t>Gerente General</t>
  </si>
  <si>
    <t>Bonificación especial</t>
  </si>
  <si>
    <t>No existe política</t>
  </si>
  <si>
    <t>Auxilio vivienda</t>
  </si>
  <si>
    <t>ANÁLISIS DE BENEFICIOS</t>
  </si>
  <si>
    <t>Total Beneficios Revisados:</t>
  </si>
  <si>
    <t>No Cumplen Política:</t>
  </si>
  <si>
    <t>Exceso Total Pagado:</t>
  </si>
  <si>
    <t>PT K.8 - PARIENTES DE EJECUTIVOS EN NÓMINA</t>
  </si>
  <si>
    <t>PT K.8 - Parientes Ejecut</t>
  </si>
  <si>
    <t>PARIENTE DE</t>
  </si>
  <si>
    <t>CARGO EJECUTIVO</t>
  </si>
  <si>
    <t>MISMO APELLIDO</t>
  </si>
  <si>
    <t>MISMA DIRECCIÓN</t>
  </si>
  <si>
    <t>REVELADO</t>
  </si>
  <si>
    <t>Carlos Gómez Jr.</t>
  </si>
  <si>
    <t>María Rodríguez L.</t>
  </si>
  <si>
    <t>52999888</t>
  </si>
  <si>
    <t>Coordinadora</t>
  </si>
  <si>
    <t>Juan Rodríguez</t>
  </si>
  <si>
    <t>Director Financiero</t>
  </si>
  <si>
    <t>CONFLICTOS DE INTERÉS</t>
  </si>
  <si>
    <t>Parientes Identificados:</t>
  </si>
  <si>
    <t>No Revelados:</t>
  </si>
  <si>
    <t>NOTA: Evaluar proceso de contratación y posible nepotismo. Verificar competencias vs salario.</t>
  </si>
  <si>
    <t>PT K.9 - CUENTAS BANCARIAS DUPLICADAS - PAGOS A MISMA CUENTA</t>
  </si>
  <si>
    <t>PT K.9 - Ctas Duplicadas</t>
  </si>
  <si>
    <t>EMPLEADO 1</t>
  </si>
  <si>
    <t>CÉDULA 1</t>
  </si>
  <si>
    <t>EMPLEADO 2</t>
  </si>
  <si>
    <t>CÉDULA 2</t>
  </si>
  <si>
    <t>CUENTA BANCARIA</t>
  </si>
  <si>
    <t>BANCO</t>
  </si>
  <si>
    <t>SALARIO 1</t>
  </si>
  <si>
    <t>SALARIO 2</t>
  </si>
  <si>
    <t>Pedro Pérez</t>
  </si>
  <si>
    <t>1234567890</t>
  </si>
  <si>
    <t>Bancolombia</t>
  </si>
  <si>
    <t>CRÍTICO</t>
  </si>
  <si>
    <t>Ana Rodríguez</t>
  </si>
  <si>
    <t>9876543210</t>
  </si>
  <si>
    <t>Davivienda</t>
  </si>
  <si>
    <t>HALLAZGO CRÍTICO - FRAUDE POTENCIAL</t>
  </si>
  <si>
    <t>Cuentas Duplicadas:</t>
  </si>
  <si>
    <t>Valor Total Mensual:</t>
  </si>
  <si>
    <t>ACCIÓN: Suspender pagos inmediatamente. Investigar empleados. Verificar identidad. Recuperar pagos indebidos.</t>
  </si>
  <si>
    <t>PT K.10 - CRUCE NÓMINA VS. PILA (SEGURIDAD SOCIAL)</t>
  </si>
  <si>
    <t>PT K.10 - Cruce PILA</t>
  </si>
  <si>
    <t>SALARIO NÓMINA</t>
  </si>
  <si>
    <t>SALARIO PILA</t>
  </si>
  <si>
    <t>CUMPLIMIENTO LEGAL COLOMBIA</t>
  </si>
  <si>
    <t>Empleados No en PILA:</t>
  </si>
  <si>
    <t>Con Diferencias Salariales:</t>
  </si>
  <si>
    <t>RIESGO LEGAL: Sanciones por no cotizar o diferencias en salarios reportados. Notificar a área legal.</t>
  </si>
  <si>
    <t>PT K.11 - DATOS BANCARIOS DUPLICADOS</t>
  </si>
  <si>
    <t>PT K.11 - Datos Bancarios</t>
  </si>
  <si>
    <t>TIPO CUENTA</t>
  </si>
  <si>
    <t>REGISTROS CON MISMA CUENTA</t>
  </si>
  <si>
    <t>Ahorros</t>
  </si>
  <si>
    <t>Corriente</t>
  </si>
  <si>
    <t>DETECCIÓN DE DUPLICADOS</t>
  </si>
  <si>
    <t>PT K.12 - INCREMENTOS SALARIALES INUSUALES</t>
  </si>
  <si>
    <t>PT K.12 - Incrementos</t>
  </si>
  <si>
    <t>SALARIO ANTERIOR</t>
  </si>
  <si>
    <t>SALARIO ACTUAL</t>
  </si>
  <si>
    <t>INCREMENTO $</t>
  </si>
  <si>
    <t>% INCREMENTO</t>
  </si>
  <si>
    <t>PROMEDIO MERCADO</t>
  </si>
  <si>
    <t>DESVIACIÓN</t>
  </si>
  <si>
    <t>ANÁLISIS DE INCREMENTOS</t>
  </si>
  <si>
    <t>Incrementos Revisados:</t>
  </si>
  <si>
    <t>Incremento Promedio:</t>
  </si>
  <si>
    <t>Incrementos Excesivos:</t>
  </si>
  <si>
    <t>PT K.13 - DIRECCIONES/TELÉFONOS DUPLICADOS ENTRE EMPLEADOS</t>
  </si>
  <si>
    <t>PT K.13 - Direc Tel Dupl</t>
  </si>
  <si>
    <t>DIRECCIÓN</t>
  </si>
  <si>
    <t>TELÉFONO</t>
  </si>
  <si>
    <t>EMAIL</t>
  </si>
  <si>
    <t>RELACIÓN</t>
  </si>
  <si>
    <t>JUSTIFICACIÓN</t>
  </si>
  <si>
    <t>María Pérez</t>
  </si>
  <si>
    <t>Calle 50 #23-45</t>
  </si>
  <si>
    <t>3001234567</t>
  </si>
  <si>
    <t>correo1@mail.com</t>
  </si>
  <si>
    <t>Pareja/Esposos</t>
  </si>
  <si>
    <t>Pedro Gómez</t>
  </si>
  <si>
    <t>correo2@mail.com</t>
  </si>
  <si>
    <t>Desconocida</t>
  </si>
  <si>
    <t>DETECCIÓN DE PATRONES SOSPECHOSOS</t>
  </si>
  <si>
    <t>Duplicados Identificados:</t>
  </si>
  <si>
    <t>Sin 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</si>
</sst>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0&quot; días&quot;"/>
    <numFmt numFmtId="166" formatCode="\$#,##0"/>
    <numFmt numFmtId="167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name val="Calibri"/>
      <family val="2"/>
    </font>
    <font>
      <b/>
      <sz val="11"/>
      <color rgb="FFFFFFFF"/>
      <name val="Arial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6"/>
      <color rgb="FFFFFFFF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B8CCE4"/>
        <bgColor rgb="FFB8CCE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7030A0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4" fillId="0" borderId="0" xfId="0" applyFont="1"/>
    <xf numFmtId="165" fontId="0" fillId="0" borderId="0" xfId="0" applyNumberFormat="1"/>
    <xf numFmtId="3" fontId="0" fillId="0" borderId="0" xfId="0" applyNumberFormat="1"/>
    <xf numFmtId="166" fontId="4" fillId="0" borderId="0" xfId="0" applyNumberFormat="1" applyFont="1"/>
    <xf numFmtId="167" fontId="0" fillId="0" borderId="0" xfId="0" applyNumberFormat="1"/>
    <xf numFmtId="0" fontId="6" fillId="0" borderId="0" xfId="0" applyFont="1"/>
    <xf numFmtId="166" fontId="0" fillId="0" borderId="0" xfId="0" applyNumberFormat="1"/>
    <xf numFmtId="166" fontId="6" fillId="0" borderId="0" xfId="0" applyNumberFormat="1" applyFont="1"/>
    <xf numFmtId="0" fontId="0" fillId="0" borderId="0" xfId="0"/>
    <xf numFmtId="0" fontId="0" fillId="0" borderId="0" xfId="0" applyAlignment="1">
      <alignment wrapText="1"/>
    </xf>
    <xf numFmtId="0" fontId="10" fillId="7" borderId="0" xfId="0" applyFont="1" applyFill="1"/>
    <xf numFmtId="0" fontId="11" fillId="0" borderId="0" xfId="0" applyFont="1"/>
    <xf numFmtId="0" fontId="9" fillId="0" borderId="0" xfId="0" applyFont="1" applyAlignment="1">
      <alignment horizontal="center" vertical="center"/>
    </xf>
    <xf numFmtId="0" fontId="10" fillId="4" borderId="0" xfId="0" applyFont="1" applyFill="1"/>
    <xf numFmtId="0" fontId="8" fillId="0" borderId="0" xfId="0" applyFont="1" applyAlignment="1">
      <alignment horizontal="center" vertical="center"/>
    </xf>
    <xf numFmtId="0" fontId="2" fillId="3" borderId="0" xfId="0" applyFont="1" applyFill="1"/>
    <xf numFmtId="0" fontId="2" fillId="0" borderId="0" xfId="0" applyFont="1"/>
    <xf numFmtId="0" fontId="5" fillId="4" borderId="0" xfId="0" applyFont="1" applyFill="1"/>
    <xf numFmtId="0" fontId="0" fillId="5" borderId="0" xfId="0" applyFill="1" applyAlignment="1">
      <alignment wrapText="1"/>
    </xf>
    <xf numFmtId="0" fontId="2" fillId="6" borderId="0" xfId="0" applyFont="1" applyFill="1"/>
    <xf numFmtId="0" fontId="7" fillId="8" borderId="0" xfId="0" applyFont="1" applyFill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J7" sqref="J7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5" customWidth="1"/>
    <col min="4" max="4" width="40" customWidth="1"/>
  </cols>
  <sheetData>
    <row r="1" spans="1:4" ht="30" customHeight="1" x14ac:dyDescent="0.25">
      <c r="A1" s="28" t="s">
        <v>0</v>
      </c>
      <c r="B1" s="29"/>
      <c r="C1" s="29"/>
      <c r="D1" s="29"/>
    </row>
    <row r="2" spans="1:4" ht="15.75" x14ac:dyDescent="0.25">
      <c r="A2" s="22" t="s">
        <v>1</v>
      </c>
      <c r="B2" s="16"/>
      <c r="C2" s="16"/>
      <c r="D2" s="16"/>
    </row>
    <row r="3" spans="1:4" x14ac:dyDescent="0.25">
      <c r="A3" s="20" t="s">
        <v>2</v>
      </c>
      <c r="B3" s="16"/>
      <c r="C3" s="16"/>
      <c r="D3" s="16"/>
    </row>
    <row r="5" spans="1:4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4" ht="30" x14ac:dyDescent="0.25">
      <c r="A6" s="2" t="s">
        <v>7</v>
      </c>
      <c r="B6" s="3" t="s">
        <v>8</v>
      </c>
      <c r="C6" s="3" t="s">
        <v>9</v>
      </c>
      <c r="D6" s="3" t="s">
        <v>10</v>
      </c>
    </row>
    <row r="7" spans="1:4" ht="30" x14ac:dyDescent="0.25">
      <c r="A7" s="2" t="s">
        <v>11</v>
      </c>
      <c r="B7" s="3" t="s">
        <v>12</v>
      </c>
      <c r="C7" s="3" t="s">
        <v>13</v>
      </c>
      <c r="D7" s="3" t="s">
        <v>14</v>
      </c>
    </row>
    <row r="8" spans="1:4" x14ac:dyDescent="0.25">
      <c r="A8" s="2" t="s">
        <v>15</v>
      </c>
      <c r="B8" s="3" t="s">
        <v>16</v>
      </c>
      <c r="C8" s="3" t="s">
        <v>13</v>
      </c>
      <c r="D8" s="3" t="s">
        <v>17</v>
      </c>
    </row>
    <row r="9" spans="1:4" x14ac:dyDescent="0.25">
      <c r="A9" s="2" t="s">
        <v>18</v>
      </c>
      <c r="B9" s="3" t="s">
        <v>19</v>
      </c>
      <c r="C9" s="3" t="s">
        <v>20</v>
      </c>
      <c r="D9" s="3" t="s">
        <v>21</v>
      </c>
    </row>
    <row r="10" spans="1:4" x14ac:dyDescent="0.25">
      <c r="A10" s="2" t="s">
        <v>22</v>
      </c>
      <c r="B10" s="3" t="s">
        <v>23</v>
      </c>
      <c r="C10" s="3" t="s">
        <v>24</v>
      </c>
      <c r="D10" s="3" t="s">
        <v>25</v>
      </c>
    </row>
    <row r="11" spans="1:4" x14ac:dyDescent="0.25">
      <c r="A11" s="2" t="s">
        <v>26</v>
      </c>
      <c r="B11" s="3" t="s">
        <v>27</v>
      </c>
      <c r="C11" s="3" t="s">
        <v>13</v>
      </c>
      <c r="D11" s="3" t="s">
        <v>28</v>
      </c>
    </row>
    <row r="12" spans="1:4" x14ac:dyDescent="0.25">
      <c r="A12" s="2" t="s">
        <v>29</v>
      </c>
      <c r="B12" s="3" t="s">
        <v>30</v>
      </c>
      <c r="C12" s="3" t="s">
        <v>9</v>
      </c>
      <c r="D12" s="3" t="s">
        <v>31</v>
      </c>
    </row>
    <row r="13" spans="1:4" x14ac:dyDescent="0.25">
      <c r="A13" s="2" t="s">
        <v>32</v>
      </c>
      <c r="B13" s="3" t="s">
        <v>33</v>
      </c>
      <c r="C13" s="3" t="s">
        <v>34</v>
      </c>
      <c r="D13" s="3" t="s">
        <v>35</v>
      </c>
    </row>
    <row r="14" spans="1:4" x14ac:dyDescent="0.25">
      <c r="A14" s="2" t="s">
        <v>36</v>
      </c>
      <c r="B14" s="3" t="s">
        <v>37</v>
      </c>
      <c r="C14" s="3" t="s">
        <v>13</v>
      </c>
      <c r="D14" s="3" t="s">
        <v>38</v>
      </c>
    </row>
    <row r="15" spans="1:4" x14ac:dyDescent="0.25">
      <c r="A15" s="2" t="s">
        <v>39</v>
      </c>
      <c r="B15" s="3" t="s">
        <v>40</v>
      </c>
      <c r="C15" s="3" t="s">
        <v>24</v>
      </c>
      <c r="D15" s="3" t="s">
        <v>41</v>
      </c>
    </row>
    <row r="16" spans="1:4" x14ac:dyDescent="0.25">
      <c r="A16" s="2" t="s">
        <v>42</v>
      </c>
      <c r="B16" s="3" t="s">
        <v>43</v>
      </c>
      <c r="C16" s="3" t="s">
        <v>13</v>
      </c>
      <c r="D16" s="3" t="s">
        <v>44</v>
      </c>
    </row>
    <row r="17" spans="1:4" x14ac:dyDescent="0.25">
      <c r="A17" s="2" t="s">
        <v>45</v>
      </c>
      <c r="B17" s="3" t="s">
        <v>46</v>
      </c>
      <c r="C17" s="3" t="s">
        <v>13</v>
      </c>
      <c r="D17" s="3" t="s">
        <v>47</v>
      </c>
    </row>
    <row r="18" spans="1:4" x14ac:dyDescent="0.25">
      <c r="A18" s="2" t="s">
        <v>48</v>
      </c>
      <c r="B18" s="3" t="s">
        <v>49</v>
      </c>
      <c r="C18" s="3" t="s">
        <v>13</v>
      </c>
      <c r="D18" s="3" t="s">
        <v>50</v>
      </c>
    </row>
    <row r="21" spans="1:4" x14ac:dyDescent="0.25">
      <c r="A21" s="21" t="s">
        <v>51</v>
      </c>
      <c r="B21" s="16"/>
      <c r="C21" s="16"/>
      <c r="D21" s="16"/>
    </row>
    <row r="22" spans="1:4" x14ac:dyDescent="0.25">
      <c r="A22" s="16" t="s">
        <v>52</v>
      </c>
      <c r="B22" s="16"/>
      <c r="C22" s="16"/>
      <c r="D22" s="16"/>
    </row>
    <row r="23" spans="1:4" x14ac:dyDescent="0.25">
      <c r="A23" s="16" t="s">
        <v>53</v>
      </c>
      <c r="B23" s="16"/>
      <c r="C23" s="16"/>
      <c r="D23" s="16"/>
    </row>
    <row r="24" spans="1:4" x14ac:dyDescent="0.25">
      <c r="A24" s="16" t="s">
        <v>54</v>
      </c>
      <c r="B24" s="16"/>
      <c r="C24" s="16"/>
      <c r="D24" s="16"/>
    </row>
    <row r="25" spans="1:4" x14ac:dyDescent="0.25">
      <c r="A25" s="16" t="s">
        <v>55</v>
      </c>
      <c r="B25" s="16"/>
      <c r="C25" s="16"/>
      <c r="D25" s="16"/>
    </row>
    <row r="26" spans="1:4" x14ac:dyDescent="0.25">
      <c r="A26" s="16" t="s">
        <v>56</v>
      </c>
      <c r="B26" s="16"/>
      <c r="C26" s="16"/>
      <c r="D26" s="16"/>
    </row>
    <row r="27" spans="1:4" x14ac:dyDescent="0.25">
      <c r="A27" s="16" t="s">
        <v>57</v>
      </c>
      <c r="B27" s="16"/>
      <c r="C27" s="16"/>
      <c r="D27" s="16"/>
    </row>
    <row r="28" spans="1:4" x14ac:dyDescent="0.25">
      <c r="A28" s="16" t="s">
        <v>58</v>
      </c>
      <c r="B28" s="16"/>
      <c r="C28" s="16"/>
      <c r="D28" s="16"/>
    </row>
    <row r="29" spans="1:4" x14ac:dyDescent="0.25">
      <c r="A29" s="16" t="s">
        <v>59</v>
      </c>
      <c r="B29" s="16"/>
      <c r="C29" s="16"/>
      <c r="D29" s="16"/>
    </row>
    <row r="31" spans="1:4" x14ac:dyDescent="0.25">
      <c r="A31" s="18" t="s">
        <v>60</v>
      </c>
      <c r="B31" s="16"/>
      <c r="C31" s="16"/>
      <c r="D31" s="16"/>
    </row>
    <row r="32" spans="1:4" x14ac:dyDescent="0.25">
      <c r="A32" s="16" t="s">
        <v>61</v>
      </c>
      <c r="B32" s="16"/>
      <c r="C32" s="16"/>
      <c r="D32" s="16"/>
    </row>
    <row r="33" spans="1:4" x14ac:dyDescent="0.25">
      <c r="A33" s="16" t="s">
        <v>62</v>
      </c>
      <c r="B33" s="16"/>
      <c r="C33" s="16"/>
      <c r="D33" s="16"/>
    </row>
    <row r="34" spans="1:4" x14ac:dyDescent="0.25">
      <c r="A34" s="16" t="s">
        <v>63</v>
      </c>
      <c r="B34" s="16"/>
      <c r="C34" s="16"/>
      <c r="D34" s="16"/>
    </row>
    <row r="35" spans="1:4" x14ac:dyDescent="0.25">
      <c r="A35" s="16" t="s">
        <v>64</v>
      </c>
      <c r="B35" s="16"/>
      <c r="C35" s="16"/>
      <c r="D35" s="16"/>
    </row>
    <row r="36" spans="1:4" x14ac:dyDescent="0.25">
      <c r="A36" s="16" t="s">
        <v>65</v>
      </c>
      <c r="B36" s="16"/>
      <c r="C36" s="16"/>
      <c r="D36" s="16"/>
    </row>
    <row r="37" spans="1:4" x14ac:dyDescent="0.25">
      <c r="A37" s="16" t="s">
        <v>66</v>
      </c>
      <c r="B37" s="16"/>
      <c r="C37" s="16"/>
      <c r="D37" s="16"/>
    </row>
    <row r="39" spans="1:4" x14ac:dyDescent="0.25">
      <c r="A39" s="19" t="s">
        <v>67</v>
      </c>
      <c r="B39" s="16"/>
      <c r="C39" s="16"/>
      <c r="D39" s="16"/>
    </row>
    <row r="40" spans="1:4" x14ac:dyDescent="0.25">
      <c r="A40" s="17" t="s">
        <v>68</v>
      </c>
      <c r="B40" s="16"/>
      <c r="C40" s="16"/>
      <c r="D40" s="16"/>
    </row>
    <row r="41" spans="1:4" x14ac:dyDescent="0.25">
      <c r="A41" s="17" t="s">
        <v>69</v>
      </c>
      <c r="B41" s="16"/>
      <c r="C41" s="16"/>
      <c r="D41" s="16"/>
    </row>
    <row r="42" spans="1:4" x14ac:dyDescent="0.25">
      <c r="A42" s="17" t="s">
        <v>70</v>
      </c>
      <c r="B42" s="16"/>
      <c r="C42" s="16"/>
      <c r="D42" s="16"/>
    </row>
    <row r="43" spans="1:4" x14ac:dyDescent="0.25">
      <c r="A43" s="17" t="s">
        <v>71</v>
      </c>
      <c r="B43" s="16"/>
      <c r="C43" s="16"/>
      <c r="D43" s="16"/>
    </row>
    <row r="44" spans="1:4" x14ac:dyDescent="0.25">
      <c r="A44" s="17" t="s">
        <v>72</v>
      </c>
      <c r="B44" s="16"/>
      <c r="C44" s="16"/>
      <c r="D44" s="16"/>
    </row>
    <row r="45" spans="1:4" x14ac:dyDescent="0.25">
      <c r="A45" s="17" t="s">
        <v>73</v>
      </c>
      <c r="B45" s="16"/>
      <c r="C45" s="16"/>
      <c r="D45" s="16"/>
    </row>
    <row r="46" spans="1:4" x14ac:dyDescent="0.25">
      <c r="A46" s="17" t="s">
        <v>74</v>
      </c>
      <c r="B46" s="16"/>
      <c r="C46" s="16"/>
      <c r="D46" s="16"/>
    </row>
  </sheetData>
  <mergeCells count="27">
    <mergeCell ref="A1:D1"/>
    <mergeCell ref="A45:D45"/>
    <mergeCell ref="A25:D25"/>
    <mergeCell ref="A41:D41"/>
    <mergeCell ref="A46:D46"/>
    <mergeCell ref="A37:D37"/>
    <mergeCell ref="A27:D27"/>
    <mergeCell ref="A3:D3"/>
    <mergeCell ref="A21:D21"/>
    <mergeCell ref="A26:D26"/>
    <mergeCell ref="A2:D2"/>
    <mergeCell ref="A33:D33"/>
    <mergeCell ref="A42:D42"/>
    <mergeCell ref="A32:D32"/>
    <mergeCell ref="A44:D44"/>
    <mergeCell ref="A40:D40"/>
    <mergeCell ref="A31:D31"/>
    <mergeCell ref="A34:D34"/>
    <mergeCell ref="A39:D39"/>
    <mergeCell ref="A36:D36"/>
    <mergeCell ref="A23:D23"/>
    <mergeCell ref="A22:D22"/>
    <mergeCell ref="A35:D35"/>
    <mergeCell ref="A29:D29"/>
    <mergeCell ref="A43:D43"/>
    <mergeCell ref="A28:D2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G22" sqref="G22"/>
    </sheetView>
  </sheetViews>
  <sheetFormatPr baseColWidth="10" defaultColWidth="9.140625" defaultRowHeight="15" x14ac:dyDescent="0.25"/>
  <cols>
    <col min="1" max="10" width="16" customWidth="1"/>
  </cols>
  <sheetData>
    <row r="1" spans="1:10" ht="18" x14ac:dyDescent="0.25">
      <c r="A1" s="30" t="s">
        <v>75</v>
      </c>
      <c r="B1" s="29"/>
      <c r="C1" s="29"/>
      <c r="D1" s="29"/>
      <c r="E1" s="29"/>
      <c r="F1" s="29"/>
      <c r="G1" s="29"/>
      <c r="H1" s="29"/>
    </row>
    <row r="2" spans="1:10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0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0" x14ac:dyDescent="0.25">
      <c r="A4" s="4" t="s">
        <v>84</v>
      </c>
      <c r="B4" t="s">
        <v>85</v>
      </c>
      <c r="E4" s="4"/>
    </row>
    <row r="6" spans="1:10" ht="45" x14ac:dyDescent="0.25">
      <c r="A6" s="5" t="s">
        <v>86</v>
      </c>
      <c r="B6" s="5" t="s">
        <v>87</v>
      </c>
      <c r="C6" s="5" t="s">
        <v>88</v>
      </c>
      <c r="D6" s="5" t="s">
        <v>89</v>
      </c>
      <c r="E6" s="5" t="s">
        <v>90</v>
      </c>
      <c r="F6" s="5" t="s">
        <v>91</v>
      </c>
      <c r="G6" s="5" t="s">
        <v>92</v>
      </c>
      <c r="H6" s="5" t="s">
        <v>93</v>
      </c>
      <c r="I6" s="5" t="s">
        <v>94</v>
      </c>
      <c r="J6" s="5" t="s">
        <v>95</v>
      </c>
    </row>
    <row r="7" spans="1:10" x14ac:dyDescent="0.25">
      <c r="A7" t="s">
        <v>96</v>
      </c>
      <c r="B7" t="s">
        <v>97</v>
      </c>
      <c r="C7" t="s">
        <v>98</v>
      </c>
      <c r="D7" t="s">
        <v>99</v>
      </c>
      <c r="E7" s="6" t="s">
        <v>100</v>
      </c>
      <c r="F7" s="6" t="s">
        <v>100</v>
      </c>
      <c r="G7" s="7">
        <f>F7-E7</f>
        <v>0</v>
      </c>
      <c r="H7" t="str">
        <f>IF(G7=0,"SÍ","NO")</f>
        <v>SÍ</v>
      </c>
      <c r="I7" t="str">
        <f>IF(H7="NO",IF(D7="BAJA","Pago indebido días adicionales","Falta pago días trabajados"),"Correcto")</f>
        <v>Correcto</v>
      </c>
      <c r="J7" t="str">
        <f>IF(H7="NO","ALTO","BAJO")</f>
        <v>BAJO</v>
      </c>
    </row>
    <row r="8" spans="1:10" x14ac:dyDescent="0.25">
      <c r="A8" t="s">
        <v>101</v>
      </c>
      <c r="B8" t="s">
        <v>102</v>
      </c>
      <c r="C8" t="s">
        <v>103</v>
      </c>
      <c r="D8" t="s">
        <v>104</v>
      </c>
      <c r="E8" s="6" t="s">
        <v>105</v>
      </c>
      <c r="F8" s="6" t="s">
        <v>106</v>
      </c>
      <c r="G8" s="7">
        <f>F8-E8</f>
        <v>15</v>
      </c>
      <c r="H8" t="str">
        <f>IF(G8=0,"SÍ","NO")</f>
        <v>NO</v>
      </c>
      <c r="I8" t="str">
        <f>IF(H8="NO",IF(D8="BAJA","Pago indebido días adicionales","Falta pago días trabajados"),"Correcto")</f>
        <v>Pago indebido días adicionales</v>
      </c>
      <c r="J8" t="str">
        <f>IF(H8="NO","ALTO","BAJO")</f>
        <v>ALTO</v>
      </c>
    </row>
    <row r="9" spans="1:10" x14ac:dyDescent="0.25">
      <c r="A9" t="s">
        <v>107</v>
      </c>
      <c r="B9" t="s">
        <v>108</v>
      </c>
      <c r="C9" t="s">
        <v>109</v>
      </c>
      <c r="D9" t="s">
        <v>99</v>
      </c>
      <c r="E9" s="6" t="s">
        <v>110</v>
      </c>
      <c r="F9" s="6" t="s">
        <v>105</v>
      </c>
      <c r="G9" s="7">
        <f>F9-E9</f>
        <v>-16</v>
      </c>
      <c r="H9" t="str">
        <f>IF(G9=0,"SÍ","NO")</f>
        <v>NO</v>
      </c>
      <c r="I9" t="str">
        <f>IF(H9="NO",IF(D9="BAJA","Pago indebido días adicionales","Falta pago días trabajados"),"Correcto")</f>
        <v>Falta pago días trabajados</v>
      </c>
      <c r="J9" t="str">
        <f>IF(H9="NO","ALTO","BAJO")</f>
        <v>ALTO</v>
      </c>
    </row>
    <row r="10" spans="1:10" x14ac:dyDescent="0.25">
      <c r="A10" t="s">
        <v>111</v>
      </c>
      <c r="B10" t="s">
        <v>112</v>
      </c>
      <c r="C10" t="s">
        <v>113</v>
      </c>
      <c r="D10" t="s">
        <v>104</v>
      </c>
      <c r="E10" s="6" t="s">
        <v>114</v>
      </c>
      <c r="F10" s="6" t="s">
        <v>114</v>
      </c>
      <c r="G10" s="7">
        <f>F10-E10</f>
        <v>0</v>
      </c>
      <c r="H10" t="str">
        <f>IF(G10=0,"SÍ","NO")</f>
        <v>SÍ</v>
      </c>
      <c r="I10" t="str">
        <f>IF(H10="NO",IF(D10="BAJA","Pago indebido días adicionales","Falta pago días trabajados"),"Correcto")</f>
        <v>Correcto</v>
      </c>
      <c r="J10" t="str">
        <f>IF(H10="NO","ALTO","BAJO")</f>
        <v>BAJO</v>
      </c>
    </row>
    <row r="11" spans="1:10" x14ac:dyDescent="0.25">
      <c r="A11" t="s">
        <v>115</v>
      </c>
      <c r="B11" t="s">
        <v>116</v>
      </c>
      <c r="C11" t="s">
        <v>117</v>
      </c>
      <c r="D11" t="s">
        <v>99</v>
      </c>
      <c r="E11" s="6" t="s">
        <v>118</v>
      </c>
      <c r="F11" s="6" t="s">
        <v>118</v>
      </c>
      <c r="G11" s="7">
        <f>F11-E11</f>
        <v>0</v>
      </c>
      <c r="H11" t="str">
        <f>IF(G11=0,"SÍ","NO")</f>
        <v>SÍ</v>
      </c>
      <c r="I11" t="str">
        <f>IF(H11="NO",IF(D11="BAJA","Pago indebido días adicionales","Falta pago días trabajados"),"Correcto")</f>
        <v>Correcto</v>
      </c>
      <c r="J11" t="str">
        <f>IF(H11="NO","ALTO","BAJO")</f>
        <v>BAJO</v>
      </c>
    </row>
    <row r="14" spans="1:10" x14ac:dyDescent="0.25">
      <c r="A14" s="23" t="s">
        <v>119</v>
      </c>
      <c r="B14" s="16"/>
      <c r="C14" s="16"/>
      <c r="D14" s="16"/>
    </row>
    <row r="15" spans="1:10" x14ac:dyDescent="0.25">
      <c r="A15" t="s">
        <v>120</v>
      </c>
      <c r="B15">
        <f>COUNTA(A7:A11)</f>
        <v>5</v>
      </c>
    </row>
    <row r="16" spans="1:10" x14ac:dyDescent="0.25">
      <c r="A16" t="s">
        <v>121</v>
      </c>
      <c r="B16" s="8">
        <f>COUNTIF(H7:H11,"NO")</f>
        <v>2</v>
      </c>
    </row>
    <row r="17" spans="1:2" x14ac:dyDescent="0.25">
      <c r="A17" t="s">
        <v>122</v>
      </c>
      <c r="B17" s="9">
        <f>AVERAGEIF(H7:H11,"NO",G7:G11)</f>
        <v>-0.5</v>
      </c>
    </row>
  </sheetData>
  <mergeCells count="2">
    <mergeCell ref="A14:D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sqref="A1:H1"/>
    </sheetView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30" t="s">
        <v>123</v>
      </c>
      <c r="B1" s="29"/>
      <c r="C1" s="29"/>
      <c r="D1" s="29"/>
      <c r="E1" s="29"/>
      <c r="F1" s="29"/>
      <c r="G1" s="29"/>
      <c r="H1" s="29"/>
    </row>
    <row r="2" spans="1:11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1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1" x14ac:dyDescent="0.25">
      <c r="A4" s="4" t="s">
        <v>84</v>
      </c>
      <c r="B4" t="s">
        <v>124</v>
      </c>
      <c r="E4" s="4"/>
    </row>
    <row r="6" spans="1:11" ht="30" x14ac:dyDescent="0.25">
      <c r="A6" s="5" t="s">
        <v>86</v>
      </c>
      <c r="B6" s="5" t="s">
        <v>87</v>
      </c>
      <c r="C6" s="5" t="s">
        <v>88</v>
      </c>
      <c r="D6" s="5" t="s">
        <v>125</v>
      </c>
      <c r="E6" s="5" t="s">
        <v>126</v>
      </c>
      <c r="F6" s="5" t="s">
        <v>127</v>
      </c>
      <c r="G6" s="5" t="s">
        <v>128</v>
      </c>
      <c r="H6" s="5" t="s">
        <v>129</v>
      </c>
      <c r="I6" s="5" t="s">
        <v>130</v>
      </c>
      <c r="J6" s="5" t="s">
        <v>131</v>
      </c>
      <c r="K6" s="5" t="s">
        <v>95</v>
      </c>
    </row>
    <row r="7" spans="1:11" x14ac:dyDescent="0.25">
      <c r="A7" t="s">
        <v>96</v>
      </c>
      <c r="B7" t="s">
        <v>97</v>
      </c>
      <c r="C7" t="s">
        <v>98</v>
      </c>
      <c r="D7" t="s">
        <v>132</v>
      </c>
      <c r="E7" t="s">
        <v>133</v>
      </c>
      <c r="F7" s="10">
        <v>2500000</v>
      </c>
      <c r="G7" s="6" t="s">
        <v>118</v>
      </c>
      <c r="H7" t="s">
        <v>134</v>
      </c>
      <c r="I7" t="s">
        <v>134</v>
      </c>
      <c r="J7" t="str">
        <f>IF(H7="NO","EMPLEADO NO LOCALIZADO - POSIBLE FANTASMA","Verificado OK")</f>
        <v>Verificado OK</v>
      </c>
      <c r="K7" t="str">
        <f>IF(H7="NO","CRÍTICO - EMPLEADO FANTASMA","BAJO")</f>
        <v>BAJO</v>
      </c>
    </row>
    <row r="8" spans="1:11" x14ac:dyDescent="0.25">
      <c r="A8" t="s">
        <v>101</v>
      </c>
      <c r="B8" t="s">
        <v>102</v>
      </c>
      <c r="C8" t="s">
        <v>103</v>
      </c>
      <c r="D8" t="s">
        <v>135</v>
      </c>
      <c r="E8" t="s">
        <v>136</v>
      </c>
      <c r="F8" s="10">
        <v>3200000</v>
      </c>
      <c r="G8" s="6" t="s">
        <v>118</v>
      </c>
      <c r="H8" t="s">
        <v>134</v>
      </c>
      <c r="I8" t="s">
        <v>134</v>
      </c>
      <c r="J8" t="str">
        <f>IF(H8="NO","EMPLEADO NO LOCALIZADO - POSIBLE FANTASMA","Verificado OK")</f>
        <v>Verificado OK</v>
      </c>
      <c r="K8" t="str">
        <f>IF(H8="NO","CRÍTICO - EMPLEADO FANTASMA","BAJO")</f>
        <v>BAJO</v>
      </c>
    </row>
    <row r="9" spans="1:11" x14ac:dyDescent="0.25">
      <c r="A9" t="s">
        <v>107</v>
      </c>
      <c r="B9" t="s">
        <v>137</v>
      </c>
      <c r="C9" t="s">
        <v>138</v>
      </c>
      <c r="D9" t="s">
        <v>139</v>
      </c>
      <c r="E9" t="s">
        <v>140</v>
      </c>
      <c r="F9" s="10">
        <v>4500000</v>
      </c>
      <c r="G9" s="6" t="s">
        <v>118</v>
      </c>
      <c r="H9" t="s">
        <v>141</v>
      </c>
      <c r="I9" t="s">
        <v>141</v>
      </c>
      <c r="J9" t="str">
        <f>IF(H9="NO","EMPLEADO NO LOCALIZADO - POSIBLE FANTASMA","Verificado OK")</f>
        <v>EMPLEADO NO LOCALIZADO - POSIBLE FANTASMA</v>
      </c>
      <c r="K9" t="str">
        <f>IF(H9="NO","CRÍTICO - EMPLEADO FANTASMA","BAJO")</f>
        <v>CRÍTICO - EMPLEADO FANTASMA</v>
      </c>
    </row>
    <row r="10" spans="1:11" x14ac:dyDescent="0.25">
      <c r="A10" t="s">
        <v>111</v>
      </c>
      <c r="B10" t="s">
        <v>112</v>
      </c>
      <c r="C10" t="s">
        <v>113</v>
      </c>
      <c r="D10" t="s">
        <v>142</v>
      </c>
      <c r="E10" t="s">
        <v>143</v>
      </c>
      <c r="F10" s="10">
        <v>3800000</v>
      </c>
      <c r="G10" s="6" t="s">
        <v>118</v>
      </c>
      <c r="H10" t="s">
        <v>134</v>
      </c>
      <c r="I10" t="s">
        <v>134</v>
      </c>
      <c r="J10" t="str">
        <f>IF(H10="NO","EMPLEADO NO LOCALIZADO - POSIBLE FANTASMA","Verificado OK")</f>
        <v>Verificado OK</v>
      </c>
      <c r="K10" t="str">
        <f>IF(H10="NO","CRÍTICO - EMPLEADO FANTASMA","BAJO")</f>
        <v>BAJO</v>
      </c>
    </row>
    <row r="11" spans="1:11" x14ac:dyDescent="0.25">
      <c r="A11" t="s">
        <v>115</v>
      </c>
      <c r="B11" t="s">
        <v>108</v>
      </c>
      <c r="C11" t="s">
        <v>109</v>
      </c>
      <c r="D11" t="s">
        <v>144</v>
      </c>
      <c r="E11" t="s">
        <v>145</v>
      </c>
      <c r="F11" s="10">
        <v>5500000</v>
      </c>
      <c r="G11" s="6" t="s">
        <v>118</v>
      </c>
      <c r="H11" t="s">
        <v>134</v>
      </c>
      <c r="I11" t="s">
        <v>134</v>
      </c>
      <c r="J11" t="str">
        <f>IF(H11="NO","EMPLEADO NO LOCALIZADO - POSIBLE FANTASMA","Verificado OK")</f>
        <v>Verificado OK</v>
      </c>
      <c r="K11" t="str">
        <f>IF(H11="NO","CRÍTICO - EMPLEADO FANTASMA","BAJO")</f>
        <v>BAJO</v>
      </c>
    </row>
    <row r="14" spans="1:11" x14ac:dyDescent="0.25">
      <c r="A14" s="25" t="s">
        <v>146</v>
      </c>
      <c r="B14" s="16"/>
      <c r="C14" s="16"/>
      <c r="D14" s="16"/>
      <c r="E14" s="16"/>
    </row>
    <row r="15" spans="1:11" x14ac:dyDescent="0.25">
      <c r="A15" t="s">
        <v>147</v>
      </c>
      <c r="B15">
        <f>COUNTA(A7:A11)</f>
        <v>5</v>
      </c>
    </row>
    <row r="16" spans="1:11" x14ac:dyDescent="0.25">
      <c r="A16" t="s">
        <v>148</v>
      </c>
      <c r="B16" s="8">
        <f>COUNTIF(H7:H11,"NO")</f>
        <v>1</v>
      </c>
    </row>
    <row r="17" spans="1:11" x14ac:dyDescent="0.25">
      <c r="A17" t="s">
        <v>149</v>
      </c>
      <c r="B17" s="11">
        <f>SUMIF(H7:H11,"NO",F7:F11)</f>
        <v>4500000</v>
      </c>
    </row>
    <row r="19" spans="1:11" x14ac:dyDescent="0.25">
      <c r="A19" s="24" t="s">
        <v>150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 x14ac:dyDescent="0.25">
      <c r="A20" s="26" t="s">
        <v>151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</row>
  </sheetData>
  <mergeCells count="4">
    <mergeCell ref="A19:K19"/>
    <mergeCell ref="A14:E14"/>
    <mergeCell ref="A20:K2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sqref="A1:H1"/>
    </sheetView>
  </sheetViews>
  <sheetFormatPr baseColWidth="10" defaultColWidth="9.140625" defaultRowHeight="15" x14ac:dyDescent="0.25"/>
  <cols>
    <col min="1" max="11" width="16" customWidth="1"/>
  </cols>
  <sheetData>
    <row r="1" spans="1:11" ht="18" x14ac:dyDescent="0.25">
      <c r="A1" s="30" t="s">
        <v>152</v>
      </c>
      <c r="B1" s="29"/>
      <c r="C1" s="29"/>
      <c r="D1" s="29"/>
      <c r="E1" s="29"/>
      <c r="F1" s="29"/>
      <c r="G1" s="29"/>
      <c r="H1" s="29"/>
    </row>
    <row r="2" spans="1:11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1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1" x14ac:dyDescent="0.25">
      <c r="A4" s="4" t="s">
        <v>84</v>
      </c>
      <c r="B4" t="s">
        <v>153</v>
      </c>
      <c r="E4" s="4"/>
    </row>
    <row r="6" spans="1:11" ht="45" x14ac:dyDescent="0.25">
      <c r="A6" s="5" t="s">
        <v>86</v>
      </c>
      <c r="B6" s="5" t="s">
        <v>87</v>
      </c>
      <c r="C6" s="5" t="s">
        <v>154</v>
      </c>
      <c r="D6" s="5" t="s">
        <v>155</v>
      </c>
      <c r="E6" s="5" t="s">
        <v>156</v>
      </c>
      <c r="F6" s="5" t="s">
        <v>157</v>
      </c>
      <c r="G6" s="5" t="s">
        <v>158</v>
      </c>
      <c r="H6" s="5" t="s">
        <v>159</v>
      </c>
      <c r="I6" s="5" t="s">
        <v>160</v>
      </c>
      <c r="J6" s="5" t="s">
        <v>161</v>
      </c>
      <c r="K6" s="5" t="s">
        <v>95</v>
      </c>
    </row>
    <row r="7" spans="1:11" x14ac:dyDescent="0.25">
      <c r="A7" t="s">
        <v>96</v>
      </c>
      <c r="B7" t="s">
        <v>97</v>
      </c>
      <c r="C7" t="s">
        <v>162</v>
      </c>
      <c r="D7">
        <v>45</v>
      </c>
      <c r="E7" s="10">
        <v>900000</v>
      </c>
      <c r="F7" t="s">
        <v>134</v>
      </c>
      <c r="G7">
        <v>60</v>
      </c>
      <c r="H7" t="str">
        <f>IF(D7&gt;G7,"SÍ","NO")</f>
        <v>NO</v>
      </c>
      <c r="I7" s="12">
        <f>E7/2500000</f>
        <v>0.36</v>
      </c>
      <c r="J7" t="str">
        <f>IF(F7="NO","CRÍTICO - Sin autorización",IF(H7="SÍ","ALTO - Excede límite legal",IF(I7&gt;0.5,"ALTO - Excesivo","NORMAL")))</f>
        <v>NORMAL</v>
      </c>
      <c r="K7" t="str">
        <f>IF(J7="CRÍTICO*","CRÍTICO",IF(J7="ALTO*","ALTO","BAJO"))</f>
        <v>BAJO</v>
      </c>
    </row>
    <row r="8" spans="1:11" x14ac:dyDescent="0.25">
      <c r="A8" t="s">
        <v>101</v>
      </c>
      <c r="B8" t="s">
        <v>102</v>
      </c>
      <c r="C8" t="s">
        <v>162</v>
      </c>
      <c r="D8">
        <v>38</v>
      </c>
      <c r="E8" s="10">
        <v>760000</v>
      </c>
      <c r="F8" t="s">
        <v>134</v>
      </c>
      <c r="G8">
        <v>60</v>
      </c>
      <c r="H8" t="str">
        <f>IF(D8&gt;G8,"SÍ","NO")</f>
        <v>NO</v>
      </c>
      <c r="I8" s="12">
        <f>E8/2500000</f>
        <v>0.30399999999999999</v>
      </c>
      <c r="J8" t="str">
        <f>IF(F8="NO","CRÍTICO - Sin autorización",IF(H8="SÍ","ALTO - Excede límite legal",IF(I8&gt;0.5,"ALTO - Excesivo","NORMAL")))</f>
        <v>NORMAL</v>
      </c>
      <c r="K8" t="str">
        <f>IF(J8="CRÍTICO*","CRÍTICO",IF(J8="ALTO*","ALTO","BAJO"))</f>
        <v>BAJO</v>
      </c>
    </row>
    <row r="9" spans="1:11" x14ac:dyDescent="0.25">
      <c r="A9" t="s">
        <v>107</v>
      </c>
      <c r="B9" t="s">
        <v>108</v>
      </c>
      <c r="C9" t="s">
        <v>162</v>
      </c>
      <c r="D9">
        <v>85</v>
      </c>
      <c r="E9" s="10">
        <v>1700000</v>
      </c>
      <c r="F9" t="s">
        <v>141</v>
      </c>
      <c r="G9">
        <v>60</v>
      </c>
      <c r="H9" t="str">
        <f>IF(D9&gt;G9,"SÍ","NO")</f>
        <v>SÍ</v>
      </c>
      <c r="I9" s="12">
        <f>E9/2500000</f>
        <v>0.68</v>
      </c>
      <c r="J9" t="str">
        <f>IF(F9="NO","CRÍTICO - Sin autorización",IF(H9="SÍ","ALTO - Excede límite legal",IF(I9&gt;0.5,"ALTO - Excesivo","NORMAL")))</f>
        <v>CRÍTICO - Sin autorización</v>
      </c>
      <c r="K9" t="str">
        <f>IF(J9="CRÍTICO*","CRÍTICO",IF(J9="ALTO*","ALTO","BAJO"))</f>
        <v>BAJO</v>
      </c>
    </row>
    <row r="10" spans="1:11" x14ac:dyDescent="0.25">
      <c r="A10" t="s">
        <v>111</v>
      </c>
      <c r="B10" t="s">
        <v>112</v>
      </c>
      <c r="C10" t="s">
        <v>162</v>
      </c>
      <c r="D10">
        <v>52</v>
      </c>
      <c r="E10" s="10">
        <v>1040000</v>
      </c>
      <c r="F10" t="s">
        <v>134</v>
      </c>
      <c r="G10">
        <v>60</v>
      </c>
      <c r="H10" t="str">
        <f>IF(D10&gt;G10,"SÍ","NO")</f>
        <v>NO</v>
      </c>
      <c r="I10" s="12">
        <f>E10/2500000</f>
        <v>0.41599999999999998</v>
      </c>
      <c r="J10" t="str">
        <f>IF(F10="NO","CRÍTICO - Sin autorización",IF(H10="SÍ","ALTO - Excede límite legal",IF(I10&gt;0.5,"ALTO - Excesivo","NORMAL")))</f>
        <v>NORMAL</v>
      </c>
      <c r="K10" t="str">
        <f>IF(J10="CRÍTICO*","CRÍTICO",IF(J10="ALTO*","ALTO","BAJO"))</f>
        <v>BAJO</v>
      </c>
    </row>
    <row r="13" spans="1:11" x14ac:dyDescent="0.25">
      <c r="A13" s="27" t="s">
        <v>163</v>
      </c>
      <c r="B13" s="16"/>
      <c r="C13" s="16"/>
      <c r="D13" s="16"/>
    </row>
    <row r="14" spans="1:11" x14ac:dyDescent="0.25">
      <c r="A14" t="s">
        <v>164</v>
      </c>
      <c r="B14">
        <f>COUNTA(A7:A10)</f>
        <v>4</v>
      </c>
    </row>
    <row r="15" spans="1:11" x14ac:dyDescent="0.25">
      <c r="A15" t="s">
        <v>165</v>
      </c>
      <c r="B15" s="13">
        <f>COUNTIF(F7:F10,"NO")</f>
        <v>1</v>
      </c>
    </row>
    <row r="16" spans="1:11" x14ac:dyDescent="0.25">
      <c r="A16" t="s">
        <v>166</v>
      </c>
      <c r="B16" s="14">
        <f>SUM(E7:E10)</f>
        <v>4400000</v>
      </c>
    </row>
    <row r="17" spans="1:2" x14ac:dyDescent="0.25">
      <c r="A17" t="s">
        <v>167</v>
      </c>
      <c r="B17" s="13">
        <f>COUNTIF(H7:H10,"SÍ")</f>
        <v>1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F20" sqref="F20:F21"/>
    </sheetView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30" t="s">
        <v>168</v>
      </c>
      <c r="B1" s="29"/>
      <c r="C1" s="29"/>
      <c r="D1" s="29"/>
      <c r="E1" s="29"/>
      <c r="F1" s="29"/>
      <c r="G1" s="29"/>
      <c r="H1" s="29"/>
    </row>
    <row r="2" spans="1:10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0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0" x14ac:dyDescent="0.25">
      <c r="A4" s="4" t="s">
        <v>84</v>
      </c>
      <c r="B4" t="s">
        <v>169</v>
      </c>
      <c r="E4" s="4"/>
    </row>
    <row r="6" spans="1:10" ht="45" x14ac:dyDescent="0.25">
      <c r="A6" s="5" t="s">
        <v>86</v>
      </c>
      <c r="B6" s="5" t="s">
        <v>87</v>
      </c>
      <c r="C6" s="5" t="s">
        <v>170</v>
      </c>
      <c r="D6" s="5" t="s">
        <v>171</v>
      </c>
      <c r="E6" s="5" t="s">
        <v>172</v>
      </c>
      <c r="F6" s="5" t="s">
        <v>173</v>
      </c>
      <c r="G6" s="5" t="s">
        <v>174</v>
      </c>
      <c r="H6" s="5" t="s">
        <v>175</v>
      </c>
      <c r="I6" s="5" t="s">
        <v>176</v>
      </c>
      <c r="J6" s="5" t="s">
        <v>95</v>
      </c>
    </row>
    <row r="7" spans="1:10" x14ac:dyDescent="0.25">
      <c r="A7" t="s">
        <v>96</v>
      </c>
      <c r="B7" t="s">
        <v>97</v>
      </c>
      <c r="C7" s="6" t="s">
        <v>177</v>
      </c>
      <c r="D7" s="10">
        <v>5000000</v>
      </c>
      <c r="E7">
        <v>12</v>
      </c>
      <c r="F7" s="10">
        <v>416667</v>
      </c>
      <c r="G7" s="10">
        <v>2500000</v>
      </c>
      <c r="H7">
        <v>0</v>
      </c>
      <c r="I7" t="str">
        <f>IF(H7=0,"AL DÍA",IF(H7&lt;=3,"MORA LEVE",IF(H7&lt;=6,"MORA GRAVE","INCOBRABLE")))</f>
        <v>AL DÍA</v>
      </c>
      <c r="J7" t="str">
        <f>IF(I7="INCOBRABLE","ALTO",IF(I7="MORA GRAVE","MEDIO","BAJO"))</f>
        <v>BAJO</v>
      </c>
    </row>
    <row r="8" spans="1:10" x14ac:dyDescent="0.25">
      <c r="A8" t="s">
        <v>101</v>
      </c>
      <c r="B8" t="s">
        <v>102</v>
      </c>
      <c r="C8" s="6" t="s">
        <v>178</v>
      </c>
      <c r="D8" s="10">
        <v>8000000</v>
      </c>
      <c r="E8">
        <v>24</v>
      </c>
      <c r="F8" s="10">
        <v>333333</v>
      </c>
      <c r="G8" s="10">
        <v>6500000</v>
      </c>
      <c r="H8">
        <v>0</v>
      </c>
      <c r="I8" t="str">
        <f>IF(H8=0,"AL DÍA",IF(H8&lt;=3,"MORA LEVE",IF(H8&lt;=6,"MORA GRAVE","INCOBRABLE")))</f>
        <v>AL DÍA</v>
      </c>
      <c r="J8" t="str">
        <f>IF(I8="INCOBRABLE","ALTO",IF(I8="MORA GRAVE","MEDIO","BAJO"))</f>
        <v>BAJO</v>
      </c>
    </row>
    <row r="9" spans="1:10" x14ac:dyDescent="0.25">
      <c r="A9" t="s">
        <v>107</v>
      </c>
      <c r="B9" t="s">
        <v>108</v>
      </c>
      <c r="C9" s="6" t="s">
        <v>179</v>
      </c>
      <c r="D9" s="10">
        <v>6000000</v>
      </c>
      <c r="E9">
        <v>18</v>
      </c>
      <c r="F9" s="10">
        <v>333333</v>
      </c>
      <c r="G9" s="10">
        <v>5200000</v>
      </c>
      <c r="H9">
        <v>3</v>
      </c>
      <c r="I9" t="str">
        <f>IF(H9=0,"AL DÍA",IF(H9&lt;=3,"MORA LEVE",IF(H9&lt;=6,"MORA GRAVE","INCOBRABLE")))</f>
        <v>MORA LEVE</v>
      </c>
      <c r="J9" t="str">
        <f>IF(I9="INCOBRABLE","ALTO",IF(I9="MORA GRAVE","MEDIO","BAJO"))</f>
        <v>BAJO</v>
      </c>
    </row>
    <row r="10" spans="1:10" x14ac:dyDescent="0.25">
      <c r="A10" t="s">
        <v>111</v>
      </c>
      <c r="B10" t="s">
        <v>180</v>
      </c>
      <c r="C10" s="6" t="s">
        <v>181</v>
      </c>
      <c r="D10" s="10">
        <v>4000000</v>
      </c>
      <c r="E10">
        <v>12</v>
      </c>
      <c r="F10" s="10">
        <v>333333</v>
      </c>
      <c r="G10" s="10">
        <v>4000000</v>
      </c>
      <c r="H10">
        <v>8</v>
      </c>
      <c r="I10" t="str">
        <f>IF(H10=0,"AL DÍA",IF(H10&lt;=3,"MORA LEVE",IF(H10&lt;=6,"MORA GRAVE","INCOBRABLE")))</f>
        <v>INCOBRABLE</v>
      </c>
      <c r="J10" t="str">
        <f>IF(I10="INCOBRABLE","ALTO",IF(I10="MORA GRAVE","MEDIO","BAJO"))</f>
        <v>ALTO</v>
      </c>
    </row>
    <row r="13" spans="1:10" x14ac:dyDescent="0.25">
      <c r="A13" s="23" t="s">
        <v>182</v>
      </c>
      <c r="B13" s="16"/>
      <c r="C13" s="16"/>
      <c r="D13" s="16"/>
    </row>
    <row r="14" spans="1:10" x14ac:dyDescent="0.25">
      <c r="A14" t="s">
        <v>183</v>
      </c>
      <c r="B14">
        <f>COUNTA(A7:A10)</f>
        <v>4</v>
      </c>
    </row>
    <row r="15" spans="1:10" x14ac:dyDescent="0.25">
      <c r="A15" t="s">
        <v>184</v>
      </c>
      <c r="B15" s="14">
        <f>SUM(G7:G10)</f>
        <v>18200000</v>
      </c>
    </row>
    <row r="16" spans="1:10" x14ac:dyDescent="0.25">
      <c r="A16" t="s">
        <v>185</v>
      </c>
      <c r="B16" s="13">
        <f>COUNTIFS(I7:I10,"&lt;&gt;AL DÍA")</f>
        <v>2</v>
      </c>
    </row>
    <row r="17" spans="1:2" x14ac:dyDescent="0.25">
      <c r="A17" t="s">
        <v>186</v>
      </c>
      <c r="B17" s="15">
        <f>SUMIF(I7:I10,"INCOBRABLE",G7:G10)</f>
        <v>4000000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sqref="A1:H1"/>
    </sheetView>
  </sheetViews>
  <sheetFormatPr baseColWidth="10" defaultColWidth="9.140625" defaultRowHeight="15" x14ac:dyDescent="0.25"/>
  <cols>
    <col min="1" max="11" width="16" customWidth="1"/>
  </cols>
  <sheetData>
    <row r="1" spans="1:11" ht="18" x14ac:dyDescent="0.25">
      <c r="A1" s="30" t="s">
        <v>187</v>
      </c>
      <c r="B1" s="29"/>
      <c r="C1" s="29"/>
      <c r="D1" s="29"/>
      <c r="E1" s="29"/>
      <c r="F1" s="29"/>
      <c r="G1" s="29"/>
      <c r="H1" s="29"/>
    </row>
    <row r="2" spans="1:11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1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1" x14ac:dyDescent="0.25">
      <c r="A4" s="4" t="s">
        <v>84</v>
      </c>
      <c r="B4" t="s">
        <v>188</v>
      </c>
      <c r="E4" s="4"/>
    </row>
    <row r="6" spans="1:11" ht="30" x14ac:dyDescent="0.25">
      <c r="A6" s="5" t="s">
        <v>86</v>
      </c>
      <c r="B6" s="5" t="s">
        <v>87</v>
      </c>
      <c r="C6" s="5" t="s">
        <v>189</v>
      </c>
      <c r="D6" s="5" t="s">
        <v>190</v>
      </c>
      <c r="E6" s="5" t="s">
        <v>191</v>
      </c>
      <c r="F6" s="5" t="s">
        <v>192</v>
      </c>
      <c r="G6" s="5" t="s">
        <v>193</v>
      </c>
      <c r="H6" s="5" t="s">
        <v>194</v>
      </c>
      <c r="I6" s="5" t="s">
        <v>195</v>
      </c>
      <c r="J6" s="5" t="s">
        <v>196</v>
      </c>
      <c r="K6" s="5" t="s">
        <v>95</v>
      </c>
    </row>
    <row r="7" spans="1:11" x14ac:dyDescent="0.25">
      <c r="A7" t="s">
        <v>96</v>
      </c>
      <c r="B7" t="s">
        <v>97</v>
      </c>
      <c r="C7" s="10">
        <v>2500000</v>
      </c>
      <c r="D7" s="10">
        <f>IF(C7&gt;4000000,C7*0.1,0)</f>
        <v>0</v>
      </c>
      <c r="E7" s="10">
        <f>D7*0.98</f>
        <v>0</v>
      </c>
      <c r="F7" s="10">
        <f>C7*0.04</f>
        <v>100000</v>
      </c>
      <c r="G7" s="10">
        <f>F7</f>
        <v>100000</v>
      </c>
      <c r="H7" s="10">
        <f>C7*0.04</f>
        <v>100000</v>
      </c>
      <c r="I7" s="10">
        <f>H7</f>
        <v>100000</v>
      </c>
      <c r="J7" t="str">
        <f>IF(AND(E7=D7,G7=F7,I7=H7),"SÍ","NO")</f>
        <v>SÍ</v>
      </c>
      <c r="K7" t="str">
        <f>IF(J7="NO","ALTO - Riesgo legal","BAJO")</f>
        <v>BAJO</v>
      </c>
    </row>
    <row r="8" spans="1:11" x14ac:dyDescent="0.25">
      <c r="A8" t="s">
        <v>101</v>
      </c>
      <c r="B8" t="s">
        <v>102</v>
      </c>
      <c r="C8" s="10">
        <v>8500000</v>
      </c>
      <c r="D8" s="10">
        <f>IF(C8&gt;4000000,C8*0.1,0)</f>
        <v>850000</v>
      </c>
      <c r="E8" s="10">
        <f>D8*0.98</f>
        <v>833000</v>
      </c>
      <c r="F8" s="10">
        <f>C8*0.04</f>
        <v>340000</v>
      </c>
      <c r="G8" s="10">
        <f>F8</f>
        <v>340000</v>
      </c>
      <c r="H8" s="10">
        <f>C8*0.04</f>
        <v>340000</v>
      </c>
      <c r="I8" s="10">
        <f>H8</f>
        <v>340000</v>
      </c>
      <c r="J8" t="str">
        <f>IF(AND(E8=D8,G8=F8,I8=H8),"SÍ","NO")</f>
        <v>NO</v>
      </c>
      <c r="K8" t="str">
        <f>IF(J8="NO","ALTO - Riesgo legal","BAJO")</f>
        <v>ALTO - Riesgo legal</v>
      </c>
    </row>
    <row r="9" spans="1:11" x14ac:dyDescent="0.25">
      <c r="A9" t="s">
        <v>107</v>
      </c>
      <c r="B9" t="s">
        <v>108</v>
      </c>
      <c r="C9" s="10">
        <v>5500000</v>
      </c>
      <c r="D9" s="10">
        <f>IF(C9&gt;4000000,C9*0.1,0)</f>
        <v>550000</v>
      </c>
      <c r="E9" s="10">
        <f>D9*0.98</f>
        <v>539000</v>
      </c>
      <c r="F9" s="10">
        <f>C9*0.04</f>
        <v>220000</v>
      </c>
      <c r="G9" s="10">
        <f>F9</f>
        <v>220000</v>
      </c>
      <c r="H9" s="10">
        <f>C9*0.04</f>
        <v>220000</v>
      </c>
      <c r="I9" s="10">
        <f>H9</f>
        <v>220000</v>
      </c>
      <c r="J9" t="str">
        <f>IF(AND(E9=D9,G9=F9,I9=H9),"SÍ","NO")</f>
        <v>NO</v>
      </c>
      <c r="K9" t="str">
        <f>IF(J9="NO","ALTO - Riesgo legal","BAJO")</f>
        <v>ALTO - Riesgo legal</v>
      </c>
    </row>
    <row r="10" spans="1:11" x14ac:dyDescent="0.25">
      <c r="A10" t="s">
        <v>111</v>
      </c>
      <c r="B10" t="s">
        <v>112</v>
      </c>
      <c r="C10" s="10">
        <v>3800000</v>
      </c>
      <c r="D10" s="10">
        <f>IF(C10&gt;4000000,C10*0.1,0)</f>
        <v>0</v>
      </c>
      <c r="E10" s="10">
        <f>D10*0.98</f>
        <v>0</v>
      </c>
      <c r="F10" s="10">
        <f>C10*0.04</f>
        <v>152000</v>
      </c>
      <c r="G10" s="10">
        <f>F10</f>
        <v>152000</v>
      </c>
      <c r="H10" s="10">
        <f>C10*0.04</f>
        <v>152000</v>
      </c>
      <c r="I10" s="10">
        <f>H10</f>
        <v>152000</v>
      </c>
      <c r="J10" t="str">
        <f>IF(AND(E10=D10,G10=F10,I10=H10),"SÍ","NO")</f>
        <v>SÍ</v>
      </c>
      <c r="K10" t="str">
        <f>IF(J10="NO","ALTO - Riesgo legal","BAJO")</f>
        <v>BAJO</v>
      </c>
    </row>
    <row r="13" spans="1:11" x14ac:dyDescent="0.25">
      <c r="A13" s="25" t="s">
        <v>197</v>
      </c>
      <c r="B13" s="16"/>
      <c r="C13" s="16"/>
      <c r="D13" s="16"/>
    </row>
    <row r="14" spans="1:11" x14ac:dyDescent="0.25">
      <c r="A14" t="s">
        <v>198</v>
      </c>
      <c r="B14">
        <f>COUNTA(A7:A10)</f>
        <v>4</v>
      </c>
    </row>
    <row r="15" spans="1:11" x14ac:dyDescent="0.25">
      <c r="A15" t="s">
        <v>199</v>
      </c>
      <c r="B15" s="13">
        <f>COUNTIF(J7:J10,"NO")</f>
        <v>2</v>
      </c>
    </row>
    <row r="17" spans="1:11" x14ac:dyDescent="0.25">
      <c r="A17" s="24" t="s">
        <v>200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x14ac:dyDescent="0.25">
      <c r="A18" s="26" t="s">
        <v>201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</row>
  </sheetData>
  <mergeCells count="4">
    <mergeCell ref="A17:K17"/>
    <mergeCell ref="A13:D13"/>
    <mergeCell ref="A18:K1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H22" sqref="H22"/>
    </sheetView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30" t="s">
        <v>202</v>
      </c>
      <c r="B1" s="29"/>
      <c r="C1" s="29"/>
      <c r="D1" s="29"/>
      <c r="E1" s="29"/>
      <c r="F1" s="29"/>
      <c r="G1" s="29"/>
      <c r="H1" s="29"/>
    </row>
    <row r="2" spans="1:11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1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1" x14ac:dyDescent="0.25">
      <c r="A4" s="4" t="s">
        <v>84</v>
      </c>
      <c r="B4" t="s">
        <v>203</v>
      </c>
      <c r="E4" s="4"/>
    </row>
    <row r="6" spans="1:11" ht="45" x14ac:dyDescent="0.25">
      <c r="A6" s="5" t="s">
        <v>86</v>
      </c>
      <c r="B6" s="5" t="s">
        <v>87</v>
      </c>
      <c r="C6" s="5" t="s">
        <v>88</v>
      </c>
      <c r="D6" s="5" t="s">
        <v>204</v>
      </c>
      <c r="E6" s="5" t="s">
        <v>205</v>
      </c>
      <c r="F6" s="5" t="s">
        <v>206</v>
      </c>
      <c r="G6" s="5" t="s">
        <v>207</v>
      </c>
      <c r="H6" s="5" t="s">
        <v>208</v>
      </c>
      <c r="I6" s="5" t="s">
        <v>209</v>
      </c>
      <c r="J6" s="5" t="s">
        <v>161</v>
      </c>
      <c r="K6" s="5" t="s">
        <v>95</v>
      </c>
    </row>
    <row r="7" spans="1:11" x14ac:dyDescent="0.25">
      <c r="A7" t="s">
        <v>96</v>
      </c>
      <c r="B7" t="s">
        <v>97</v>
      </c>
      <c r="C7" t="s">
        <v>98</v>
      </c>
      <c r="D7" s="10">
        <v>2500000</v>
      </c>
      <c r="E7" t="s">
        <v>134</v>
      </c>
      <c r="F7" t="s">
        <v>134</v>
      </c>
      <c r="G7" t="s">
        <v>134</v>
      </c>
      <c r="H7" t="s">
        <v>134</v>
      </c>
      <c r="I7">
        <f>COUNTIF(F7:H7,"SÍ")</f>
        <v>3</v>
      </c>
      <c r="J7" t="str">
        <f>IF(I7=3,"EMPLEADO REAL",IF(I7=2,"VERIFICAR",IF(I7=1,"ALTO RIESGO","EMPLEADO FANTASMA")))</f>
        <v>EMPLEADO REAL</v>
      </c>
      <c r="K7" t="str">
        <f>IF(J7="EMPLEADO FANTASMA","CRÍTICO",IF(J7="ALTO RIESGO","ALTO","BAJO"))</f>
        <v>BAJO</v>
      </c>
    </row>
    <row r="8" spans="1:11" x14ac:dyDescent="0.25">
      <c r="A8" t="s">
        <v>101</v>
      </c>
      <c r="B8" t="s">
        <v>137</v>
      </c>
      <c r="C8" t="s">
        <v>138</v>
      </c>
      <c r="D8" s="10">
        <v>4500000</v>
      </c>
      <c r="E8" t="s">
        <v>134</v>
      </c>
      <c r="F8" t="s">
        <v>141</v>
      </c>
      <c r="G8" t="s">
        <v>141</v>
      </c>
      <c r="H8" t="s">
        <v>141</v>
      </c>
      <c r="I8">
        <f>COUNTIF(F8:H8,"SÍ")</f>
        <v>0</v>
      </c>
      <c r="J8" t="str">
        <f>IF(I8=3,"EMPLEADO REAL",IF(I8=2,"VERIFICAR",IF(I8=1,"ALTO RIESGO","EMPLEADO FANTASMA")))</f>
        <v>EMPLEADO FANTASMA</v>
      </c>
      <c r="K8" t="str">
        <f>IF(J8="EMPLEADO FANTASMA","CRÍTICO",IF(J8="ALTO RIESGO","ALTO","BAJO"))</f>
        <v>CRÍTICO</v>
      </c>
    </row>
    <row r="9" spans="1:11" x14ac:dyDescent="0.25">
      <c r="A9" t="s">
        <v>107</v>
      </c>
      <c r="B9" t="s">
        <v>102</v>
      </c>
      <c r="C9" t="s">
        <v>103</v>
      </c>
      <c r="D9" s="10">
        <v>3200000</v>
      </c>
      <c r="E9" t="s">
        <v>134</v>
      </c>
      <c r="F9" t="s">
        <v>134</v>
      </c>
      <c r="G9" t="s">
        <v>134</v>
      </c>
      <c r="H9" t="s">
        <v>134</v>
      </c>
      <c r="I9">
        <f>COUNTIF(F9:H9,"SÍ")</f>
        <v>3</v>
      </c>
      <c r="J9" t="str">
        <f>IF(I9=3,"EMPLEADO REAL",IF(I9=2,"VERIFICAR",IF(I9=1,"ALTO RIESGO","EMPLEADO FANTASMA")))</f>
        <v>EMPLEADO REAL</v>
      </c>
      <c r="K9" t="str">
        <f>IF(J9="EMPLEADO FANTASMA","CRÍTICO",IF(J9="ALTO RIESGO","ALTO","BAJO"))</f>
        <v>BAJO</v>
      </c>
    </row>
    <row r="10" spans="1:11" x14ac:dyDescent="0.25">
      <c r="A10" t="s">
        <v>111</v>
      </c>
      <c r="B10" t="s">
        <v>210</v>
      </c>
      <c r="C10" t="s">
        <v>211</v>
      </c>
      <c r="D10" s="10">
        <v>3800000</v>
      </c>
      <c r="E10" t="s">
        <v>134</v>
      </c>
      <c r="F10" t="s">
        <v>134</v>
      </c>
      <c r="G10" t="s">
        <v>141</v>
      </c>
      <c r="H10" t="s">
        <v>141</v>
      </c>
      <c r="I10">
        <f>COUNTIF(F10:H10,"SÍ")</f>
        <v>1</v>
      </c>
      <c r="J10" t="str">
        <f>IF(I10=3,"EMPLEADO REAL",IF(I10=2,"VERIFICAR",IF(I10=1,"ALTO RIESGO","EMPLEADO FANTASMA")))</f>
        <v>ALTO RIESGO</v>
      </c>
      <c r="K10" t="str">
        <f>IF(J10="EMPLEADO FANTASMA","CRÍTICO",IF(J10="ALTO RIESGO","ALTO","BAJO"))</f>
        <v>ALTO</v>
      </c>
    </row>
    <row r="13" spans="1:11" x14ac:dyDescent="0.25">
      <c r="A13" s="25" t="s">
        <v>212</v>
      </c>
      <c r="B13" s="16"/>
      <c r="C13" s="16"/>
      <c r="D13" s="16"/>
      <c r="E13" s="16"/>
    </row>
    <row r="14" spans="1:11" x14ac:dyDescent="0.25">
      <c r="A14" t="s">
        <v>213</v>
      </c>
      <c r="B14" s="8">
        <f>COUNTIF(J7:J10,"EMPLEADO FANTASMA")</f>
        <v>1</v>
      </c>
    </row>
    <row r="15" spans="1:11" x14ac:dyDescent="0.25">
      <c r="A15" t="s">
        <v>149</v>
      </c>
      <c r="B15" s="11">
        <f>SUMIF(J7:J10,"EMPLEADO FANTASMA",D7:D10)</f>
        <v>4500000</v>
      </c>
    </row>
    <row r="16" spans="1:11" x14ac:dyDescent="0.25">
      <c r="A16" t="s">
        <v>214</v>
      </c>
      <c r="B16" s="11">
        <f>B15*13</f>
        <v>58500000</v>
      </c>
    </row>
  </sheetData>
  <mergeCells count="2">
    <mergeCell ref="A13:E1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sqref="A1:H1"/>
    </sheetView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30" t="s">
        <v>215</v>
      </c>
      <c r="B1" s="29"/>
      <c r="C1" s="29"/>
      <c r="D1" s="29"/>
      <c r="E1" s="29"/>
      <c r="F1" s="29"/>
      <c r="G1" s="29"/>
      <c r="H1" s="29"/>
    </row>
    <row r="2" spans="1:10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0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0" x14ac:dyDescent="0.25">
      <c r="A4" s="4" t="s">
        <v>84</v>
      </c>
      <c r="B4" t="s">
        <v>216</v>
      </c>
      <c r="E4" s="4"/>
    </row>
    <row r="6" spans="1:10" ht="30" x14ac:dyDescent="0.25">
      <c r="A6" s="5" t="s">
        <v>86</v>
      </c>
      <c r="B6" s="5" t="s">
        <v>87</v>
      </c>
      <c r="C6" s="5" t="s">
        <v>217</v>
      </c>
      <c r="D6" s="5" t="s">
        <v>218</v>
      </c>
      <c r="E6" s="5" t="s">
        <v>219</v>
      </c>
      <c r="F6" s="5" t="s">
        <v>220</v>
      </c>
      <c r="G6" s="5" t="s">
        <v>221</v>
      </c>
      <c r="H6" s="5" t="s">
        <v>222</v>
      </c>
      <c r="I6" s="5" t="s">
        <v>223</v>
      </c>
      <c r="J6" s="5" t="s">
        <v>95</v>
      </c>
    </row>
    <row r="7" spans="1:10" x14ac:dyDescent="0.25">
      <c r="A7" t="s">
        <v>96</v>
      </c>
      <c r="B7" t="s">
        <v>97</v>
      </c>
      <c r="C7" t="s">
        <v>224</v>
      </c>
      <c r="D7" s="10">
        <v>2500000</v>
      </c>
      <c r="E7" t="s">
        <v>225</v>
      </c>
      <c r="F7" s="10">
        <v>2500000</v>
      </c>
      <c r="G7" s="10">
        <f>D7-F7</f>
        <v>0</v>
      </c>
      <c r="H7" t="str">
        <f>IF(G7=0,"SÍ",IF(E7="No existe política","NO - Sin política","NO - Excede"))</f>
        <v>SÍ</v>
      </c>
      <c r="I7" t="s">
        <v>226</v>
      </c>
      <c r="J7" t="str">
        <f>IF(AND(H7&lt;&gt;"SÍ",I7="Sin autorización"),"ALTO","MEDIO")</f>
        <v>MEDIO</v>
      </c>
    </row>
    <row r="8" spans="1:10" x14ac:dyDescent="0.25">
      <c r="A8" t="s">
        <v>101</v>
      </c>
      <c r="B8" t="s">
        <v>102</v>
      </c>
      <c r="C8" t="s">
        <v>227</v>
      </c>
      <c r="D8" s="10">
        <v>5000000</v>
      </c>
      <c r="E8" t="s">
        <v>228</v>
      </c>
      <c r="F8" s="10">
        <v>2600000</v>
      </c>
      <c r="G8" s="10">
        <f>D8-F8</f>
        <v>2400000</v>
      </c>
      <c r="H8" t="str">
        <f>IF(G8=0,"SÍ",IF(E8="No existe política","NO - Sin política","NO - Excede"))</f>
        <v>NO - Excede</v>
      </c>
      <c r="I8" t="s">
        <v>229</v>
      </c>
      <c r="J8" t="str">
        <f>IF(AND(H8&lt;&gt;"SÍ",I8="Sin autorización"),"ALTO","MEDIO")</f>
        <v>MEDIO</v>
      </c>
    </row>
    <row r="9" spans="1:10" x14ac:dyDescent="0.25">
      <c r="A9" t="s">
        <v>107</v>
      </c>
      <c r="B9" t="s">
        <v>108</v>
      </c>
      <c r="C9" t="s">
        <v>230</v>
      </c>
      <c r="D9" s="10">
        <v>8000000</v>
      </c>
      <c r="E9" t="s">
        <v>231</v>
      </c>
      <c r="F9" s="10">
        <v>0</v>
      </c>
      <c r="G9" s="10">
        <f>D9-F9</f>
        <v>8000000</v>
      </c>
      <c r="H9" t="str">
        <f>IF(G9=0,"SÍ",IF(E9="No existe política","NO - Sin política","NO - Excede"))</f>
        <v>NO - Sin política</v>
      </c>
      <c r="I9" t="s">
        <v>226</v>
      </c>
      <c r="J9" t="str">
        <f>IF(AND(H9&lt;&gt;"SÍ",I9="Sin autorización"),"ALTO","MEDIO")</f>
        <v>ALTO</v>
      </c>
    </row>
    <row r="10" spans="1:10" x14ac:dyDescent="0.25">
      <c r="A10" t="s">
        <v>111</v>
      </c>
      <c r="B10" t="s">
        <v>112</v>
      </c>
      <c r="C10" t="s">
        <v>232</v>
      </c>
      <c r="D10" s="10">
        <v>3000000</v>
      </c>
      <c r="E10" t="s">
        <v>228</v>
      </c>
      <c r="F10" s="10">
        <v>2600000</v>
      </c>
      <c r="G10" s="10">
        <f>D10-F10</f>
        <v>400000</v>
      </c>
      <c r="H10" t="str">
        <f>IF(G10=0,"SÍ",IF(E10="No existe política","NO - Sin política","NO - Excede"))</f>
        <v>NO - Excede</v>
      </c>
      <c r="I10" t="s">
        <v>229</v>
      </c>
      <c r="J10" t="str">
        <f>IF(AND(H10&lt;&gt;"SÍ",I10="Sin autorización"),"ALTO","MEDIO")</f>
        <v>MEDIO</v>
      </c>
    </row>
    <row r="13" spans="1:10" x14ac:dyDescent="0.25">
      <c r="A13" s="27" t="s">
        <v>233</v>
      </c>
      <c r="B13" s="16"/>
      <c r="C13" s="16"/>
      <c r="D13" s="16"/>
    </row>
    <row r="14" spans="1:10" x14ac:dyDescent="0.25">
      <c r="A14" t="s">
        <v>234</v>
      </c>
      <c r="B14">
        <f>COUNTA(A7:A10)</f>
        <v>4</v>
      </c>
    </row>
    <row r="15" spans="1:10" x14ac:dyDescent="0.25">
      <c r="A15" t="s">
        <v>235</v>
      </c>
      <c r="B15" s="13">
        <f>COUNTIF(H7:H10,"NO*")</f>
        <v>3</v>
      </c>
    </row>
    <row r="16" spans="1:10" x14ac:dyDescent="0.25">
      <c r="A16" t="s">
        <v>236</v>
      </c>
      <c r="B16" s="14">
        <f>SUMIF(G7:G10,"&gt;0",G7:G10)</f>
        <v>10800000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sqref="A1:H1"/>
    </sheetView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30" t="s">
        <v>237</v>
      </c>
      <c r="B1" s="29"/>
      <c r="C1" s="29"/>
      <c r="D1" s="29"/>
      <c r="E1" s="29"/>
      <c r="F1" s="29"/>
      <c r="G1" s="29"/>
      <c r="H1" s="29"/>
    </row>
    <row r="2" spans="1:11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1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1" x14ac:dyDescent="0.25">
      <c r="A4" s="4" t="s">
        <v>84</v>
      </c>
      <c r="B4" t="s">
        <v>238</v>
      </c>
      <c r="E4" s="4"/>
    </row>
    <row r="6" spans="1:11" ht="30" x14ac:dyDescent="0.25">
      <c r="A6" s="5" t="s">
        <v>86</v>
      </c>
      <c r="B6" s="5" t="s">
        <v>87</v>
      </c>
      <c r="C6" s="5" t="s">
        <v>88</v>
      </c>
      <c r="D6" s="5" t="s">
        <v>125</v>
      </c>
      <c r="E6" s="5" t="s">
        <v>204</v>
      </c>
      <c r="F6" s="5" t="s">
        <v>239</v>
      </c>
      <c r="G6" s="5" t="s">
        <v>240</v>
      </c>
      <c r="H6" s="5" t="s">
        <v>241</v>
      </c>
      <c r="I6" s="5" t="s">
        <v>242</v>
      </c>
      <c r="J6" s="5" t="s">
        <v>243</v>
      </c>
      <c r="K6" s="5" t="s">
        <v>95</v>
      </c>
    </row>
    <row r="7" spans="1:11" x14ac:dyDescent="0.25">
      <c r="A7" t="s">
        <v>96</v>
      </c>
      <c r="B7" t="s">
        <v>244</v>
      </c>
      <c r="C7" t="s">
        <v>109</v>
      </c>
      <c r="D7" t="s">
        <v>135</v>
      </c>
      <c r="E7" s="10">
        <v>3500000</v>
      </c>
      <c r="F7" t="s">
        <v>108</v>
      </c>
      <c r="G7" t="s">
        <v>229</v>
      </c>
      <c r="H7" t="s">
        <v>134</v>
      </c>
      <c r="I7" t="s">
        <v>134</v>
      </c>
      <c r="J7" t="s">
        <v>141</v>
      </c>
      <c r="K7" t="str">
        <f>IF(J7="NO","ALTO - No revelado","MEDIO - Revisar nepotismo")</f>
        <v>ALTO - No revelado</v>
      </c>
    </row>
    <row r="8" spans="1:11" x14ac:dyDescent="0.25">
      <c r="A8" t="s">
        <v>101</v>
      </c>
      <c r="B8" t="s">
        <v>245</v>
      </c>
      <c r="C8" t="s">
        <v>246</v>
      </c>
      <c r="D8" t="s">
        <v>247</v>
      </c>
      <c r="E8" s="10">
        <v>4500000</v>
      </c>
      <c r="F8" t="s">
        <v>248</v>
      </c>
      <c r="G8" t="s">
        <v>249</v>
      </c>
      <c r="H8" t="s">
        <v>134</v>
      </c>
      <c r="I8" t="s">
        <v>141</v>
      </c>
      <c r="J8" t="s">
        <v>134</v>
      </c>
      <c r="K8" t="str">
        <f>IF(J8="NO","ALTO - No revelado","MEDIO - Revisar nepotismo")</f>
        <v>MEDIO - Revisar nepotismo</v>
      </c>
    </row>
    <row r="11" spans="1:11" x14ac:dyDescent="0.25">
      <c r="A11" s="25" t="s">
        <v>250</v>
      </c>
      <c r="B11" s="16"/>
      <c r="C11" s="16"/>
      <c r="D11" s="16"/>
    </row>
    <row r="12" spans="1:11" x14ac:dyDescent="0.25">
      <c r="A12" t="s">
        <v>251</v>
      </c>
      <c r="B12" s="4">
        <f>COUNTA(A7:A8)</f>
        <v>2</v>
      </c>
    </row>
    <row r="13" spans="1:11" x14ac:dyDescent="0.25">
      <c r="A13" t="s">
        <v>252</v>
      </c>
      <c r="B13" s="13">
        <f>COUNTIF(J7:J8,"NO")</f>
        <v>1</v>
      </c>
    </row>
    <row r="15" spans="1:11" x14ac:dyDescent="0.25">
      <c r="A15" s="17" t="s">
        <v>253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</sheetData>
  <mergeCells count="3">
    <mergeCell ref="A11:D11"/>
    <mergeCell ref="A15:K15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sqref="A1:H1"/>
    </sheetView>
  </sheetViews>
  <sheetFormatPr baseColWidth="10" defaultColWidth="9.140625" defaultRowHeight="15" x14ac:dyDescent="0.25"/>
  <cols>
    <col min="1" max="11" width="16" customWidth="1"/>
  </cols>
  <sheetData>
    <row r="1" spans="1:11" ht="18" x14ac:dyDescent="0.25">
      <c r="A1" s="30" t="s">
        <v>254</v>
      </c>
      <c r="B1" s="29"/>
      <c r="C1" s="29"/>
      <c r="D1" s="29"/>
      <c r="E1" s="29"/>
      <c r="F1" s="29"/>
      <c r="G1" s="29"/>
      <c r="H1" s="29"/>
    </row>
    <row r="2" spans="1:11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1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1" x14ac:dyDescent="0.25">
      <c r="A4" s="4" t="s">
        <v>84</v>
      </c>
      <c r="B4" t="s">
        <v>255</v>
      </c>
      <c r="E4" s="4"/>
    </row>
    <row r="6" spans="1:11" ht="30" x14ac:dyDescent="0.25">
      <c r="A6" s="5" t="s">
        <v>86</v>
      </c>
      <c r="B6" s="5" t="s">
        <v>256</v>
      </c>
      <c r="C6" s="5" t="s">
        <v>257</v>
      </c>
      <c r="D6" s="5" t="s">
        <v>258</v>
      </c>
      <c r="E6" s="5" t="s">
        <v>259</v>
      </c>
      <c r="F6" s="5" t="s">
        <v>260</v>
      </c>
      <c r="G6" s="5" t="s">
        <v>261</v>
      </c>
      <c r="H6" s="5" t="s">
        <v>262</v>
      </c>
      <c r="I6" s="5" t="s">
        <v>263</v>
      </c>
      <c r="J6" s="5" t="s">
        <v>161</v>
      </c>
      <c r="K6" s="5" t="s">
        <v>95</v>
      </c>
    </row>
    <row r="7" spans="1:11" x14ac:dyDescent="0.25">
      <c r="A7" t="s">
        <v>96</v>
      </c>
      <c r="B7" t="s">
        <v>97</v>
      </c>
      <c r="C7" t="s">
        <v>98</v>
      </c>
      <c r="D7" t="s">
        <v>264</v>
      </c>
      <c r="E7" t="s">
        <v>138</v>
      </c>
      <c r="F7" t="s">
        <v>265</v>
      </c>
      <c r="G7" t="s">
        <v>266</v>
      </c>
      <c r="H7" s="10">
        <v>2500000</v>
      </c>
      <c r="I7" s="10">
        <v>3500000</v>
      </c>
      <c r="J7" t="str">
        <f>IF(C7=E7,"Misma persona - ERROR REGISTRO","Posible FRAUDE - Empleado fantasma")</f>
        <v>Posible FRAUDE - Empleado fantasma</v>
      </c>
      <c r="K7" t="s">
        <v>267</v>
      </c>
    </row>
    <row r="8" spans="1:11" x14ac:dyDescent="0.25">
      <c r="A8" t="s">
        <v>101</v>
      </c>
      <c r="B8" t="s">
        <v>102</v>
      </c>
      <c r="C8" t="s">
        <v>103</v>
      </c>
      <c r="D8" t="s">
        <v>268</v>
      </c>
      <c r="E8" t="s">
        <v>246</v>
      </c>
      <c r="F8" t="s">
        <v>269</v>
      </c>
      <c r="G8" t="s">
        <v>270</v>
      </c>
      <c r="H8" s="10">
        <v>3200000</v>
      </c>
      <c r="I8" s="10">
        <v>2800000</v>
      </c>
      <c r="J8" t="str">
        <f>IF(C8=E8,"Misma persona - ERROR REGISTRO","Posible FRAUDE - Empleado fantasma")</f>
        <v>Posible FRAUDE - Empleado fantasma</v>
      </c>
      <c r="K8" t="s">
        <v>267</v>
      </c>
    </row>
    <row r="11" spans="1:11" x14ac:dyDescent="0.25">
      <c r="A11" s="25" t="s">
        <v>271</v>
      </c>
      <c r="B11" s="16"/>
      <c r="C11" s="16"/>
      <c r="D11" s="16"/>
      <c r="E11" s="16"/>
    </row>
    <row r="12" spans="1:11" x14ac:dyDescent="0.25">
      <c r="A12" t="s">
        <v>272</v>
      </c>
      <c r="B12" s="8">
        <f>COUNTA(A7:A8)</f>
        <v>2</v>
      </c>
    </row>
    <row r="13" spans="1:11" x14ac:dyDescent="0.25">
      <c r="A13" t="s">
        <v>273</v>
      </c>
      <c r="B13" s="11">
        <f>SUM(H7:H8,I7:I8)</f>
        <v>12000000</v>
      </c>
    </row>
    <row r="15" spans="1:11" x14ac:dyDescent="0.25">
      <c r="A15" s="26" t="s">
        <v>274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</sheetData>
  <mergeCells count="3">
    <mergeCell ref="A11:E11"/>
    <mergeCell ref="A15:K15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H1"/>
    </sheetView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30" t="s">
        <v>275</v>
      </c>
      <c r="B1" s="29"/>
      <c r="C1" s="29"/>
      <c r="D1" s="29"/>
      <c r="E1" s="29"/>
      <c r="F1" s="29"/>
      <c r="G1" s="29"/>
      <c r="H1" s="29"/>
    </row>
    <row r="2" spans="1:10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0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0" x14ac:dyDescent="0.25">
      <c r="A4" s="4" t="s">
        <v>84</v>
      </c>
      <c r="B4" t="s">
        <v>276</v>
      </c>
      <c r="E4" s="4"/>
    </row>
    <row r="6" spans="1:10" ht="30" x14ac:dyDescent="0.25">
      <c r="A6" s="5" t="s">
        <v>86</v>
      </c>
      <c r="B6" s="5" t="s">
        <v>87</v>
      </c>
      <c r="C6" s="5" t="s">
        <v>88</v>
      </c>
      <c r="D6" s="5" t="s">
        <v>205</v>
      </c>
      <c r="E6" s="5" t="s">
        <v>277</v>
      </c>
      <c r="F6" s="5" t="s">
        <v>208</v>
      </c>
      <c r="G6" s="5" t="s">
        <v>278</v>
      </c>
      <c r="H6" s="5" t="s">
        <v>93</v>
      </c>
      <c r="I6" s="5" t="s">
        <v>221</v>
      </c>
      <c r="J6" s="5" t="s">
        <v>95</v>
      </c>
    </row>
    <row r="7" spans="1:10" x14ac:dyDescent="0.25">
      <c r="A7" t="s">
        <v>96</v>
      </c>
      <c r="B7" t="s">
        <v>97</v>
      </c>
      <c r="C7" t="s">
        <v>98</v>
      </c>
      <c r="D7" t="s">
        <v>134</v>
      </c>
      <c r="E7" s="10">
        <v>2500000</v>
      </c>
      <c r="F7" t="s">
        <v>134</v>
      </c>
      <c r="G7" s="10">
        <v>2500000</v>
      </c>
      <c r="H7" t="str">
        <f>IF(AND(F7="SÍ",E7=G7),"SÍ","NO")</f>
        <v>SÍ</v>
      </c>
      <c r="I7" s="10">
        <f>E7-G7</f>
        <v>0</v>
      </c>
      <c r="J7" t="str">
        <f>IF(F7="NO","CRÍTICO - No reportado PILA",IF(H7="NO","ALTO - Diferencia salarial","BAJO"))</f>
        <v>BAJO</v>
      </c>
    </row>
    <row r="8" spans="1:10" x14ac:dyDescent="0.25">
      <c r="A8" t="s">
        <v>101</v>
      </c>
      <c r="B8" t="s">
        <v>102</v>
      </c>
      <c r="C8" t="s">
        <v>103</v>
      </c>
      <c r="D8" t="s">
        <v>134</v>
      </c>
      <c r="E8" s="10">
        <v>3200000</v>
      </c>
      <c r="F8" t="s">
        <v>134</v>
      </c>
      <c r="G8" s="10">
        <v>2800000</v>
      </c>
      <c r="H8" t="str">
        <f>IF(AND(F8="SÍ",E8=G8),"SÍ","NO")</f>
        <v>NO</v>
      </c>
      <c r="I8" s="10">
        <f>E8-G8</f>
        <v>400000</v>
      </c>
      <c r="J8" t="str">
        <f>IF(F8="NO","CRÍTICO - No reportado PILA",IF(H8="NO","ALTO - Diferencia salarial","BAJO"))</f>
        <v>ALTO - Diferencia salarial</v>
      </c>
    </row>
    <row r="9" spans="1:10" x14ac:dyDescent="0.25">
      <c r="A9" t="s">
        <v>107</v>
      </c>
      <c r="B9" t="s">
        <v>137</v>
      </c>
      <c r="C9" t="s">
        <v>138</v>
      </c>
      <c r="D9" t="s">
        <v>134</v>
      </c>
      <c r="E9" s="10">
        <v>4500000</v>
      </c>
      <c r="F9" t="s">
        <v>141</v>
      </c>
      <c r="G9" s="10">
        <v>0</v>
      </c>
      <c r="H9" t="str">
        <f>IF(AND(F9="SÍ",E9=G9),"SÍ","NO")</f>
        <v>NO</v>
      </c>
      <c r="I9" s="10">
        <f>E9-G9</f>
        <v>4500000</v>
      </c>
      <c r="J9" t="str">
        <f>IF(F9="NO","CRÍTICO - No reportado PILA",IF(H9="NO","ALTO - Diferencia salarial","BAJO"))</f>
        <v>CRÍTICO - No reportado PILA</v>
      </c>
    </row>
    <row r="10" spans="1:10" x14ac:dyDescent="0.25">
      <c r="A10" t="s">
        <v>111</v>
      </c>
      <c r="B10" t="s">
        <v>112</v>
      </c>
      <c r="C10" t="s">
        <v>113</v>
      </c>
      <c r="D10" t="s">
        <v>134</v>
      </c>
      <c r="E10" s="10">
        <v>3800000</v>
      </c>
      <c r="F10" t="s">
        <v>134</v>
      </c>
      <c r="G10" s="10">
        <v>3800000</v>
      </c>
      <c r="H10" t="str">
        <f>IF(AND(F10="SÍ",E10=G10),"SÍ","NO")</f>
        <v>SÍ</v>
      </c>
      <c r="I10" s="10">
        <f>E10-G10</f>
        <v>0</v>
      </c>
      <c r="J10" t="str">
        <f>IF(F10="NO","CRÍTICO - No reportado PILA",IF(H10="NO","ALTO - Diferencia salarial","BAJO"))</f>
        <v>BAJO</v>
      </c>
    </row>
    <row r="13" spans="1:10" x14ac:dyDescent="0.25">
      <c r="A13" s="25" t="s">
        <v>279</v>
      </c>
      <c r="B13" s="16"/>
      <c r="C13" s="16"/>
      <c r="D13" s="16"/>
    </row>
    <row r="14" spans="1:10" x14ac:dyDescent="0.25">
      <c r="A14" t="s">
        <v>280</v>
      </c>
      <c r="B14" s="8">
        <f>COUNTIF(F7:F10,"NO")</f>
        <v>1</v>
      </c>
    </row>
    <row r="15" spans="1:10" x14ac:dyDescent="0.25">
      <c r="A15" t="s">
        <v>281</v>
      </c>
      <c r="B15" s="13">
        <f>COUNTIF(H7:H10,"NO")</f>
        <v>2</v>
      </c>
    </row>
    <row r="17" spans="1:10" x14ac:dyDescent="0.25">
      <c r="A17" s="26" t="s">
        <v>282</v>
      </c>
      <c r="B17" s="16"/>
      <c r="C17" s="16"/>
      <c r="D17" s="16"/>
      <c r="E17" s="16"/>
      <c r="F17" s="16"/>
      <c r="G17" s="16"/>
      <c r="H17" s="16"/>
      <c r="I17" s="16"/>
      <c r="J17" s="16"/>
    </row>
  </sheetData>
  <mergeCells count="3">
    <mergeCell ref="A17:J17"/>
    <mergeCell ref="A13:D1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ht="18" x14ac:dyDescent="0.25">
      <c r="A1" s="30" t="s">
        <v>283</v>
      </c>
      <c r="B1" s="29"/>
      <c r="C1" s="29"/>
      <c r="D1" s="29"/>
      <c r="E1" s="29"/>
      <c r="F1" s="29"/>
      <c r="G1" s="29"/>
      <c r="H1" s="29"/>
    </row>
    <row r="2" spans="1:8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8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8" x14ac:dyDescent="0.25">
      <c r="A4" s="4" t="s">
        <v>84</v>
      </c>
      <c r="B4" t="s">
        <v>284</v>
      </c>
      <c r="E4" s="4"/>
    </row>
    <row r="6" spans="1:8" ht="45" x14ac:dyDescent="0.25">
      <c r="A6" s="5" t="s">
        <v>86</v>
      </c>
      <c r="B6" s="5" t="s">
        <v>87</v>
      </c>
      <c r="C6" s="5" t="s">
        <v>88</v>
      </c>
      <c r="D6" s="5" t="s">
        <v>260</v>
      </c>
      <c r="E6" s="5" t="s">
        <v>285</v>
      </c>
      <c r="F6" s="5" t="s">
        <v>261</v>
      </c>
      <c r="G6" s="5" t="s">
        <v>286</v>
      </c>
      <c r="H6" s="5" t="s">
        <v>95</v>
      </c>
    </row>
    <row r="7" spans="1:8" x14ac:dyDescent="0.25">
      <c r="A7" t="s">
        <v>96</v>
      </c>
      <c r="B7" t="s">
        <v>97</v>
      </c>
      <c r="C7" t="s">
        <v>98</v>
      </c>
      <c r="D7" t="s">
        <v>265</v>
      </c>
      <c r="E7" t="s">
        <v>287</v>
      </c>
      <c r="F7" t="s">
        <v>266</v>
      </c>
      <c r="G7">
        <v>1</v>
      </c>
      <c r="H7" t="str">
        <f>IF(G7&gt;1,"ALTO - Cuenta duplicada","BAJO")</f>
        <v>BAJO</v>
      </c>
    </row>
    <row r="8" spans="1:8" x14ac:dyDescent="0.25">
      <c r="A8" t="s">
        <v>101</v>
      </c>
      <c r="B8" t="s">
        <v>264</v>
      </c>
      <c r="C8" t="s">
        <v>138</v>
      </c>
      <c r="D8" t="s">
        <v>265</v>
      </c>
      <c r="E8" t="s">
        <v>287</v>
      </c>
      <c r="F8" t="s">
        <v>266</v>
      </c>
      <c r="G8">
        <v>2</v>
      </c>
      <c r="H8" t="str">
        <f>IF(G8&gt;1,"ALTO - Cuenta duplicada","BAJO")</f>
        <v>ALTO - Cuenta duplicada</v>
      </c>
    </row>
    <row r="9" spans="1:8" x14ac:dyDescent="0.25">
      <c r="A9" t="s">
        <v>107</v>
      </c>
      <c r="B9" t="s">
        <v>102</v>
      </c>
      <c r="C9" t="s">
        <v>103</v>
      </c>
      <c r="D9" t="s">
        <v>269</v>
      </c>
      <c r="E9" t="s">
        <v>288</v>
      </c>
      <c r="F9" t="s">
        <v>270</v>
      </c>
      <c r="G9">
        <v>1</v>
      </c>
      <c r="H9" t="str">
        <f>IF(G9&gt;1,"ALTO - Cuenta duplicada","BAJO")</f>
        <v>BAJO</v>
      </c>
    </row>
    <row r="12" spans="1:8" x14ac:dyDescent="0.25">
      <c r="A12" s="25" t="s">
        <v>289</v>
      </c>
      <c r="B12" s="16"/>
      <c r="C12" s="16"/>
      <c r="D12" s="16"/>
    </row>
    <row r="13" spans="1:8" x14ac:dyDescent="0.25">
      <c r="A13" t="s">
        <v>272</v>
      </c>
      <c r="B13" s="8">
        <f>COUNTIF(G7:G9,"&gt;1")</f>
        <v>1</v>
      </c>
    </row>
  </sheetData>
  <mergeCells count="2">
    <mergeCell ref="A12:D1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sqref="A1:H1"/>
    </sheetView>
  </sheetViews>
  <sheetFormatPr baseColWidth="10" defaultColWidth="9.140625" defaultRowHeight="15" x14ac:dyDescent="0.25"/>
  <cols>
    <col min="1" max="11" width="16" customWidth="1"/>
  </cols>
  <sheetData>
    <row r="1" spans="1:11" ht="18" x14ac:dyDescent="0.25">
      <c r="A1" s="30" t="s">
        <v>290</v>
      </c>
      <c r="B1" s="29"/>
      <c r="C1" s="29"/>
      <c r="D1" s="29"/>
      <c r="E1" s="29"/>
      <c r="F1" s="29"/>
      <c r="G1" s="29"/>
      <c r="H1" s="29"/>
    </row>
    <row r="2" spans="1:11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1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1" x14ac:dyDescent="0.25">
      <c r="A4" s="4" t="s">
        <v>84</v>
      </c>
      <c r="B4" t="s">
        <v>291</v>
      </c>
      <c r="E4" s="4"/>
    </row>
    <row r="6" spans="1:11" ht="30" x14ac:dyDescent="0.25">
      <c r="A6" s="5" t="s">
        <v>86</v>
      </c>
      <c r="B6" s="5" t="s">
        <v>87</v>
      </c>
      <c r="C6" s="5" t="s">
        <v>125</v>
      </c>
      <c r="D6" s="5" t="s">
        <v>292</v>
      </c>
      <c r="E6" s="5" t="s">
        <v>293</v>
      </c>
      <c r="F6" s="5" t="s">
        <v>294</v>
      </c>
      <c r="G6" s="5" t="s">
        <v>295</v>
      </c>
      <c r="H6" s="5" t="s">
        <v>296</v>
      </c>
      <c r="I6" s="5" t="s">
        <v>297</v>
      </c>
      <c r="J6" s="5" t="s">
        <v>157</v>
      </c>
      <c r="K6" s="5" t="s">
        <v>95</v>
      </c>
    </row>
    <row r="7" spans="1:11" x14ac:dyDescent="0.25">
      <c r="A7" t="s">
        <v>96</v>
      </c>
      <c r="B7" t="s">
        <v>97</v>
      </c>
      <c r="C7" t="s">
        <v>132</v>
      </c>
      <c r="D7" s="10">
        <v>2200000</v>
      </c>
      <c r="E7" s="10">
        <v>2500000</v>
      </c>
      <c r="F7" s="10">
        <f>E7-D7</f>
        <v>300000</v>
      </c>
      <c r="G7" s="12">
        <f>F7/D7</f>
        <v>0.13636363636363635</v>
      </c>
      <c r="H7" s="12">
        <v>0.06</v>
      </c>
      <c r="I7" s="12">
        <f>G7-H7</f>
        <v>7.6363636363636356E-2</v>
      </c>
      <c r="J7" t="s">
        <v>226</v>
      </c>
      <c r="K7" t="str">
        <f>IF(I7&gt;0.2,"ALTO - Incremento excesivo",IF(AND(I7&gt;0.1,J7="Sin autorización"),"ALTO","MEDIO"))</f>
        <v>MEDIO</v>
      </c>
    </row>
    <row r="8" spans="1:11" x14ac:dyDescent="0.25">
      <c r="A8" t="s">
        <v>101</v>
      </c>
      <c r="B8" t="s">
        <v>102</v>
      </c>
      <c r="C8" t="s">
        <v>135</v>
      </c>
      <c r="D8" s="10">
        <v>2800000</v>
      </c>
      <c r="E8" s="10">
        <v>4200000</v>
      </c>
      <c r="F8" s="10">
        <f>E8-D8</f>
        <v>1400000</v>
      </c>
      <c r="G8" s="12">
        <f>F8/D8</f>
        <v>0.5</v>
      </c>
      <c r="H8" s="12">
        <v>0.06</v>
      </c>
      <c r="I8" s="12">
        <f>G8-H8</f>
        <v>0.44</v>
      </c>
      <c r="J8" t="s">
        <v>229</v>
      </c>
      <c r="K8" t="str">
        <f>IF(I8&gt;0.2,"ALTO - Incremento excesivo",IF(AND(I8&gt;0.1,J8="Sin autorización"),"ALTO","MEDIO"))</f>
        <v>ALTO - Incremento excesivo</v>
      </c>
    </row>
    <row r="9" spans="1:11" x14ac:dyDescent="0.25">
      <c r="A9" t="s">
        <v>107</v>
      </c>
      <c r="B9" t="s">
        <v>108</v>
      </c>
      <c r="C9" t="s">
        <v>142</v>
      </c>
      <c r="D9" s="10">
        <v>4000000</v>
      </c>
      <c r="E9" s="10">
        <v>4240000</v>
      </c>
      <c r="F9" s="10">
        <f>E9-D9</f>
        <v>240000</v>
      </c>
      <c r="G9" s="12">
        <f>F9/D9</f>
        <v>0.06</v>
      </c>
      <c r="H9" s="12">
        <v>0.06</v>
      </c>
      <c r="I9" s="12">
        <f>G9-H9</f>
        <v>0</v>
      </c>
      <c r="J9" t="s">
        <v>226</v>
      </c>
      <c r="K9" t="str">
        <f>IF(I9&gt;0.2,"ALTO - Incremento excesivo",IF(AND(I9&gt;0.1,J9="Sin autorización"),"ALTO","MEDIO"))</f>
        <v>MEDIO</v>
      </c>
    </row>
    <row r="12" spans="1:11" x14ac:dyDescent="0.25">
      <c r="A12" s="27" t="s">
        <v>298</v>
      </c>
      <c r="B12" s="16"/>
      <c r="C12" s="16"/>
      <c r="D12" s="16"/>
    </row>
    <row r="13" spans="1:11" x14ac:dyDescent="0.25">
      <c r="A13" t="s">
        <v>299</v>
      </c>
      <c r="B13">
        <f>COUNTA(A7:A9)</f>
        <v>3</v>
      </c>
    </row>
    <row r="14" spans="1:11" x14ac:dyDescent="0.25">
      <c r="A14" t="s">
        <v>300</v>
      </c>
      <c r="B14" s="12">
        <f>AVERAGE(G7:G9)</f>
        <v>0.23212121212121209</v>
      </c>
    </row>
    <row r="15" spans="1:11" x14ac:dyDescent="0.25">
      <c r="A15" t="s">
        <v>301</v>
      </c>
      <c r="B15" s="13">
        <f>COUNTIF(K7:K9,"ALTO*")</f>
        <v>1</v>
      </c>
    </row>
  </sheetData>
  <mergeCells count="2">
    <mergeCell ref="A12:D1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H1"/>
    </sheetView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30" t="s">
        <v>302</v>
      </c>
      <c r="B1" s="29"/>
      <c r="C1" s="29"/>
      <c r="D1" s="29"/>
      <c r="E1" s="29"/>
      <c r="F1" s="29"/>
      <c r="G1" s="29"/>
      <c r="H1" s="29"/>
    </row>
    <row r="2" spans="1:10" x14ac:dyDescent="0.25">
      <c r="A2" s="4" t="s">
        <v>76</v>
      </c>
      <c r="B2" t="s">
        <v>77</v>
      </c>
      <c r="E2" s="4" t="s">
        <v>78</v>
      </c>
      <c r="F2" t="s">
        <v>79</v>
      </c>
    </row>
    <row r="3" spans="1:10" x14ac:dyDescent="0.25">
      <c r="A3" s="4" t="s">
        <v>80</v>
      </c>
      <c r="B3" t="s">
        <v>81</v>
      </c>
      <c r="E3" s="4" t="s">
        <v>82</v>
      </c>
      <c r="F3" t="s">
        <v>83</v>
      </c>
    </row>
    <row r="4" spans="1:10" x14ac:dyDescent="0.25">
      <c r="A4" s="4" t="s">
        <v>84</v>
      </c>
      <c r="B4" t="s">
        <v>303</v>
      </c>
      <c r="E4" s="4"/>
    </row>
    <row r="6" spans="1:10" x14ac:dyDescent="0.25">
      <c r="A6" s="5" t="s">
        <v>86</v>
      </c>
      <c r="B6" s="5" t="s">
        <v>256</v>
      </c>
      <c r="C6" s="5" t="s">
        <v>258</v>
      </c>
      <c r="D6" s="5" t="s">
        <v>304</v>
      </c>
      <c r="E6" s="5" t="s">
        <v>305</v>
      </c>
      <c r="F6" s="5" t="s">
        <v>306</v>
      </c>
      <c r="G6" s="5" t="s">
        <v>307</v>
      </c>
      <c r="H6" s="5" t="s">
        <v>308</v>
      </c>
      <c r="I6" s="5" t="s">
        <v>161</v>
      </c>
      <c r="J6" s="5" t="s">
        <v>95</v>
      </c>
    </row>
    <row r="7" spans="1:10" x14ac:dyDescent="0.25">
      <c r="A7" t="s">
        <v>96</v>
      </c>
      <c r="B7" t="s">
        <v>97</v>
      </c>
      <c r="C7" t="s">
        <v>309</v>
      </c>
      <c r="D7" t="s">
        <v>310</v>
      </c>
      <c r="E7" t="s">
        <v>311</v>
      </c>
      <c r="F7" t="s">
        <v>312</v>
      </c>
      <c r="G7" t="s">
        <v>313</v>
      </c>
      <c r="H7" t="s">
        <v>134</v>
      </c>
      <c r="I7" t="str">
        <f>IF(H7="SÍ","NORMAL - Justificado","REVISAR - Posible empleado fantasma")</f>
        <v>NORMAL - Justificado</v>
      </c>
      <c r="J7" t="str">
        <f>IF(I7="REVISAR*","ALTO","BAJO")</f>
        <v>BAJO</v>
      </c>
    </row>
    <row r="8" spans="1:10" x14ac:dyDescent="0.25">
      <c r="A8" t="s">
        <v>101</v>
      </c>
      <c r="B8" t="s">
        <v>108</v>
      </c>
      <c r="C8" t="s">
        <v>314</v>
      </c>
      <c r="D8" t="s">
        <v>310</v>
      </c>
      <c r="E8" t="s">
        <v>311</v>
      </c>
      <c r="F8" t="s">
        <v>315</v>
      </c>
      <c r="G8" t="s">
        <v>316</v>
      </c>
      <c r="H8" t="s">
        <v>141</v>
      </c>
      <c r="I8" t="str">
        <f>IF(H8="SÍ","NORMAL - Justificado","REVISAR - Posible empleado fantasma")</f>
        <v>REVISAR - Posible empleado fantasma</v>
      </c>
      <c r="J8" t="str">
        <f>IF(I8="REVISAR*","ALTO","BAJO")</f>
        <v>BAJO</v>
      </c>
    </row>
    <row r="11" spans="1:10" x14ac:dyDescent="0.25">
      <c r="A11" s="27" t="s">
        <v>317</v>
      </c>
      <c r="B11" s="16"/>
      <c r="C11" s="16"/>
      <c r="D11" s="16"/>
    </row>
    <row r="12" spans="1:10" x14ac:dyDescent="0.25">
      <c r="A12" t="s">
        <v>318</v>
      </c>
      <c r="B12">
        <f>COUNTA(A7:A8)</f>
        <v>2</v>
      </c>
    </row>
    <row r="13" spans="1:10" x14ac:dyDescent="0.25">
      <c r="A13" t="s">
        <v>319</v>
      </c>
      <c r="B13" s="13">
        <f>COUNTIF(H7:H8,"NO")</f>
        <v>1</v>
      </c>
    </row>
  </sheetData>
  <mergeCells count="2">
    <mergeCell ref="A11:D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PT K.1 - Altas y Bajas</vt:lpstr>
      <vt:lpstr>PT K.2 - Verif Física</vt:lpstr>
      <vt:lpstr>PT K.3 - Horas Extras</vt:lpstr>
      <vt:lpstr>PT K.4 - Anticipos</vt:lpstr>
      <vt:lpstr>PT K.5 - Retenciones</vt:lpstr>
      <vt:lpstr>PT K.6 - Empleados Fantasma</vt:lpstr>
      <vt:lpstr>PT K.7 - Beneficios</vt:lpstr>
      <vt:lpstr>PT K.8 - Parientes Ejecut</vt:lpstr>
      <vt:lpstr>PT K.9 - Ctas Duplicadas</vt:lpstr>
      <vt:lpstr>PT K.10 - Cruce PILA</vt:lpstr>
      <vt:lpstr>PT K.11 - Datos Bancarios</vt:lpstr>
      <vt:lpstr>PT K.12 - Incrementos</vt:lpstr>
      <vt:lpstr>PT K.13 - Direc Tel Dupl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2025-11-17T20:18:59Z</dcterms:created>
  <dcterms:modified xsi:type="dcterms:W3CDTF">2025-11-17T20:27:47Z</dcterms:modified>
</cp:coreProperties>
</file>