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luisc\Desktop\Proyectos Freelancer\sistema-audita-revisoria\static\templates_base_revisoria\4 SEGUIMIENTO\"/>
    </mc:Choice>
  </mc:AlternateContent>
  <xr:revisionPtr revIDLastSave="0" documentId="13_ncr:1_{FF663F2C-638B-4156-99D6-B71F0F4F28D0}" xr6:coauthVersionLast="47" xr6:coauthVersionMax="47" xr10:uidLastSave="{00000000-0000-0000-0000-000000000000}"/>
  <bookViews>
    <workbookView xWindow="-118" yWindow="-118" windowWidth="25370" windowHeight="13667" xr2:uid="{00000000-000D-0000-FFFF-FFFF00000000}"/>
  </bookViews>
  <sheets>
    <sheet name="INDICE" sheetId="1" r:id="rId1"/>
    <sheet name="S" sheetId="2" r:id="rId2"/>
    <sheet name="S-1" sheetId="3" r:id="rId3"/>
    <sheet name="S-2" sheetId="4" r:id="rId4"/>
    <sheet name="S-3" sheetId="5" r:id="rId5"/>
    <sheet name="S-4" sheetId="6" r:id="rId6"/>
    <sheet name="S-5" sheetId="7" r:id="rId7"/>
    <sheet name="S-6" sheetId="8" r:id="rId8"/>
    <sheet name="S-7" sheetId="9" r:id="rId9"/>
    <sheet name="S-8" sheetId="10" r:id="rId10"/>
    <sheet name="S-9" sheetId="11" r:id="rId11"/>
    <sheet name="S-10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9" i="12" l="1"/>
  <c r="A54" i="11"/>
  <c r="A53" i="10"/>
  <c r="A53" i="9"/>
  <c r="A52" i="8"/>
  <c r="A58" i="7"/>
  <c r="A52" i="6"/>
  <c r="A63" i="5"/>
  <c r="A73" i="4"/>
  <c r="A51" i="3"/>
  <c r="A66" i="2"/>
  <c r="D13" i="1" l="1"/>
  <c r="D12" i="1"/>
  <c r="D11" i="1"/>
  <c r="D10" i="1"/>
  <c r="D9" i="1"/>
  <c r="D8" i="1"/>
  <c r="D7" i="1"/>
  <c r="D6" i="1"/>
  <c r="D5" i="1"/>
  <c r="D4" i="1"/>
  <c r="D3" i="1"/>
</calcChain>
</file>

<file path=xl/sharedStrings.xml><?xml version="1.0" encoding="utf-8"?>
<sst xmlns="http://schemas.openxmlformats.org/spreadsheetml/2006/main" count="662" uniqueCount="398">
  <si>
    <t>Auditoría y Revisoría Fiscal</t>
  </si>
  <si>
    <t>FASE</t>
  </si>
  <si>
    <t>REFERENCIA</t>
  </si>
  <si>
    <t>DESCRIPCION</t>
  </si>
  <si>
    <t>ACCESO</t>
  </si>
  <si>
    <t>4. SEGUIMIENTO</t>
  </si>
  <si>
    <t>S</t>
  </si>
  <si>
    <t>Seguimiento y Monitoreo</t>
  </si>
  <si>
    <t>S-1</t>
  </si>
  <si>
    <t>Matriz de seguimiento a recomendaciones</t>
  </si>
  <si>
    <t>S-2</t>
  </si>
  <si>
    <t>Informe trimestral de seguimiento</t>
  </si>
  <si>
    <t>S-3</t>
  </si>
  <si>
    <t>Evaluación de planes de mejoramiento</t>
  </si>
  <si>
    <t>S-4</t>
  </si>
  <si>
    <t>Evidencias de implementación de mejoras</t>
  </si>
  <si>
    <t>S-5</t>
  </si>
  <si>
    <t>Actualización de matriz de riesgos</t>
  </si>
  <si>
    <t>S-6</t>
  </si>
  <si>
    <t>Actas de comité de auditoría</t>
  </si>
  <si>
    <t>S-7</t>
  </si>
  <si>
    <t>Comunicaciones con la administración</t>
  </si>
  <si>
    <t>S-8</t>
  </si>
  <si>
    <t>Papeles de visitas de seguimiento</t>
  </si>
  <si>
    <t>S-9</t>
  </si>
  <si>
    <t>Actualización de archivo permanente</t>
  </si>
  <si>
    <t>S-10</t>
  </si>
  <si>
    <t>Preparación para siguiente período</t>
  </si>
  <si>
    <t>OBJETIVO:</t>
  </si>
  <si>
    <t>Documentar y dar seguimiento sistemático a:
• Implementación de recomendaciones de auditoría
• Cumplimiento de planes de mejoramiento
• Evolución de riesgos identificados
• Efectividad de controles implementados
• Comunicaciones con la administración
• Actualización de información permanente del cliente</t>
  </si>
  <si>
    <t>PROCEDIMIENTOS Y HALLAZGOS:</t>
  </si>
  <si>
    <t>No.</t>
  </si>
  <si>
    <t>PROCEDIMIENTO</t>
  </si>
  <si>
    <t>HALLAZGO</t>
  </si>
  <si>
    <t>REF</t>
  </si>
  <si>
    <t>HECHO POR</t>
  </si>
  <si>
    <t>Realizar seguimiento sistemático al cumplimiento de las recomendaciones emitidas en informes de auditoría anteriores, verificando su implementación efectiva y el cierre de hallazgos.</t>
  </si>
  <si>
    <t>Informe Origen</t>
  </si>
  <si>
    <t>Hallazgo</t>
  </si>
  <si>
    <t>Recomendación</t>
  </si>
  <si>
    <t>Responsable</t>
  </si>
  <si>
    <t>Fecha Compromiso</t>
  </si>
  <si>
    <t>Estado</t>
  </si>
  <si>
    <t>% Avance</t>
  </si>
  <si>
    <t>Observaciones</t>
  </si>
  <si>
    <t>Fecha Verificación</t>
  </si>
  <si>
    <t>INF-2024-03</t>
  </si>
  <si>
    <t>Falta segregación de funciones en tesorería</t>
  </si>
  <si>
    <t>Implementar matriz de autorizaciones y definir perfiles por cargo</t>
  </si>
  <si>
    <t>Dir. Financiera</t>
  </si>
  <si>
    <t>31/03/2025</t>
  </si>
  <si>
    <t>En Proceso</t>
  </si>
  <si>
    <t>60%</t>
  </si>
  <si>
    <t>Matriz diseñada, pendiente aprobación Gerencia</t>
  </si>
  <si>
    <t>15/10/2025</t>
  </si>
  <si>
    <t>Ausencia de conciliaciones bancarias mensuales</t>
  </si>
  <si>
    <t>Establecer procedimiento formal de conciliación bancaria</t>
  </si>
  <si>
    <t>Contador</t>
  </si>
  <si>
    <t>28/02/2025</t>
  </si>
  <si>
    <t>Implementado</t>
  </si>
  <si>
    <t>100%</t>
  </si>
  <si>
    <t>Procedimiento operando desde marzo 2025</t>
  </si>
  <si>
    <t>10/10/2025</t>
  </si>
  <si>
    <t>INF-2024-02</t>
  </si>
  <si>
    <t>Inventarios físicos sin diferencias documentadas</t>
  </si>
  <si>
    <t>Crear formato de justificación de diferencias de inventario</t>
  </si>
  <si>
    <t>Jefe Logística</t>
  </si>
  <si>
    <t>31/01/2025</t>
  </si>
  <si>
    <t>Pendiente</t>
  </si>
  <si>
    <t>20%</t>
  </si>
  <si>
    <t>Formato en diseño, falta capacitación</t>
  </si>
  <si>
    <t>20/10/2025</t>
  </si>
  <si>
    <t>INF-2024-01</t>
  </si>
  <si>
    <t>Políticas contables desactualizadas</t>
  </si>
  <si>
    <t>Actualizar manual de políticas contables a NIIF vigentes</t>
  </si>
  <si>
    <t>Dir. Contable</t>
  </si>
  <si>
    <t>30/04/2025</t>
  </si>
  <si>
    <t>75%</t>
  </si>
  <si>
    <t>Actualización en revisión final</t>
  </si>
  <si>
    <t>25/10/2025</t>
  </si>
  <si>
    <t>Falta de respaldos de información crítica</t>
  </si>
  <si>
    <t>Implementar política de backups automatizados diarios</t>
  </si>
  <si>
    <t>Jefe TI</t>
  </si>
  <si>
    <t>15/02/2025</t>
  </si>
  <si>
    <t>Sistema de respaldo automático operativo</t>
  </si>
  <si>
    <t>05/10/2025</t>
  </si>
  <si>
    <t>Elaborar informe consolidado trimestral del estado de implementación de recomendaciones, avance de planes de mejoramiento y principales novedades en el sistema de control interno.</t>
  </si>
  <si>
    <t>ESTRUCTURA DEL INFORME TRIMESTRAL:</t>
  </si>
  <si>
    <t>1. RESUMEN EJECUTIVO</t>
  </si>
  <si>
    <t>• Total recomendaciones: ___  | Implementadas: ___ (___%) | En proceso: ___ (___%) | Pendientes: ___ (___%))</t>
  </si>
  <si>
    <t>• Hallazgos críticos cerrados en el trimestre: ___</t>
  </si>
  <si>
    <t>• Nuevos riesgos identificados: ___</t>
  </si>
  <si>
    <t>• Nivel de cumplimiento global: ___%</t>
  </si>
  <si>
    <t>2. SEGUIMIENTO POR ÁREA</t>
  </si>
  <si>
    <t>2.1 Área Financiera</t>
  </si>
  <si>
    <t xml:space="preserve">    - Recomendaciones implementadas: ___</t>
  </si>
  <si>
    <t xml:space="preserve">    - Observaciones: [Descripción del avance y situaciones relevantes]</t>
  </si>
  <si>
    <t>2.2 Área Operativa</t>
  </si>
  <si>
    <t>2.3 Área de Tecnología</t>
  </si>
  <si>
    <t>3. RECOMENDACIONES VENCIDAS SIN IMPLEMENTAR</t>
  </si>
  <si>
    <t>[Listar recomendaciones con fecha de compromiso vencida, causas del retraso y acciones correctivas propuestas]</t>
  </si>
  <si>
    <t>4. NUEVOS HALLAZGOS IDENTIFICADOS</t>
  </si>
  <si>
    <t>[Describir hallazgos identificados durante las visitas de seguimiento del trimestre]</t>
  </si>
  <si>
    <t>5. CONCLUSIONES Y RECOMENDACIONES</t>
  </si>
  <si>
    <t>[Conclusión general sobre la gestión de seguimiento y recomendaciones para mejorar el proceso]</t>
  </si>
  <si>
    <t>Evaluar la eficacia de los planes de mejoramiento implementados por la administración, verificando el cumplimiento de objetivos, metas y cronogramas establecidos.</t>
  </si>
  <si>
    <t>Plan de Mejoramiento</t>
  </si>
  <si>
    <t>Área</t>
  </si>
  <si>
    <t>Objetivo</t>
  </si>
  <si>
    <t>Actividades Planeadas</t>
  </si>
  <si>
    <t>Actividades Ejecutadas</t>
  </si>
  <si>
    <t>Cumplimiento %</t>
  </si>
  <si>
    <t>Efectividad</t>
  </si>
  <si>
    <t>Mejora proceso de compras</t>
  </si>
  <si>
    <t>Adquisiciones</t>
  </si>
  <si>
    <t>Reducir tiempos de compra en 30%</t>
  </si>
  <si>
    <t>Efectivo</t>
  </si>
  <si>
    <t>Objetivo alcanzado, tiempo reducido a 15 días</t>
  </si>
  <si>
    <t>Fortalecimiento control interno financiero</t>
  </si>
  <si>
    <t>Financiera</t>
  </si>
  <si>
    <t>Implementar 8 controles clave</t>
  </si>
  <si>
    <t>Parcial</t>
  </si>
  <si>
    <t>Faltan controles de autorización y conciliación</t>
  </si>
  <si>
    <t>Actualización tecnológica ERP</t>
  </si>
  <si>
    <t>TI</t>
  </si>
  <si>
    <t>Migrar al nuevo sistema en 6 meses</t>
  </si>
  <si>
    <t>67%</t>
  </si>
  <si>
    <t>En desarrollo</t>
  </si>
  <si>
    <t>Proyecto con 1 mes de retraso por proveedor</t>
  </si>
  <si>
    <t>Capacitación en NIIF</t>
  </si>
  <si>
    <t>Contabilidad</t>
  </si>
  <si>
    <t>Capacitar 100% del personal contable</t>
  </si>
  <si>
    <t>Personal capacitado y certificado</t>
  </si>
  <si>
    <t>Recopilar y documentar las evidencias que soportan la implementación efectiva de las mejoras y acciones correctivas derivadas de hallazgos de auditoría.</t>
  </si>
  <si>
    <t>Tipo de Evidencia</t>
  </si>
  <si>
    <t>Descripción</t>
  </si>
  <si>
    <t>Fecha Obtención</t>
  </si>
  <si>
    <t>Ubicación/Referencia</t>
  </si>
  <si>
    <t>Verificado por</t>
  </si>
  <si>
    <t>Conclusión</t>
  </si>
  <si>
    <t>Implementar matriz de autorizaciones</t>
  </si>
  <si>
    <t>Documental</t>
  </si>
  <si>
    <t>Manual de autorizaciones aprobado por Gerencia</t>
  </si>
  <si>
    <t>Carpeta digital: /Evidencias/S-4-001.pdf</t>
  </si>
  <si>
    <t>Auditor Sr.</t>
  </si>
  <si>
    <t>Evidencia suficiente</t>
  </si>
  <si>
    <t>Procedimiento de conciliación bancaria</t>
  </si>
  <si>
    <t>Proceso</t>
  </si>
  <si>
    <t>Conciliaciones de sep-2025 firmadas y archivadas</t>
  </si>
  <si>
    <t>Sistema ERP - Módulo Tesorería</t>
  </si>
  <si>
    <t>Auditor Jr.</t>
  </si>
  <si>
    <t>Política de backups</t>
  </si>
  <si>
    <t>Técnica</t>
  </si>
  <si>
    <t>Log de backups automatizados últimos 30 días</t>
  </si>
  <si>
    <t>Servidor: logs/backup_20251020.txt</t>
  </si>
  <si>
    <t>Especialista TI</t>
  </si>
  <si>
    <t>Manual de políticas contables</t>
  </si>
  <si>
    <t>Manual actualizado versión 3.0</t>
  </si>
  <si>
    <t>Carpeta compartida: /Contabilidad/Politicas/</t>
  </si>
  <si>
    <t>Formato de diferencias inventario</t>
  </si>
  <si>
    <t>Formato diseñado pendiente aprobación</t>
  </si>
  <si>
    <t>Correo adjunto Dir. Logística</t>
  </si>
  <si>
    <t>Actualizar periódicamente la matriz de riesgos identificados durante la auditoría, evaluando cambios en su probabilidad, impacto y efectividad de los controles implementados.</t>
  </si>
  <si>
    <t>Riesgo</t>
  </si>
  <si>
    <t>Prob. Inicial</t>
  </si>
  <si>
    <t>Imp. Inicial</t>
  </si>
  <si>
    <t>Nivel Inicial</t>
  </si>
  <si>
    <t>Controles Implementados</t>
  </si>
  <si>
    <t>Prob. Actual</t>
  </si>
  <si>
    <t>Imp. Actual</t>
  </si>
  <si>
    <t>Nivel Actual</t>
  </si>
  <si>
    <t>Cambio</t>
  </si>
  <si>
    <t>Tesorería</t>
  </si>
  <si>
    <t>Fraude en pagos</t>
  </si>
  <si>
    <t>Alta</t>
  </si>
  <si>
    <t>Alto</t>
  </si>
  <si>
    <t>Crítico</t>
  </si>
  <si>
    <t>Matriz de autorizaciones y segregación de funciones</t>
  </si>
  <si>
    <t>Media</t>
  </si>
  <si>
    <t>Medio</t>
  </si>
  <si>
    <t>Moderado</t>
  </si>
  <si>
    <t>Mejoró</t>
  </si>
  <si>
    <t>Errores en EEFF</t>
  </si>
  <si>
    <t>Conciliaciones mensuales obligatorias</t>
  </si>
  <si>
    <t>Baja</t>
  </si>
  <si>
    <t>Inventarios</t>
  </si>
  <si>
    <t>Faltantes no detectados</t>
  </si>
  <si>
    <t>Formato diferencias (pendiente)</t>
  </si>
  <si>
    <t>Sin cambio</t>
  </si>
  <si>
    <t>Pérdida de información</t>
  </si>
  <si>
    <t>Backups automatizados diarios</t>
  </si>
  <si>
    <t>Compras</t>
  </si>
  <si>
    <t>Sobrecostos en adquisiciones</t>
  </si>
  <si>
    <t>Proceso estandarizado y cotizaciones múltiples</t>
  </si>
  <si>
    <t>Documentar las reuniones del comité de auditoría, registrando temas tratados, acuerdos, compromisos y seguimiento a decisiones anteriores.</t>
  </si>
  <si>
    <t>Fecha Reunión</t>
  </si>
  <si>
    <t>Asistentes</t>
  </si>
  <si>
    <t>Temas Tratados</t>
  </si>
  <si>
    <t>Acuerdos</t>
  </si>
  <si>
    <t>Responsables</t>
  </si>
  <si>
    <t>Archivo Acta</t>
  </si>
  <si>
    <t>15/01/2025</t>
  </si>
  <si>
    <t>Junta Directiva, Revisor Fiscal, Dir. Financiera</t>
  </si>
  <si>
    <t>Presentación informe Q4-2024, Hallazgos críticos</t>
  </si>
  <si>
    <t>Aprobar plan de mejoramiento, Asignar presupuesto $50M</t>
  </si>
  <si>
    <t>Acta_001-2025.pdf</t>
  </si>
  <si>
    <t>20/03/2025</t>
  </si>
  <si>
    <t>Junta Directiva, Revisor Fiscal, Dir. TI</t>
  </si>
  <si>
    <t>Seguimiento plan mejoramiento, Implementación ERP</t>
  </si>
  <si>
    <t>Autorizar ampliación plazo ERP 1 mes</t>
  </si>
  <si>
    <t>Dir. TI</t>
  </si>
  <si>
    <t>Acta_002-2025.pdf</t>
  </si>
  <si>
    <t>15/06/2025</t>
  </si>
  <si>
    <t>Junta Directiva, Revisor Fiscal, Gerente General</t>
  </si>
  <si>
    <t>Informe Q1-2025, Nuevos riesgos identificados</t>
  </si>
  <si>
    <t>Fortalecer controles en tesorería</t>
  </si>
  <si>
    <t>31/07/2025</t>
  </si>
  <si>
    <t>Acta_003-2025.pdf</t>
  </si>
  <si>
    <t>20/09/2025</t>
  </si>
  <si>
    <t>Junta Directiva, Revisor Fiscal, Comité Ejecutivo</t>
  </si>
  <si>
    <t>Seguimiento trimestral, Evaluación auditor externo</t>
  </si>
  <si>
    <t>Renovar contrato auditor externo</t>
  </si>
  <si>
    <t>Gerente General</t>
  </si>
  <si>
    <t>31/10/2025</t>
  </si>
  <si>
    <t>Acta_004-2025.pdf</t>
  </si>
  <si>
    <t>Registrar y archivar todas las comunicaciones formales entre el auditor/revisor fiscal y la administración de la entidad relacionadas con el proceso de seguimiento.</t>
  </si>
  <si>
    <t>Fecha</t>
  </si>
  <si>
    <t>Tipo</t>
  </si>
  <si>
    <t>Remitente</t>
  </si>
  <si>
    <t>Destinatario</t>
  </si>
  <si>
    <t>Asunto</t>
  </si>
  <si>
    <t>Referencia</t>
  </si>
  <si>
    <t>Archivo</t>
  </si>
  <si>
    <t>05/01/2025</t>
  </si>
  <si>
    <t>Carta</t>
  </si>
  <si>
    <t>Revisor Fiscal</t>
  </si>
  <si>
    <t>Solicitud información seguimiento recomendaciones</t>
  </si>
  <si>
    <t>S-7-001</t>
  </si>
  <si>
    <t>Carta_S7-001.pdf</t>
  </si>
  <si>
    <t>20/01/2025</t>
  </si>
  <si>
    <t>Correo</t>
  </si>
  <si>
    <t>Respuesta con avances implementados Q4-2024</t>
  </si>
  <si>
    <t>S-7-002</t>
  </si>
  <si>
    <t>Email_S7-002.pdf</t>
  </si>
  <si>
    <t>15/03/2025</t>
  </si>
  <si>
    <t>Junta Directiva</t>
  </si>
  <si>
    <t>Informe trimestral de seguimiento Q1-2025</t>
  </si>
  <si>
    <t>S-7-003</t>
  </si>
  <si>
    <t>Informe_Q1_S7-003.pdf</t>
  </si>
  <si>
    <t>10/05/2025</t>
  </si>
  <si>
    <t>Solicitud evidencias implementación backups</t>
  </si>
  <si>
    <t>S-7-004</t>
  </si>
  <si>
    <t>Email_S7-004.pdf</t>
  </si>
  <si>
    <t>18/05/2025</t>
  </si>
  <si>
    <t>Envío logs y evidencias sistema respaldo</t>
  </si>
  <si>
    <t>S-7-005</t>
  </si>
  <si>
    <t>Email_S7-005.pdf</t>
  </si>
  <si>
    <t>30/06/2025</t>
  </si>
  <si>
    <t>Comunicación recomendaciones vencidas sin implementar</t>
  </si>
  <si>
    <t>S-7-006</t>
  </si>
  <si>
    <t>Carta_S7-006.pdf</t>
  </si>
  <si>
    <t>15/09/2025</t>
  </si>
  <si>
    <t>Informe trimestral seguimiento Q3-2025</t>
  </si>
  <si>
    <t>S-7-007</t>
  </si>
  <si>
    <t>Informe_Q3_S7-007.pdf</t>
  </si>
  <si>
    <t>Documentar las visitas de seguimiento realizadas a la entidad, incluyendo alcance, procedimientos ejecutados, hallazgos y conclusiones de cada visita.</t>
  </si>
  <si>
    <t>Fecha Visita</t>
  </si>
  <si>
    <t>Objetivo Visita</t>
  </si>
  <si>
    <t>Áreas Visitadas</t>
  </si>
  <si>
    <t>Responsables Entrevistados</t>
  </si>
  <si>
    <t>Hallazgos</t>
  </si>
  <si>
    <t>Ref. Papeles</t>
  </si>
  <si>
    <t>Verificar implementación segregación funciones</t>
  </si>
  <si>
    <t>Tesorería, Financiera</t>
  </si>
  <si>
    <t>Dir. Financiera, Tesorero</t>
  </si>
  <si>
    <t>Matriz en diseño, no implementada</t>
  </si>
  <si>
    <t>S-8-001</t>
  </si>
  <si>
    <t>10/02/2025</t>
  </si>
  <si>
    <t>Revisar procedimiento conciliaciones bancarias</t>
  </si>
  <si>
    <t>Contabilidad, Tesorería</t>
  </si>
  <si>
    <t>Contador, Aux. Contable</t>
  </si>
  <si>
    <t>Procedimiento operando correctamente</t>
  </si>
  <si>
    <t>Satisfactorio</t>
  </si>
  <si>
    <t>S-8-002</t>
  </si>
  <si>
    <t>Verificar sistema de backups implementado</t>
  </si>
  <si>
    <t>Dir. TI, Administrador Sistemas</t>
  </si>
  <si>
    <t>Sistema automático funcionando</t>
  </si>
  <si>
    <t>S-8-003</t>
  </si>
  <si>
    <t>15/05/2025</t>
  </si>
  <si>
    <t>Seguimiento plan mejoramiento ERP</t>
  </si>
  <si>
    <t>TI, Contabilidad, Operaciones</t>
  </si>
  <si>
    <t>Dir. TI, PMO</t>
  </si>
  <si>
    <t>Proyecto con retraso, nuevo plazo acordado</t>
  </si>
  <si>
    <t>Con observaciones</t>
  </si>
  <si>
    <t>S-8-004</t>
  </si>
  <si>
    <t>20/07/2025</t>
  </si>
  <si>
    <t>Verificar actualización políticas contables</t>
  </si>
  <si>
    <t>Dir. Contable, Contador</t>
  </si>
  <si>
    <t>Manual actualizado y socializado</t>
  </si>
  <si>
    <t>S-8-005</t>
  </si>
  <si>
    <t>Mantener actualizado el archivo permanente con los cambios significativos en la organización, operaciones, estructura, y documentos legales de la entidad.</t>
  </si>
  <si>
    <t>Sección AP</t>
  </si>
  <si>
    <t>Documento/Información</t>
  </si>
  <si>
    <t>Tipo Cambio</t>
  </si>
  <si>
    <t>Fecha Cambio</t>
  </si>
  <si>
    <t>Actualizado Por</t>
  </si>
  <si>
    <t>AP-01</t>
  </si>
  <si>
    <t>Información general - Cambio de domicilio fiscal</t>
  </si>
  <si>
    <t>Modificación</t>
  </si>
  <si>
    <t>AP-01 actualizado</t>
  </si>
  <si>
    <t>AP-02</t>
  </si>
  <si>
    <t>Organigrama - Nueva Dirección de TI</t>
  </si>
  <si>
    <t>Adición</t>
  </si>
  <si>
    <t>01/03/2025</t>
  </si>
  <si>
    <t>AP-02 v2.0</t>
  </si>
  <si>
    <t>AP-03</t>
  </si>
  <si>
    <t>Marco regulatorio - Nueva resolución tributaria</t>
  </si>
  <si>
    <t>20/04/2025</t>
  </si>
  <si>
    <t>AP-03 actualizado</t>
  </si>
  <si>
    <t>AP-04</t>
  </si>
  <si>
    <t>Políticas contables - Actualización NIIF 16</t>
  </si>
  <si>
    <t>AP-04 v3.0</t>
  </si>
  <si>
    <t>AP-05</t>
  </si>
  <si>
    <t>Sistemas - Implementación nuevo ERP</t>
  </si>
  <si>
    <t>AP-05 actualizado</t>
  </si>
  <si>
    <t>AP-06</t>
  </si>
  <si>
    <t>Contrato arrendamiento sede principal</t>
  </si>
  <si>
    <t>01/07/2025</t>
  </si>
  <si>
    <t>AP-06 contrato 2025-07</t>
  </si>
  <si>
    <t>AP-07</t>
  </si>
  <si>
    <t>Acta JD - Aprobación ampliación capital</t>
  </si>
  <si>
    <t>15/08/2025</t>
  </si>
  <si>
    <t>AP-07 acta 045-2025</t>
  </si>
  <si>
    <t>AP-11</t>
  </si>
  <si>
    <t>Certificado Cámara de Comercio actualizado</t>
  </si>
  <si>
    <t>Renovación</t>
  </si>
  <si>
    <t>30/09/2025</t>
  </si>
  <si>
    <t>AP-11 cert-2025</t>
  </si>
  <si>
    <t>Planificar y preparar el siguiente ciclo de auditoría, identificando:
• Asuntos pendientes a trasladar al siguiente período
• Áreas que requieren mayor enfoque
• Cambios en el enfoque de auditoría
• Recursos y cronograma para el próximo período</t>
  </si>
  <si>
    <t>CHECKLIST DE CIERRE DEL PERÍODO:</t>
  </si>
  <si>
    <t>Actividad</t>
  </si>
  <si>
    <t>Revisión de cumplimiento de todas las recomendaciones</t>
  </si>
  <si>
    <t>Completado</t>
  </si>
  <si>
    <t>Todas verificadas según S-1</t>
  </si>
  <si>
    <t>Informe final de seguimiento del período elaborado</t>
  </si>
  <si>
    <t>Informe entregado a JD</t>
  </si>
  <si>
    <t>Actualización completa del archivo permanente</t>
  </si>
  <si>
    <t>Según registro S-9</t>
  </si>
  <si>
    <t>Archivo y custodia de papeles de trabajo</t>
  </si>
  <si>
    <t>Asistente</t>
  </si>
  <si>
    <t>Archivado digitalmente</t>
  </si>
  <si>
    <t>Identificación de áreas críticas para próximo período</t>
  </si>
  <si>
    <t>En proceso</t>
  </si>
  <si>
    <t>Análisis preliminar realizado</t>
  </si>
  <si>
    <t>Evaluación de cambios normativos aplicables</t>
  </si>
  <si>
    <t>Programado para nov-2025</t>
  </si>
  <si>
    <t>Actualización de matriz de riesgos para siguiente período</t>
  </si>
  <si>
    <t>Basado en S-5</t>
  </si>
  <si>
    <t>Propuesta de programa de auditoría siguiente período</t>
  </si>
  <si>
    <t>Entrega: 15/11/2025</t>
  </si>
  <si>
    <t>Cronograma de visitas año siguiente</t>
  </si>
  <si>
    <t>Coordinación con cliente</t>
  </si>
  <si>
    <t>Evaluación de necesidades de capacitación del equipo</t>
  </si>
  <si>
    <t>Identificar temas NIIF</t>
  </si>
  <si>
    <t>ASUNTOS A TRASLADAR AL SIGUIENTE PERÍODO:</t>
  </si>
  <si>
    <t>• Seguimiento a implementación completa del nuevo ERP (en desarrollo)</t>
  </si>
  <si>
    <t>• Verificación final de formato de diferencias de inventario (pendiente aprobación)</t>
  </si>
  <si>
    <t>• Evaluación de efectividad de matriz de autorizaciones implementada en Q3</t>
  </si>
  <si>
    <t>• Revisión de nuevos controles implementados en proceso de compras</t>
  </si>
  <si>
    <t>• Seguimiento a capacitación NIIF del personal contable</t>
  </si>
  <si>
    <t>ÁREAS DE ENFOQUE PARA PRÓXIMO PERÍODO:</t>
  </si>
  <si>
    <t>• Auditoría de implementación y estabilización del nuevo sistema ERP</t>
  </si>
  <si>
    <t>• Evaluación de controles de ciberseguridad y protección de datos</t>
  </si>
  <si>
    <t>• Revisión de cumplimiento normativo tributario (nuevas resoluciones 2025)</t>
  </si>
  <si>
    <t>• Auditoría de gestión de riesgos operacionales</t>
  </si>
  <si>
    <t>• Evaluación de controles sobre información financiera</t>
  </si>
  <si>
    <t xml:space="preserve">Auditor </t>
  </si>
  <si>
    <t>Fecha Elaboración</t>
  </si>
  <si>
    <t xml:space="preserve">Supervisor </t>
  </si>
  <si>
    <t xml:space="preserve">Fecha Aprobación </t>
  </si>
  <si>
    <t xml:space="preserve">                                           Seguimiento y Monitoreo</t>
  </si>
  <si>
    <t>Evidencia Parcial</t>
  </si>
  <si>
    <t xml:space="preserve">                                                                                                                     Revisoría Fiscal</t>
  </si>
  <si>
    <t>Revisoría Fiscal</t>
  </si>
  <si>
    <t>Preparado por: Firma</t>
  </si>
  <si>
    <t xml:space="preserve">Revisado por: </t>
  </si>
  <si>
    <t xml:space="preserve">Nombre </t>
  </si>
  <si>
    <t xml:space="preserve">                                         Informe trimestral de seguimiento</t>
  </si>
  <si>
    <t xml:space="preserve"> Revisoría Fiscal</t>
  </si>
  <si>
    <t xml:space="preserve">                                                                    Evaluación de planes de mejoramiento</t>
  </si>
  <si>
    <t xml:space="preserve">                                                                                   Actualización de matriz de riesgos</t>
  </si>
  <si>
    <t xml:space="preserve">                                                                                 Actas de comité de auditoría</t>
  </si>
  <si>
    <t xml:space="preserve">                                       Comunicaciones con la administración</t>
  </si>
  <si>
    <t xml:space="preserve">                                            Preparación para siguiente período</t>
  </si>
  <si>
    <t xml:space="preserve">                                                                                                                        Entidad XXXXXXX</t>
  </si>
  <si>
    <t>Entidad XXXXXXX</t>
  </si>
  <si>
    <t xml:space="preserve">                                                                                                                   Del 01 de Enero al 31 de Diciembre de 2024</t>
  </si>
  <si>
    <t>Del 01 de Enero al 31 de Diciembre de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</si>
</sst>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6"/>
      <color rgb="FF1F4E78"/>
      <name val="Arial"/>
      <family val="2"/>
    </font>
    <font>
      <b/>
      <sz val="11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3"/>
      <name val="Arial"/>
      <family val="2"/>
    </font>
    <font>
      <b/>
      <sz val="13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u/>
      <sz val="11"/>
      <color rgb="FF0563C1"/>
      <name val="Arial"/>
      <family val="2"/>
    </font>
    <font>
      <b/>
      <sz val="15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C00000"/>
      <name val="Calibri"/>
      <family val="2"/>
      <scheme val="minor"/>
    </font>
    <font>
      <sz val="15"/>
      <color rgb="FFC00000"/>
      <name val="Calibri"/>
      <family val="2"/>
      <scheme val="minor"/>
    </font>
    <font>
      <sz val="10"/>
      <name val="Calibri"/>
      <family val="2"/>
    </font>
    <font>
      <sz val="9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  <fill>
      <patternFill patternType="solid">
        <fgColor rgb="FFFFF2CC"/>
        <bgColor rgb="FFFFF2CC"/>
      </patternFill>
    </fill>
    <fill>
      <patternFill patternType="solid">
        <fgColor rgb="FFC6E0B4"/>
        <bgColor rgb="FFC6E0B4"/>
      </patternFill>
    </fill>
    <fill>
      <patternFill patternType="solid">
        <fgColor rgb="FFF4B084"/>
        <bgColor rgb="FFF4B08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/>
    <xf numFmtId="0" fontId="0" fillId="3" borderId="1" xfId="0" applyFill="1" applyBorder="1"/>
    <xf numFmtId="0" fontId="0" fillId="0" borderId="1" xfId="0" applyBorder="1"/>
    <xf numFmtId="0" fontId="3" fillId="0" borderId="0" xfId="0" applyFont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9" fillId="0" borderId="0" xfId="0" applyFon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4" borderId="0" xfId="0" applyFill="1" applyAlignment="1">
      <alignment horizontal="left" vertical="top" wrapText="1"/>
    </xf>
    <xf numFmtId="0" fontId="11" fillId="0" borderId="1" xfId="0" applyFont="1" applyBorder="1"/>
    <xf numFmtId="0" fontId="12" fillId="3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0" borderId="0" xfId="0" applyFont="1"/>
    <xf numFmtId="0" fontId="15" fillId="0" borderId="0" xfId="0" applyFont="1"/>
    <xf numFmtId="0" fontId="0" fillId="0" borderId="2" xfId="0" applyBorder="1"/>
    <xf numFmtId="0" fontId="14" fillId="0" borderId="2" xfId="0" applyFont="1" applyBorder="1"/>
    <xf numFmtId="0" fontId="14" fillId="0" borderId="0" xfId="0" applyFont="1" applyAlignment="1">
      <alignment horizontal="right"/>
    </xf>
    <xf numFmtId="0" fontId="15" fillId="0" borderId="0" xfId="0" applyFont="1" applyAlignment="1">
      <alignment horizontal="right"/>
    </xf>
    <xf numFmtId="0" fontId="0" fillId="0" borderId="1" xfId="0" applyBorder="1" applyAlignment="1">
      <alignment horizontal="left" vertical="center" wrapText="1"/>
    </xf>
    <xf numFmtId="0" fontId="1" fillId="0" borderId="0" xfId="0" applyFont="1"/>
    <xf numFmtId="0" fontId="0" fillId="0" borderId="0" xfId="0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10" fillId="0" borderId="0" xfId="0" applyFont="1" applyAlignment="1">
      <alignment horizontal="center"/>
    </xf>
    <xf numFmtId="0" fontId="0" fillId="0" borderId="0" xfId="0" applyAlignment="1">
      <alignment horizontal="left" vertical="top" wrapText="1"/>
    </xf>
    <xf numFmtId="0" fontId="3" fillId="3" borderId="0" xfId="0" applyFont="1" applyFill="1"/>
    <xf numFmtId="0" fontId="3" fillId="3" borderId="0" xfId="0" applyFont="1" applyFill="1" applyAlignment="1">
      <alignment horizontal="left" vertical="top" wrapText="1"/>
    </xf>
    <xf numFmtId="0" fontId="7" fillId="0" borderId="0" xfId="0" applyFont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D20" sqref="D20"/>
    </sheetView>
  </sheetViews>
  <sheetFormatPr baseColWidth="10" defaultColWidth="9.109375" defaultRowHeight="15.05" x14ac:dyDescent="0.3"/>
  <cols>
    <col min="1" max="1" width="20" customWidth="1"/>
    <col min="2" max="2" width="15" customWidth="1"/>
    <col min="3" max="3" width="50" customWidth="1"/>
    <col min="4" max="4" width="20" customWidth="1"/>
  </cols>
  <sheetData>
    <row r="1" spans="1:4" ht="20.3" x14ac:dyDescent="0.35">
      <c r="A1" s="29" t="s">
        <v>0</v>
      </c>
      <c r="B1" s="30"/>
      <c r="C1" s="30"/>
      <c r="D1" s="30"/>
    </row>
    <row r="2" spans="1:4" x14ac:dyDescent="0.3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3">
      <c r="A3" s="2" t="s">
        <v>5</v>
      </c>
      <c r="B3" s="19" t="s">
        <v>6</v>
      </c>
      <c r="C3" s="3" t="s">
        <v>7</v>
      </c>
      <c r="D3" s="18" t="str">
        <f>HYPERLINK("#'S'!A1","IR A HOJA &gt;&gt;")</f>
        <v>IR A HOJA &gt;&gt;</v>
      </c>
    </row>
    <row r="4" spans="1:4" x14ac:dyDescent="0.3">
      <c r="A4" s="4"/>
      <c r="B4" s="20" t="s">
        <v>8</v>
      </c>
      <c r="C4" s="4" t="s">
        <v>9</v>
      </c>
      <c r="D4" s="18" t="str">
        <f>HYPERLINK("#'S-1'!A1","IR A HOJA &gt;&gt;")</f>
        <v>IR A HOJA &gt;&gt;</v>
      </c>
    </row>
    <row r="5" spans="1:4" x14ac:dyDescent="0.3">
      <c r="A5" s="4"/>
      <c r="B5" s="20" t="s">
        <v>10</v>
      </c>
      <c r="C5" s="4" t="s">
        <v>11</v>
      </c>
      <c r="D5" s="18" t="str">
        <f>HYPERLINK("#'S-2'!A1","IR A HOJA &gt;&gt;")</f>
        <v>IR A HOJA &gt;&gt;</v>
      </c>
    </row>
    <row r="6" spans="1:4" x14ac:dyDescent="0.3">
      <c r="A6" s="4"/>
      <c r="B6" s="20" t="s">
        <v>12</v>
      </c>
      <c r="C6" s="4" t="s">
        <v>13</v>
      </c>
      <c r="D6" s="18" t="str">
        <f>HYPERLINK("#'S-3'!A1","IR A HOJA &gt;&gt;")</f>
        <v>IR A HOJA &gt;&gt;</v>
      </c>
    </row>
    <row r="7" spans="1:4" x14ac:dyDescent="0.3">
      <c r="A7" s="4"/>
      <c r="B7" s="20" t="s">
        <v>14</v>
      </c>
      <c r="C7" s="4" t="s">
        <v>15</v>
      </c>
      <c r="D7" s="18" t="str">
        <f>HYPERLINK("#'S-4'!A1","IR A HOJA &gt;&gt;")</f>
        <v>IR A HOJA &gt;&gt;</v>
      </c>
    </row>
    <row r="8" spans="1:4" x14ac:dyDescent="0.3">
      <c r="A8" s="4"/>
      <c r="B8" s="20" t="s">
        <v>16</v>
      </c>
      <c r="C8" s="4" t="s">
        <v>17</v>
      </c>
      <c r="D8" s="18" t="str">
        <f>HYPERLINK("#'S-5'!A1","IR A HOJA &gt;&gt;")</f>
        <v>IR A HOJA &gt;&gt;</v>
      </c>
    </row>
    <row r="9" spans="1:4" x14ac:dyDescent="0.3">
      <c r="A9" s="4"/>
      <c r="B9" s="20" t="s">
        <v>18</v>
      </c>
      <c r="C9" s="4" t="s">
        <v>19</v>
      </c>
      <c r="D9" s="18" t="str">
        <f>HYPERLINK("#'S-6'!A1","IR A HOJA &gt;&gt;")</f>
        <v>IR A HOJA &gt;&gt;</v>
      </c>
    </row>
    <row r="10" spans="1:4" x14ac:dyDescent="0.3">
      <c r="A10" s="4"/>
      <c r="B10" s="20" t="s">
        <v>20</v>
      </c>
      <c r="C10" s="4" t="s">
        <v>21</v>
      </c>
      <c r="D10" s="18" t="str">
        <f>HYPERLINK("#'S-7'!A1","IR A HOJA &gt;&gt;")</f>
        <v>IR A HOJA &gt;&gt;</v>
      </c>
    </row>
    <row r="11" spans="1:4" x14ac:dyDescent="0.3">
      <c r="A11" s="4"/>
      <c r="B11" s="20" t="s">
        <v>22</v>
      </c>
      <c r="C11" s="4" t="s">
        <v>23</v>
      </c>
      <c r="D11" s="18" t="str">
        <f>HYPERLINK("#'S-8'!A1","IR A HOJA &gt;&gt;")</f>
        <v>IR A HOJA &gt;&gt;</v>
      </c>
    </row>
    <row r="12" spans="1:4" x14ac:dyDescent="0.3">
      <c r="A12" s="4"/>
      <c r="B12" s="20" t="s">
        <v>24</v>
      </c>
      <c r="C12" s="4" t="s">
        <v>25</v>
      </c>
      <c r="D12" s="18" t="str">
        <f>HYPERLINK("#'S-9'!A1","IR A HOJA &gt;&gt;")</f>
        <v>IR A HOJA &gt;&gt;</v>
      </c>
    </row>
    <row r="13" spans="1:4" x14ac:dyDescent="0.3">
      <c r="A13" s="4"/>
      <c r="B13" s="20" t="s">
        <v>26</v>
      </c>
      <c r="C13" s="4" t="s">
        <v>27</v>
      </c>
      <c r="D13" s="18" t="str">
        <f>HYPERLINK("#'S-10'!A1","IR A HOJA &gt;&gt;")</f>
        <v>IR A HOJA &gt;&gt;</v>
      </c>
    </row>
  </sheetData>
  <mergeCells count="1">
    <mergeCell ref="A1:D1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G66"/>
  <sheetViews>
    <sheetView workbookViewId="0">
      <selection activeCell="B7" sqref="B7"/>
    </sheetView>
  </sheetViews>
  <sheetFormatPr baseColWidth="10" defaultColWidth="9.109375" defaultRowHeight="15.05" x14ac:dyDescent="0.3"/>
  <cols>
    <col min="1" max="1" width="17.33203125" customWidth="1"/>
    <col min="2" max="3" width="45" customWidth="1"/>
    <col min="4" max="4" width="13.109375" customWidth="1"/>
    <col min="5" max="5" width="15" customWidth="1"/>
    <col min="6" max="6" width="17.33203125" customWidth="1"/>
    <col min="7" max="7" width="11.88671875" customWidth="1"/>
  </cols>
  <sheetData>
    <row r="3" spans="1:7" x14ac:dyDescent="0.3">
      <c r="B3" s="12"/>
    </row>
    <row r="4" spans="1:7" ht="25.55" customHeight="1" x14ac:dyDescent="0.3">
      <c r="G4" s="21" t="s">
        <v>6</v>
      </c>
    </row>
    <row r="5" spans="1:7" x14ac:dyDescent="0.3">
      <c r="B5" s="13" t="s">
        <v>394</v>
      </c>
    </row>
    <row r="6" spans="1:7" x14ac:dyDescent="0.3">
      <c r="B6" s="13" t="s">
        <v>382</v>
      </c>
      <c r="F6" s="4" t="s">
        <v>376</v>
      </c>
      <c r="G6" s="4"/>
    </row>
    <row r="7" spans="1:7" x14ac:dyDescent="0.3">
      <c r="B7" s="13" t="s">
        <v>396</v>
      </c>
      <c r="F7" s="4" t="s">
        <v>377</v>
      </c>
      <c r="G7" s="4"/>
    </row>
    <row r="8" spans="1:7" x14ac:dyDescent="0.3">
      <c r="F8" s="4" t="s">
        <v>378</v>
      </c>
      <c r="G8" s="4"/>
    </row>
    <row r="9" spans="1:7" x14ac:dyDescent="0.3">
      <c r="F9" s="4" t="s">
        <v>379</v>
      </c>
      <c r="G9" s="4"/>
    </row>
    <row r="10" spans="1:7" ht="17.05" x14ac:dyDescent="0.3">
      <c r="A10" s="5"/>
      <c r="B10" s="32" t="s">
        <v>380</v>
      </c>
      <c r="C10" s="33"/>
      <c r="D10" s="33"/>
      <c r="E10" s="33"/>
    </row>
    <row r="12" spans="1:7" x14ac:dyDescent="0.3">
      <c r="A12" s="5" t="s">
        <v>28</v>
      </c>
    </row>
    <row r="13" spans="1:7" x14ac:dyDescent="0.3">
      <c r="A13" s="31" t="s">
        <v>29</v>
      </c>
      <c r="B13" s="30"/>
      <c r="C13" s="30"/>
      <c r="D13" s="30"/>
      <c r="E13" s="30"/>
    </row>
    <row r="14" spans="1:7" x14ac:dyDescent="0.3">
      <c r="A14" s="30"/>
      <c r="B14" s="30"/>
      <c r="C14" s="30"/>
      <c r="D14" s="30"/>
      <c r="E14" s="30"/>
    </row>
    <row r="15" spans="1:7" x14ac:dyDescent="0.3">
      <c r="A15" s="30"/>
      <c r="B15" s="30"/>
      <c r="C15" s="30"/>
      <c r="D15" s="30"/>
      <c r="E15" s="30"/>
    </row>
    <row r="16" spans="1:7" x14ac:dyDescent="0.3">
      <c r="A16" s="30"/>
      <c r="B16" s="30"/>
      <c r="C16" s="30"/>
      <c r="D16" s="30"/>
      <c r="E16" s="30"/>
    </row>
    <row r="17" spans="1:5" x14ac:dyDescent="0.3">
      <c r="A17" s="30"/>
      <c r="B17" s="30"/>
      <c r="C17" s="30"/>
      <c r="D17" s="30"/>
      <c r="E17" s="30"/>
    </row>
    <row r="18" spans="1:5" x14ac:dyDescent="0.3">
      <c r="A18" s="30"/>
      <c r="B18" s="30"/>
      <c r="C18" s="30"/>
      <c r="D18" s="30"/>
      <c r="E18" s="30"/>
    </row>
    <row r="19" spans="1:5" x14ac:dyDescent="0.3">
      <c r="A19" s="30"/>
      <c r="B19" s="30"/>
      <c r="C19" s="30"/>
      <c r="D19" s="30"/>
      <c r="E19" s="30"/>
    </row>
    <row r="20" spans="1:5" x14ac:dyDescent="0.3">
      <c r="A20" s="5" t="s">
        <v>30</v>
      </c>
    </row>
    <row r="21" spans="1:5" ht="22.6" customHeight="1" x14ac:dyDescent="0.3">
      <c r="A21" s="1" t="s">
        <v>31</v>
      </c>
      <c r="B21" s="1" t="s">
        <v>32</v>
      </c>
      <c r="C21" s="1" t="s">
        <v>33</v>
      </c>
      <c r="D21" s="1" t="s">
        <v>34</v>
      </c>
      <c r="E21" s="1" t="s">
        <v>35</v>
      </c>
    </row>
    <row r="22" spans="1:5" x14ac:dyDescent="0.3">
      <c r="A22" s="4"/>
      <c r="B22" s="4"/>
      <c r="C22" s="4"/>
      <c r="D22" s="4"/>
      <c r="E22" s="4"/>
    </row>
    <row r="23" spans="1:5" x14ac:dyDescent="0.3">
      <c r="A23" s="4"/>
      <c r="B23" s="4"/>
      <c r="C23" s="4"/>
      <c r="D23" s="4"/>
      <c r="E23" s="4"/>
    </row>
    <row r="24" spans="1:5" x14ac:dyDescent="0.3">
      <c r="A24" s="4"/>
      <c r="B24" s="4"/>
      <c r="C24" s="4"/>
      <c r="D24" s="4"/>
      <c r="E24" s="4"/>
    </row>
    <row r="25" spans="1:5" x14ac:dyDescent="0.3">
      <c r="A25" s="4"/>
      <c r="B25" s="4"/>
      <c r="C25" s="4"/>
      <c r="D25" s="4"/>
      <c r="E25" s="4"/>
    </row>
    <row r="26" spans="1:5" x14ac:dyDescent="0.3">
      <c r="A26" s="4"/>
      <c r="B26" s="4"/>
      <c r="C26" s="4"/>
      <c r="D26" s="4"/>
      <c r="E26" s="4"/>
    </row>
    <row r="27" spans="1:5" x14ac:dyDescent="0.3">
      <c r="A27" s="4"/>
      <c r="B27" s="4"/>
      <c r="C27" s="4"/>
      <c r="D27" s="4"/>
      <c r="E27" s="4"/>
    </row>
    <row r="28" spans="1:5" x14ac:dyDescent="0.3">
      <c r="A28" s="4"/>
      <c r="B28" s="4"/>
      <c r="C28" s="4"/>
      <c r="D28" s="4"/>
      <c r="E28" s="4"/>
    </row>
    <row r="29" spans="1:5" x14ac:dyDescent="0.3">
      <c r="A29" s="4"/>
      <c r="B29" s="4"/>
      <c r="C29" s="4"/>
      <c r="D29" s="4"/>
      <c r="E29" s="4"/>
    </row>
    <row r="30" spans="1:5" x14ac:dyDescent="0.3">
      <c r="A30" s="4"/>
      <c r="B30" s="4"/>
      <c r="C30" s="4"/>
      <c r="D30" s="4"/>
      <c r="E30" s="4"/>
    </row>
    <row r="31" spans="1:5" x14ac:dyDescent="0.3">
      <c r="A31" s="4"/>
      <c r="B31" s="4"/>
      <c r="C31" s="4"/>
      <c r="D31" s="4"/>
      <c r="E31" s="4"/>
    </row>
    <row r="32" spans="1:5" x14ac:dyDescent="0.3">
      <c r="A32" s="4"/>
      <c r="B32" s="4"/>
      <c r="C32" s="4"/>
      <c r="D32" s="4"/>
      <c r="E32" s="4"/>
    </row>
    <row r="33" spans="1:5" x14ac:dyDescent="0.3">
      <c r="A33" s="4"/>
      <c r="B33" s="4"/>
      <c r="C33" s="4"/>
      <c r="D33" s="4"/>
      <c r="E33" s="4"/>
    </row>
    <row r="34" spans="1:5" x14ac:dyDescent="0.3">
      <c r="A34" s="4"/>
      <c r="B34" s="4"/>
      <c r="C34" s="4"/>
      <c r="D34" s="4"/>
      <c r="E34" s="4"/>
    </row>
    <row r="35" spans="1:5" x14ac:dyDescent="0.3">
      <c r="A35" s="4"/>
      <c r="B35" s="4"/>
      <c r="C35" s="4"/>
      <c r="D35" s="4"/>
      <c r="E35" s="4"/>
    </row>
    <row r="36" spans="1:5" x14ac:dyDescent="0.3">
      <c r="A36" s="4"/>
      <c r="B36" s="4"/>
      <c r="C36" s="4"/>
      <c r="D36" s="4"/>
      <c r="E36" s="4"/>
    </row>
    <row r="37" spans="1:5" x14ac:dyDescent="0.3">
      <c r="A37" s="4"/>
      <c r="B37" s="4"/>
      <c r="C37" s="4"/>
      <c r="D37" s="4"/>
      <c r="E37" s="4"/>
    </row>
    <row r="38" spans="1:5" x14ac:dyDescent="0.3">
      <c r="A38" s="4"/>
      <c r="B38" s="4"/>
      <c r="C38" s="4"/>
      <c r="D38" s="4"/>
      <c r="E38" s="4"/>
    </row>
    <row r="39" spans="1:5" x14ac:dyDescent="0.3">
      <c r="A39" s="4"/>
      <c r="B39" s="4"/>
      <c r="C39" s="4"/>
      <c r="D39" s="4"/>
      <c r="E39" s="4"/>
    </row>
    <row r="40" spans="1:5" x14ac:dyDescent="0.3">
      <c r="A40" s="4"/>
      <c r="B40" s="4"/>
      <c r="C40" s="4"/>
      <c r="D40" s="4"/>
      <c r="E40" s="4"/>
    </row>
    <row r="41" spans="1:5" x14ac:dyDescent="0.3">
      <c r="A41" s="4"/>
      <c r="B41" s="4"/>
      <c r="C41" s="4"/>
      <c r="D41" s="4"/>
      <c r="E41" s="4"/>
    </row>
    <row r="42" spans="1:5" x14ac:dyDescent="0.3">
      <c r="A42" s="4"/>
      <c r="B42" s="4"/>
      <c r="C42" s="4"/>
      <c r="D42" s="4"/>
      <c r="E42" s="4"/>
    </row>
    <row r="43" spans="1:5" x14ac:dyDescent="0.3">
      <c r="A43" s="4"/>
      <c r="B43" s="4"/>
      <c r="C43" s="4"/>
      <c r="D43" s="4"/>
      <c r="E43" s="4"/>
    </row>
    <row r="49" spans="1:6" x14ac:dyDescent="0.3">
      <c r="A49" s="22" t="s">
        <v>384</v>
      </c>
      <c r="B49" s="24"/>
      <c r="C49" s="25" t="s">
        <v>385</v>
      </c>
      <c r="D49" s="24"/>
      <c r="F49" s="22"/>
    </row>
    <row r="50" spans="1:6" x14ac:dyDescent="0.3">
      <c r="A50" s="23" t="s">
        <v>386</v>
      </c>
      <c r="C50" s="23" t="s">
        <v>386</v>
      </c>
    </row>
    <row r="66" spans="1:1" x14ac:dyDescent="0.3">
      <c r="A66" s="14" t="str">
        <f>HYPERLINK("#'INDICE'!A4","&lt;&lt; Volver al Indice")</f>
        <v>&lt;&lt; Volver al Indice</v>
      </c>
    </row>
  </sheetData>
  <mergeCells count="2">
    <mergeCell ref="A13:E19"/>
    <mergeCell ref="B10:E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L51"/>
  <sheetViews>
    <sheetView workbookViewId="0">
      <selection activeCell="E8" sqref="E8"/>
    </sheetView>
  </sheetViews>
  <sheetFormatPr baseColWidth="10" defaultColWidth="9.109375" defaultRowHeight="15.05" x14ac:dyDescent="0.3"/>
  <cols>
    <col min="1" max="1" width="13.6640625" customWidth="1"/>
    <col min="2" max="2" width="17.109375" customWidth="1"/>
    <col min="3" max="4" width="30" customWidth="1"/>
    <col min="5" max="5" width="18" customWidth="1"/>
    <col min="6" max="7" width="15" customWidth="1"/>
    <col min="8" max="8" width="10" customWidth="1"/>
    <col min="9" max="9" width="25" customWidth="1"/>
    <col min="10" max="10" width="15" customWidth="1"/>
    <col min="11" max="11" width="16.88671875" customWidth="1"/>
    <col min="12" max="12" width="12" customWidth="1"/>
  </cols>
  <sheetData>
    <row r="4" spans="1:12" x14ac:dyDescent="0.3">
      <c r="E4" s="12"/>
    </row>
    <row r="5" spans="1:12" ht="25.55" customHeight="1" x14ac:dyDescent="0.3">
      <c r="L5" s="21" t="s">
        <v>8</v>
      </c>
    </row>
    <row r="6" spans="1:12" x14ac:dyDescent="0.3">
      <c r="E6" s="13" t="s">
        <v>395</v>
      </c>
    </row>
    <row r="7" spans="1:12" x14ac:dyDescent="0.3">
      <c r="E7" s="13" t="s">
        <v>383</v>
      </c>
      <c r="K7" s="4" t="s">
        <v>376</v>
      </c>
      <c r="L7" s="4"/>
    </row>
    <row r="8" spans="1:12" x14ac:dyDescent="0.3">
      <c r="E8" s="13" t="s">
        <v>397</v>
      </c>
      <c r="K8" s="4" t="s">
        <v>377</v>
      </c>
      <c r="L8" s="4"/>
    </row>
    <row r="9" spans="1:12" x14ac:dyDescent="0.3">
      <c r="K9" s="4" t="s">
        <v>378</v>
      </c>
      <c r="L9" s="4"/>
    </row>
    <row r="10" spans="1:12" x14ac:dyDescent="0.3">
      <c r="K10" s="4" t="s">
        <v>379</v>
      </c>
      <c r="L10" s="4"/>
    </row>
    <row r="11" spans="1:12" ht="19.649999999999999" x14ac:dyDescent="0.35">
      <c r="A11" s="5"/>
      <c r="B11" s="34" t="s">
        <v>9</v>
      </c>
      <c r="C11" s="34"/>
      <c r="D11" s="34"/>
      <c r="E11" s="34"/>
      <c r="F11" s="34"/>
      <c r="G11" s="34"/>
      <c r="H11" s="34"/>
      <c r="I11" s="34"/>
      <c r="J11" s="34"/>
    </row>
    <row r="13" spans="1:12" x14ac:dyDescent="0.3">
      <c r="A13" s="5" t="s">
        <v>28</v>
      </c>
    </row>
    <row r="14" spans="1:12" x14ac:dyDescent="0.3">
      <c r="A14" s="35" t="s">
        <v>36</v>
      </c>
      <c r="B14" s="30"/>
      <c r="C14" s="30"/>
      <c r="D14" s="30"/>
      <c r="E14" s="30"/>
      <c r="F14" s="30"/>
      <c r="G14" s="30"/>
      <c r="H14" s="30"/>
      <c r="I14" s="30"/>
      <c r="J14" s="30"/>
    </row>
    <row r="15" spans="1:12" x14ac:dyDescent="0.3">
      <c r="A15" s="30"/>
      <c r="B15" s="30"/>
      <c r="C15" s="30"/>
      <c r="D15" s="30"/>
      <c r="E15" s="30"/>
      <c r="F15" s="30"/>
      <c r="G15" s="30"/>
      <c r="H15" s="30"/>
      <c r="I15" s="30"/>
      <c r="J15" s="30"/>
    </row>
    <row r="16" spans="1:12" ht="28.8" x14ac:dyDescent="0.3">
      <c r="A16" s="1" t="s">
        <v>31</v>
      </c>
      <c r="B16" s="1" t="s">
        <v>37</v>
      </c>
      <c r="C16" s="1" t="s">
        <v>38</v>
      </c>
      <c r="D16" s="1" t="s">
        <v>39</v>
      </c>
      <c r="E16" s="1" t="s">
        <v>40</v>
      </c>
      <c r="F16" s="1" t="s">
        <v>41</v>
      </c>
      <c r="G16" s="1" t="s">
        <v>42</v>
      </c>
      <c r="H16" s="1" t="s">
        <v>43</v>
      </c>
      <c r="I16" s="1" t="s">
        <v>44</v>
      </c>
      <c r="J16" s="1" t="s">
        <v>45</v>
      </c>
    </row>
    <row r="17" spans="1:10" ht="45.2" x14ac:dyDescent="0.3">
      <c r="A17" s="6">
        <v>1</v>
      </c>
      <c r="B17" s="7" t="s">
        <v>46</v>
      </c>
      <c r="C17" s="7" t="s">
        <v>47</v>
      </c>
      <c r="D17" s="7" t="s">
        <v>48</v>
      </c>
      <c r="E17" s="7" t="s">
        <v>49</v>
      </c>
      <c r="F17" s="6" t="s">
        <v>50</v>
      </c>
      <c r="G17" s="8" t="s">
        <v>352</v>
      </c>
      <c r="H17" s="6" t="s">
        <v>52</v>
      </c>
      <c r="I17" s="7" t="s">
        <v>53</v>
      </c>
      <c r="J17" s="6" t="s">
        <v>54</v>
      </c>
    </row>
    <row r="18" spans="1:10" ht="30.15" x14ac:dyDescent="0.3">
      <c r="A18" s="6">
        <v>2</v>
      </c>
      <c r="B18" s="7" t="s">
        <v>46</v>
      </c>
      <c r="C18" s="7" t="s">
        <v>55</v>
      </c>
      <c r="D18" s="7" t="s">
        <v>56</v>
      </c>
      <c r="E18" s="7" t="s">
        <v>57</v>
      </c>
      <c r="F18" s="6" t="s">
        <v>58</v>
      </c>
      <c r="G18" s="9" t="s">
        <v>59</v>
      </c>
      <c r="H18" s="6" t="s">
        <v>60</v>
      </c>
      <c r="I18" s="7" t="s">
        <v>61</v>
      </c>
      <c r="J18" s="6" t="s">
        <v>62</v>
      </c>
    </row>
    <row r="19" spans="1:10" ht="30.15" x14ac:dyDescent="0.3">
      <c r="A19" s="6">
        <v>3</v>
      </c>
      <c r="B19" s="7" t="s">
        <v>63</v>
      </c>
      <c r="C19" s="7" t="s">
        <v>64</v>
      </c>
      <c r="D19" s="7" t="s">
        <v>65</v>
      </c>
      <c r="E19" s="7" t="s">
        <v>66</v>
      </c>
      <c r="F19" s="6" t="s">
        <v>67</v>
      </c>
      <c r="G19" s="10" t="s">
        <v>68</v>
      </c>
      <c r="H19" s="6" t="s">
        <v>69</v>
      </c>
      <c r="I19" s="7" t="s">
        <v>70</v>
      </c>
      <c r="J19" s="6" t="s">
        <v>71</v>
      </c>
    </row>
    <row r="20" spans="1:10" ht="30.15" x14ac:dyDescent="0.3">
      <c r="A20" s="6">
        <v>4</v>
      </c>
      <c r="B20" s="7" t="s">
        <v>72</v>
      </c>
      <c r="C20" s="7" t="s">
        <v>73</v>
      </c>
      <c r="D20" s="7" t="s">
        <v>74</v>
      </c>
      <c r="E20" s="7" t="s">
        <v>75</v>
      </c>
      <c r="F20" s="6" t="s">
        <v>76</v>
      </c>
      <c r="G20" s="8" t="s">
        <v>51</v>
      </c>
      <c r="H20" s="6" t="s">
        <v>77</v>
      </c>
      <c r="I20" s="7" t="s">
        <v>78</v>
      </c>
      <c r="J20" s="6" t="s">
        <v>79</v>
      </c>
    </row>
    <row r="21" spans="1:10" ht="30.15" x14ac:dyDescent="0.3">
      <c r="A21" s="6">
        <v>5</v>
      </c>
      <c r="B21" s="7" t="s">
        <v>46</v>
      </c>
      <c r="C21" s="7" t="s">
        <v>80</v>
      </c>
      <c r="D21" s="7" t="s">
        <v>81</v>
      </c>
      <c r="E21" s="7" t="s">
        <v>82</v>
      </c>
      <c r="F21" s="6" t="s">
        <v>83</v>
      </c>
      <c r="G21" s="9" t="s">
        <v>59</v>
      </c>
      <c r="H21" s="6" t="s">
        <v>60</v>
      </c>
      <c r="I21" s="7" t="s">
        <v>84</v>
      </c>
      <c r="J21" s="6" t="s">
        <v>85</v>
      </c>
    </row>
    <row r="30" spans="1:10" x14ac:dyDescent="0.3">
      <c r="A30" s="22" t="s">
        <v>384</v>
      </c>
      <c r="B30" s="24"/>
      <c r="C30" s="24"/>
      <c r="E30" s="22"/>
      <c r="F30" s="22" t="s">
        <v>385</v>
      </c>
      <c r="G30" s="24"/>
      <c r="H30" s="24"/>
      <c r="I30" s="25"/>
    </row>
    <row r="31" spans="1:10" x14ac:dyDescent="0.3">
      <c r="A31" s="23" t="s">
        <v>386</v>
      </c>
      <c r="F31" s="23" t="s">
        <v>386</v>
      </c>
    </row>
    <row r="32" spans="1:10" x14ac:dyDescent="0.3">
      <c r="E32" s="23"/>
      <c r="I32" s="23"/>
    </row>
    <row r="33" spans="1:9" x14ac:dyDescent="0.3">
      <c r="A33" s="23"/>
      <c r="E33" s="23"/>
      <c r="I33" s="23"/>
    </row>
    <row r="35" spans="1:9" x14ac:dyDescent="0.3">
      <c r="C35" s="22"/>
    </row>
    <row r="51" spans="1:1" x14ac:dyDescent="0.3">
      <c r="A51" s="14" t="str">
        <f>HYPERLINK("#'INDICE'!A4","&lt;&lt; Volver al Indice")</f>
        <v>&lt;&lt; Volver al Indice</v>
      </c>
    </row>
  </sheetData>
  <mergeCells count="2">
    <mergeCell ref="B11:J11"/>
    <mergeCell ref="A14:J15"/>
  </mergeCells>
  <dataValidations count="1">
    <dataValidation type="list" allowBlank="1" showInputMessage="1" showErrorMessage="1" sqref="G17:G21" xr:uid="{00000000-0002-0000-0200-000000000000}">
      <formula1>"En proceso, implementado, Pendiente"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4:G73"/>
  <sheetViews>
    <sheetView topLeftCell="A4" workbookViewId="0">
      <selection activeCell="C6" sqref="C6"/>
    </sheetView>
  </sheetViews>
  <sheetFormatPr baseColWidth="10" defaultColWidth="9.109375" defaultRowHeight="15.05" x14ac:dyDescent="0.3"/>
  <cols>
    <col min="1" max="1" width="18.88671875" customWidth="1"/>
    <col min="2" max="3" width="45" customWidth="1"/>
    <col min="4" max="4" width="10" customWidth="1"/>
    <col min="5" max="5" width="15" customWidth="1"/>
    <col min="6" max="6" width="16.6640625" customWidth="1"/>
    <col min="7" max="7" width="11.44140625" customWidth="1"/>
  </cols>
  <sheetData>
    <row r="4" spans="1:7" x14ac:dyDescent="0.3">
      <c r="C4" s="12"/>
    </row>
    <row r="5" spans="1:7" ht="22.6" customHeight="1" x14ac:dyDescent="0.3">
      <c r="G5" s="21" t="s">
        <v>10</v>
      </c>
    </row>
    <row r="6" spans="1:7" x14ac:dyDescent="0.3">
      <c r="C6" s="13" t="s">
        <v>395</v>
      </c>
    </row>
    <row r="7" spans="1:7" x14ac:dyDescent="0.3">
      <c r="C7" s="13" t="s">
        <v>383</v>
      </c>
      <c r="F7" s="4" t="s">
        <v>376</v>
      </c>
      <c r="G7" s="4"/>
    </row>
    <row r="8" spans="1:7" x14ac:dyDescent="0.3">
      <c r="C8" s="13" t="s">
        <v>397</v>
      </c>
      <c r="F8" s="4" t="s">
        <v>377</v>
      </c>
      <c r="G8" s="4"/>
    </row>
    <row r="9" spans="1:7" x14ac:dyDescent="0.3">
      <c r="F9" s="4" t="s">
        <v>378</v>
      </c>
      <c r="G9" s="4"/>
    </row>
    <row r="10" spans="1:7" x14ac:dyDescent="0.3">
      <c r="F10" s="4" t="s">
        <v>379</v>
      </c>
      <c r="G10" s="4"/>
    </row>
    <row r="13" spans="1:7" ht="17.05" x14ac:dyDescent="0.3">
      <c r="A13" s="5"/>
      <c r="B13" s="38" t="s">
        <v>387</v>
      </c>
      <c r="C13" s="38"/>
      <c r="D13" s="38"/>
      <c r="E13" s="38"/>
    </row>
    <row r="15" spans="1:7" x14ac:dyDescent="0.3">
      <c r="A15" s="5" t="s">
        <v>28</v>
      </c>
    </row>
    <row r="16" spans="1:7" x14ac:dyDescent="0.3">
      <c r="A16" s="35" t="s">
        <v>86</v>
      </c>
      <c r="B16" s="30"/>
      <c r="C16" s="30"/>
      <c r="D16" s="30"/>
      <c r="E16" s="30"/>
    </row>
    <row r="17" spans="1:5" x14ac:dyDescent="0.3">
      <c r="A17" s="30"/>
      <c r="B17" s="30"/>
      <c r="C17" s="30"/>
      <c r="D17" s="30"/>
      <c r="E17" s="30"/>
    </row>
    <row r="18" spans="1:5" x14ac:dyDescent="0.3">
      <c r="A18" s="30"/>
      <c r="B18" s="30"/>
      <c r="C18" s="30"/>
      <c r="D18" s="30"/>
      <c r="E18" s="30"/>
    </row>
    <row r="20" spans="1:5" x14ac:dyDescent="0.3">
      <c r="A20" s="36" t="s">
        <v>87</v>
      </c>
      <c r="B20" s="30"/>
      <c r="C20" s="30"/>
      <c r="D20" s="30"/>
      <c r="E20" s="30"/>
    </row>
    <row r="22" spans="1:5" x14ac:dyDescent="0.3">
      <c r="A22" s="37" t="s">
        <v>88</v>
      </c>
      <c r="B22" s="30"/>
      <c r="C22" s="30"/>
      <c r="D22" s="30"/>
      <c r="E22" s="30"/>
    </row>
    <row r="23" spans="1:5" x14ac:dyDescent="0.3">
      <c r="A23" s="35" t="s">
        <v>89</v>
      </c>
      <c r="B23" s="30"/>
      <c r="C23" s="30"/>
      <c r="D23" s="30"/>
      <c r="E23" s="30"/>
    </row>
    <row r="24" spans="1:5" x14ac:dyDescent="0.3">
      <c r="A24" s="35" t="s">
        <v>90</v>
      </c>
      <c r="B24" s="30"/>
      <c r="C24" s="30"/>
      <c r="D24" s="30"/>
      <c r="E24" s="30"/>
    </row>
    <row r="25" spans="1:5" x14ac:dyDescent="0.3">
      <c r="A25" s="35" t="s">
        <v>91</v>
      </c>
      <c r="B25" s="30"/>
      <c r="C25" s="30"/>
      <c r="D25" s="30"/>
      <c r="E25" s="30"/>
    </row>
    <row r="26" spans="1:5" x14ac:dyDescent="0.3">
      <c r="A26" s="35" t="s">
        <v>92</v>
      </c>
      <c r="B26" s="30"/>
      <c r="C26" s="30"/>
      <c r="D26" s="30"/>
      <c r="E26" s="30"/>
    </row>
    <row r="27" spans="1:5" x14ac:dyDescent="0.3">
      <c r="A27" s="35"/>
      <c r="B27" s="30"/>
      <c r="C27" s="30"/>
      <c r="D27" s="30"/>
      <c r="E27" s="30"/>
    </row>
    <row r="28" spans="1:5" x14ac:dyDescent="0.3">
      <c r="A28" s="37" t="s">
        <v>93</v>
      </c>
      <c r="B28" s="30"/>
      <c r="C28" s="30"/>
      <c r="D28" s="30"/>
      <c r="E28" s="30"/>
    </row>
    <row r="29" spans="1:5" x14ac:dyDescent="0.3">
      <c r="A29" s="35" t="s">
        <v>94</v>
      </c>
      <c r="B29" s="30"/>
      <c r="C29" s="30"/>
      <c r="D29" s="30"/>
      <c r="E29" s="30"/>
    </row>
    <row r="30" spans="1:5" x14ac:dyDescent="0.3">
      <c r="A30" s="35" t="s">
        <v>95</v>
      </c>
      <c r="B30" s="30"/>
      <c r="C30" s="30"/>
      <c r="D30" s="30"/>
      <c r="E30" s="30"/>
    </row>
    <row r="31" spans="1:5" x14ac:dyDescent="0.3">
      <c r="A31" s="35" t="s">
        <v>96</v>
      </c>
      <c r="B31" s="30"/>
      <c r="C31" s="30"/>
      <c r="D31" s="30"/>
      <c r="E31" s="30"/>
    </row>
    <row r="32" spans="1:5" x14ac:dyDescent="0.3">
      <c r="A32" s="35"/>
      <c r="B32" s="30"/>
      <c r="C32" s="30"/>
      <c r="D32" s="30"/>
      <c r="E32" s="30"/>
    </row>
    <row r="33" spans="1:5" x14ac:dyDescent="0.3">
      <c r="A33" s="35" t="s">
        <v>97</v>
      </c>
      <c r="B33" s="30"/>
      <c r="C33" s="30"/>
      <c r="D33" s="30"/>
      <c r="E33" s="30"/>
    </row>
    <row r="34" spans="1:5" x14ac:dyDescent="0.3">
      <c r="A34" s="35" t="s">
        <v>95</v>
      </c>
      <c r="B34" s="30"/>
      <c r="C34" s="30"/>
      <c r="D34" s="30"/>
      <c r="E34" s="30"/>
    </row>
    <row r="35" spans="1:5" x14ac:dyDescent="0.3">
      <c r="A35" s="35" t="s">
        <v>96</v>
      </c>
      <c r="B35" s="30"/>
      <c r="C35" s="30"/>
      <c r="D35" s="30"/>
      <c r="E35" s="30"/>
    </row>
    <row r="36" spans="1:5" x14ac:dyDescent="0.3">
      <c r="A36" s="35"/>
      <c r="B36" s="30"/>
      <c r="C36" s="30"/>
      <c r="D36" s="30"/>
      <c r="E36" s="30"/>
    </row>
    <row r="37" spans="1:5" x14ac:dyDescent="0.3">
      <c r="A37" s="35" t="s">
        <v>98</v>
      </c>
      <c r="B37" s="30"/>
      <c r="C37" s="30"/>
      <c r="D37" s="30"/>
      <c r="E37" s="30"/>
    </row>
    <row r="38" spans="1:5" x14ac:dyDescent="0.3">
      <c r="A38" s="35" t="s">
        <v>95</v>
      </c>
      <c r="B38" s="30"/>
      <c r="C38" s="30"/>
      <c r="D38" s="30"/>
      <c r="E38" s="30"/>
    </row>
    <row r="39" spans="1:5" x14ac:dyDescent="0.3">
      <c r="A39" s="35" t="s">
        <v>96</v>
      </c>
      <c r="B39" s="30"/>
      <c r="C39" s="30"/>
      <c r="D39" s="30"/>
      <c r="E39" s="30"/>
    </row>
    <row r="40" spans="1:5" x14ac:dyDescent="0.3">
      <c r="A40" s="35"/>
      <c r="B40" s="30"/>
      <c r="C40" s="30"/>
      <c r="D40" s="30"/>
      <c r="E40" s="30"/>
    </row>
    <row r="41" spans="1:5" x14ac:dyDescent="0.3">
      <c r="A41" s="37" t="s">
        <v>99</v>
      </c>
      <c r="B41" s="30"/>
      <c r="C41" s="30"/>
      <c r="D41" s="30"/>
      <c r="E41" s="30"/>
    </row>
    <row r="42" spans="1:5" x14ac:dyDescent="0.3">
      <c r="A42" s="35" t="s">
        <v>100</v>
      </c>
      <c r="B42" s="30"/>
      <c r="C42" s="30"/>
      <c r="D42" s="30"/>
      <c r="E42" s="30"/>
    </row>
    <row r="43" spans="1:5" x14ac:dyDescent="0.3">
      <c r="A43" s="35"/>
      <c r="B43" s="30"/>
      <c r="C43" s="30"/>
      <c r="D43" s="30"/>
      <c r="E43" s="30"/>
    </row>
    <row r="44" spans="1:5" x14ac:dyDescent="0.3">
      <c r="A44" s="37" t="s">
        <v>101</v>
      </c>
      <c r="B44" s="30"/>
      <c r="C44" s="30"/>
      <c r="D44" s="30"/>
      <c r="E44" s="30"/>
    </row>
    <row r="45" spans="1:5" x14ac:dyDescent="0.3">
      <c r="A45" s="35" t="s">
        <v>102</v>
      </c>
      <c r="B45" s="30"/>
      <c r="C45" s="30"/>
      <c r="D45" s="30"/>
      <c r="E45" s="30"/>
    </row>
    <row r="46" spans="1:5" x14ac:dyDescent="0.3">
      <c r="A46" s="35"/>
      <c r="B46" s="30"/>
      <c r="C46" s="30"/>
      <c r="D46" s="30"/>
      <c r="E46" s="30"/>
    </row>
    <row r="47" spans="1:5" x14ac:dyDescent="0.3">
      <c r="A47" s="37" t="s">
        <v>103</v>
      </c>
      <c r="B47" s="30"/>
      <c r="C47" s="30"/>
      <c r="D47" s="30"/>
      <c r="E47" s="30"/>
    </row>
    <row r="48" spans="1:5" x14ac:dyDescent="0.3">
      <c r="A48" s="35" t="s">
        <v>104</v>
      </c>
      <c r="B48" s="30"/>
      <c r="C48" s="30"/>
      <c r="D48" s="30"/>
      <c r="E48" s="30"/>
    </row>
    <row r="58" spans="1:7" x14ac:dyDescent="0.3">
      <c r="A58" s="22" t="s">
        <v>384</v>
      </c>
      <c r="B58" s="24"/>
      <c r="D58" s="22" t="s">
        <v>385</v>
      </c>
      <c r="E58" s="24"/>
      <c r="F58" s="24"/>
      <c r="G58" s="25"/>
    </row>
    <row r="59" spans="1:7" x14ac:dyDescent="0.3">
      <c r="A59" s="23" t="s">
        <v>386</v>
      </c>
      <c r="D59" s="23" t="s">
        <v>386</v>
      </c>
    </row>
    <row r="73" spans="1:1" x14ac:dyDescent="0.3">
      <c r="A73" s="14" t="str">
        <f>HYPERLINK("#'INDICE'!A4","&lt;&lt; Volver al Indice")</f>
        <v>&lt;&lt; Volver al Indice</v>
      </c>
    </row>
  </sheetData>
  <mergeCells count="30">
    <mergeCell ref="A47:E47"/>
    <mergeCell ref="A43:E43"/>
    <mergeCell ref="A36:E36"/>
    <mergeCell ref="A45:E45"/>
    <mergeCell ref="A40:E40"/>
    <mergeCell ref="B13:E13"/>
    <mergeCell ref="A24:E24"/>
    <mergeCell ref="A33:E33"/>
    <mergeCell ref="A27:E27"/>
    <mergeCell ref="A32:E32"/>
    <mergeCell ref="A16:E18"/>
    <mergeCell ref="A30:E30"/>
    <mergeCell ref="A22:E22"/>
    <mergeCell ref="A31:E31"/>
    <mergeCell ref="A48:E48"/>
    <mergeCell ref="A39:E39"/>
    <mergeCell ref="A29:E29"/>
    <mergeCell ref="A38:E38"/>
    <mergeCell ref="A20:E20"/>
    <mergeCell ref="A28:E28"/>
    <mergeCell ref="A23:E23"/>
    <mergeCell ref="A35:E35"/>
    <mergeCell ref="A41:E41"/>
    <mergeCell ref="A26:E26"/>
    <mergeCell ref="A44:E44"/>
    <mergeCell ref="A34:E34"/>
    <mergeCell ref="A25:E25"/>
    <mergeCell ref="A37:E37"/>
    <mergeCell ref="A46:E46"/>
    <mergeCell ref="A42:E4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4:K63"/>
  <sheetViews>
    <sheetView workbookViewId="0">
      <selection activeCell="E8" sqref="E8"/>
    </sheetView>
  </sheetViews>
  <sheetFormatPr baseColWidth="10" defaultColWidth="9.109375" defaultRowHeight="15.05" x14ac:dyDescent="0.3"/>
  <cols>
    <col min="1" max="1" width="18" customWidth="1"/>
    <col min="2" max="2" width="25" customWidth="1"/>
    <col min="3" max="3" width="15" customWidth="1"/>
    <col min="4" max="4" width="25" customWidth="1"/>
    <col min="5" max="7" width="15.6640625" customWidth="1"/>
    <col min="8" max="8" width="15" customWidth="1"/>
    <col min="9" max="9" width="30" customWidth="1"/>
    <col min="10" max="10" width="16.6640625" customWidth="1"/>
    <col min="11" max="11" width="12.44140625" customWidth="1"/>
  </cols>
  <sheetData>
    <row r="4" spans="1:11" x14ac:dyDescent="0.3">
      <c r="E4" s="12"/>
    </row>
    <row r="5" spans="1:11" ht="22.6" customHeight="1" x14ac:dyDescent="0.3">
      <c r="K5" s="21" t="s">
        <v>12</v>
      </c>
    </row>
    <row r="6" spans="1:11" x14ac:dyDescent="0.3">
      <c r="E6" s="13" t="s">
        <v>395</v>
      </c>
    </row>
    <row r="7" spans="1:11" x14ac:dyDescent="0.3">
      <c r="E7" s="13" t="s">
        <v>388</v>
      </c>
      <c r="J7" s="4" t="s">
        <v>376</v>
      </c>
      <c r="K7" s="4"/>
    </row>
    <row r="8" spans="1:11" x14ac:dyDescent="0.3">
      <c r="E8" s="13" t="s">
        <v>397</v>
      </c>
      <c r="J8" s="4" t="s">
        <v>377</v>
      </c>
      <c r="K8" s="4"/>
    </row>
    <row r="9" spans="1:11" x14ac:dyDescent="0.3">
      <c r="J9" s="4" t="s">
        <v>378</v>
      </c>
      <c r="K9" s="4"/>
    </row>
    <row r="10" spans="1:11" x14ac:dyDescent="0.3">
      <c r="J10" s="4" t="s">
        <v>379</v>
      </c>
      <c r="K10" s="4"/>
    </row>
    <row r="12" spans="1:11" ht="19.649999999999999" x14ac:dyDescent="0.35">
      <c r="A12" s="5"/>
      <c r="B12" s="39" t="s">
        <v>389</v>
      </c>
      <c r="C12" s="39"/>
      <c r="D12" s="39"/>
      <c r="E12" s="39"/>
      <c r="F12" s="39"/>
      <c r="G12" s="39"/>
      <c r="H12" s="39"/>
      <c r="I12" s="39"/>
    </row>
    <row r="14" spans="1:11" x14ac:dyDescent="0.3">
      <c r="A14" s="5"/>
    </row>
    <row r="15" spans="1:11" x14ac:dyDescent="0.3">
      <c r="A15" s="5"/>
    </row>
    <row r="16" spans="1:11" x14ac:dyDescent="0.3">
      <c r="A16" s="5"/>
    </row>
    <row r="18" spans="1:9" x14ac:dyDescent="0.3">
      <c r="A18" s="5" t="s">
        <v>28</v>
      </c>
    </row>
    <row r="19" spans="1:9" x14ac:dyDescent="0.3">
      <c r="A19" s="35" t="s">
        <v>105</v>
      </c>
      <c r="B19" s="30"/>
      <c r="C19" s="30"/>
      <c r="D19" s="30"/>
      <c r="E19" s="30"/>
      <c r="F19" s="30"/>
      <c r="G19" s="30"/>
      <c r="H19" s="30"/>
      <c r="I19" s="30"/>
    </row>
    <row r="20" spans="1:9" x14ac:dyDescent="0.3">
      <c r="A20" s="30"/>
      <c r="B20" s="30"/>
      <c r="C20" s="30"/>
      <c r="D20" s="30"/>
      <c r="E20" s="30"/>
      <c r="F20" s="30"/>
      <c r="G20" s="30"/>
      <c r="H20" s="30"/>
      <c r="I20" s="30"/>
    </row>
    <row r="22" spans="1:9" ht="28.8" x14ac:dyDescent="0.3">
      <c r="A22" s="1" t="s">
        <v>31</v>
      </c>
      <c r="B22" s="1" t="s">
        <v>106</v>
      </c>
      <c r="C22" s="1" t="s">
        <v>107</v>
      </c>
      <c r="D22" s="1" t="s">
        <v>108</v>
      </c>
      <c r="E22" s="1" t="s">
        <v>109</v>
      </c>
      <c r="F22" s="1" t="s">
        <v>110</v>
      </c>
      <c r="G22" s="1" t="s">
        <v>111</v>
      </c>
      <c r="H22" s="1" t="s">
        <v>112</v>
      </c>
      <c r="I22" s="1" t="s">
        <v>44</v>
      </c>
    </row>
    <row r="23" spans="1:9" ht="30.15" x14ac:dyDescent="0.3">
      <c r="A23" s="6">
        <v>1</v>
      </c>
      <c r="B23" s="7" t="s">
        <v>113</v>
      </c>
      <c r="C23" s="7" t="s">
        <v>114</v>
      </c>
      <c r="D23" s="7" t="s">
        <v>115</v>
      </c>
      <c r="E23" s="6">
        <v>5</v>
      </c>
      <c r="F23" s="6">
        <v>5</v>
      </c>
      <c r="G23" s="6" t="s">
        <v>60</v>
      </c>
      <c r="H23" s="9" t="s">
        <v>116</v>
      </c>
      <c r="I23" s="7" t="s">
        <v>117</v>
      </c>
    </row>
    <row r="24" spans="1:9" ht="30.15" x14ac:dyDescent="0.3">
      <c r="A24" s="6">
        <v>2</v>
      </c>
      <c r="B24" s="7" t="s">
        <v>118</v>
      </c>
      <c r="C24" s="7" t="s">
        <v>119</v>
      </c>
      <c r="D24" s="7" t="s">
        <v>120</v>
      </c>
      <c r="E24" s="6">
        <v>5</v>
      </c>
      <c r="F24" s="6">
        <v>3</v>
      </c>
      <c r="G24" s="6" t="s">
        <v>52</v>
      </c>
      <c r="H24" s="8" t="s">
        <v>121</v>
      </c>
      <c r="I24" s="7" t="s">
        <v>122</v>
      </c>
    </row>
    <row r="25" spans="1:9" ht="30.15" x14ac:dyDescent="0.3">
      <c r="A25" s="6">
        <v>3</v>
      </c>
      <c r="B25" s="7" t="s">
        <v>123</v>
      </c>
      <c r="C25" s="7" t="s">
        <v>124</v>
      </c>
      <c r="D25" s="7" t="s">
        <v>125</v>
      </c>
      <c r="E25" s="6">
        <v>12</v>
      </c>
      <c r="F25" s="6">
        <v>8</v>
      </c>
      <c r="G25" s="6" t="s">
        <v>126</v>
      </c>
      <c r="H25" s="6" t="s">
        <v>127</v>
      </c>
      <c r="I25" s="7" t="s">
        <v>128</v>
      </c>
    </row>
    <row r="26" spans="1:9" ht="30.15" x14ac:dyDescent="0.3">
      <c r="A26" s="6">
        <v>4</v>
      </c>
      <c r="B26" s="7" t="s">
        <v>129</v>
      </c>
      <c r="C26" s="7" t="s">
        <v>130</v>
      </c>
      <c r="D26" s="7" t="s">
        <v>131</v>
      </c>
      <c r="E26" s="6">
        <v>3</v>
      </c>
      <c r="F26" s="6">
        <v>3</v>
      </c>
      <c r="G26" s="6" t="s">
        <v>60</v>
      </c>
      <c r="H26" s="9" t="s">
        <v>116</v>
      </c>
      <c r="I26" s="7" t="s">
        <v>132</v>
      </c>
    </row>
    <row r="34" spans="1:9" x14ac:dyDescent="0.3">
      <c r="A34" s="22" t="s">
        <v>384</v>
      </c>
      <c r="B34" s="24"/>
      <c r="C34" s="24"/>
      <c r="E34" s="22"/>
      <c r="F34" s="22" t="s">
        <v>385</v>
      </c>
      <c r="G34" s="24"/>
      <c r="H34" s="24"/>
      <c r="I34" s="25"/>
    </row>
    <row r="35" spans="1:9" x14ac:dyDescent="0.3">
      <c r="A35" s="23" t="s">
        <v>386</v>
      </c>
      <c r="F35" s="23" t="s">
        <v>386</v>
      </c>
    </row>
    <row r="63" spans="1:1" x14ac:dyDescent="0.3">
      <c r="A63" s="14" t="str">
        <f>HYPERLINK("#'INDICE'!A4","&lt;&lt; Volver al Indice")</f>
        <v>&lt;&lt; Volver al Indice</v>
      </c>
    </row>
  </sheetData>
  <mergeCells count="2">
    <mergeCell ref="B12:I12"/>
    <mergeCell ref="A19:I20"/>
  </mergeCells>
  <dataValidations count="1">
    <dataValidation type="list" allowBlank="1" showInputMessage="1" showErrorMessage="1" sqref="H23:H26" xr:uid="{00000000-0002-0000-0400-000000000000}">
      <formula1>"Efectivo, Parcial, En desarrollo"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J52"/>
  <sheetViews>
    <sheetView workbookViewId="0">
      <selection activeCell="E5" sqref="E5:E7"/>
    </sheetView>
  </sheetViews>
  <sheetFormatPr baseColWidth="10" defaultColWidth="9.109375" defaultRowHeight="15.05" x14ac:dyDescent="0.3"/>
  <cols>
    <col min="1" max="1" width="15.88671875" customWidth="1"/>
    <col min="2" max="2" width="25" customWidth="1"/>
    <col min="3" max="3" width="18" customWidth="1"/>
    <col min="4" max="4" width="30" customWidth="1"/>
    <col min="5" max="5" width="14" customWidth="1"/>
    <col min="6" max="6" width="28" customWidth="1"/>
    <col min="7" max="7" width="15" customWidth="1"/>
    <col min="8" max="8" width="18" customWidth="1"/>
    <col min="9" max="9" width="17" customWidth="1"/>
    <col min="10" max="10" width="11.6640625" customWidth="1"/>
  </cols>
  <sheetData>
    <row r="3" spans="1:10" x14ac:dyDescent="0.3">
      <c r="E3" s="12"/>
    </row>
    <row r="4" spans="1:10" ht="25.55" customHeight="1" x14ac:dyDescent="0.3">
      <c r="J4" s="21" t="s">
        <v>14</v>
      </c>
    </row>
    <row r="5" spans="1:10" x14ac:dyDescent="0.3">
      <c r="E5" s="13" t="s">
        <v>395</v>
      </c>
    </row>
    <row r="6" spans="1:10" x14ac:dyDescent="0.3">
      <c r="E6" s="13" t="s">
        <v>388</v>
      </c>
      <c r="I6" s="4" t="s">
        <v>376</v>
      </c>
      <c r="J6" s="4"/>
    </row>
    <row r="7" spans="1:10" x14ac:dyDescent="0.3">
      <c r="E7" s="13" t="s">
        <v>397</v>
      </c>
      <c r="I7" s="4" t="s">
        <v>377</v>
      </c>
      <c r="J7" s="4"/>
    </row>
    <row r="8" spans="1:10" x14ac:dyDescent="0.3">
      <c r="I8" s="4" t="s">
        <v>378</v>
      </c>
      <c r="J8" s="4"/>
    </row>
    <row r="9" spans="1:10" x14ac:dyDescent="0.3">
      <c r="I9" s="4" t="s">
        <v>379</v>
      </c>
      <c r="J9" s="4"/>
    </row>
    <row r="11" spans="1:10" ht="19.649999999999999" x14ac:dyDescent="0.35">
      <c r="A11" s="5"/>
      <c r="B11" s="34" t="s">
        <v>15</v>
      </c>
      <c r="C11" s="34"/>
      <c r="D11" s="34"/>
      <c r="E11" s="34"/>
      <c r="F11" s="34"/>
      <c r="G11" s="34"/>
      <c r="H11" s="34"/>
    </row>
    <row r="12" spans="1:10" x14ac:dyDescent="0.3">
      <c r="A12" s="5" t="s">
        <v>28</v>
      </c>
    </row>
    <row r="13" spans="1:10" x14ac:dyDescent="0.3">
      <c r="A13" s="35" t="s">
        <v>133</v>
      </c>
      <c r="B13" s="30"/>
      <c r="C13" s="30"/>
      <c r="D13" s="30"/>
      <c r="E13" s="30"/>
      <c r="F13" s="30"/>
      <c r="G13" s="30"/>
      <c r="H13" s="30"/>
    </row>
    <row r="14" spans="1:10" x14ac:dyDescent="0.3">
      <c r="A14" s="30"/>
      <c r="B14" s="30"/>
      <c r="C14" s="30"/>
      <c r="D14" s="30"/>
      <c r="E14" s="30"/>
      <c r="F14" s="30"/>
      <c r="G14" s="30"/>
      <c r="H14" s="30"/>
    </row>
    <row r="16" spans="1:10" ht="28.8" x14ac:dyDescent="0.3">
      <c r="A16" s="1" t="s">
        <v>31</v>
      </c>
      <c r="B16" s="1" t="s">
        <v>39</v>
      </c>
      <c r="C16" s="1" t="s">
        <v>134</v>
      </c>
      <c r="D16" s="1" t="s">
        <v>135</v>
      </c>
      <c r="E16" s="1" t="s">
        <v>136</v>
      </c>
      <c r="F16" s="1" t="s">
        <v>137</v>
      </c>
      <c r="G16" s="1" t="s">
        <v>138</v>
      </c>
      <c r="H16" s="1" t="s">
        <v>139</v>
      </c>
    </row>
    <row r="17" spans="1:8" ht="30.15" x14ac:dyDescent="0.3">
      <c r="A17" s="6">
        <v>1</v>
      </c>
      <c r="B17" s="7" t="s">
        <v>140</v>
      </c>
      <c r="C17" s="7" t="s">
        <v>141</v>
      </c>
      <c r="D17" s="7" t="s">
        <v>142</v>
      </c>
      <c r="E17" s="6" t="s">
        <v>54</v>
      </c>
      <c r="F17" s="7" t="s">
        <v>143</v>
      </c>
      <c r="G17" s="6" t="s">
        <v>144</v>
      </c>
      <c r="H17" s="9" t="s">
        <v>145</v>
      </c>
    </row>
    <row r="18" spans="1:8" ht="30.15" x14ac:dyDescent="0.3">
      <c r="A18" s="6">
        <v>2</v>
      </c>
      <c r="B18" s="7" t="s">
        <v>146</v>
      </c>
      <c r="C18" s="7" t="s">
        <v>147</v>
      </c>
      <c r="D18" s="7" t="s">
        <v>148</v>
      </c>
      <c r="E18" s="6" t="s">
        <v>62</v>
      </c>
      <c r="F18" s="7" t="s">
        <v>149</v>
      </c>
      <c r="G18" s="6" t="s">
        <v>150</v>
      </c>
      <c r="H18" s="9" t="s">
        <v>145</v>
      </c>
    </row>
    <row r="19" spans="1:8" ht="30.15" x14ac:dyDescent="0.3">
      <c r="A19" s="6">
        <v>3</v>
      </c>
      <c r="B19" s="7" t="s">
        <v>151</v>
      </c>
      <c r="C19" s="7" t="s">
        <v>152</v>
      </c>
      <c r="D19" s="7" t="s">
        <v>153</v>
      </c>
      <c r="E19" s="6" t="s">
        <v>71</v>
      </c>
      <c r="F19" s="7" t="s">
        <v>154</v>
      </c>
      <c r="G19" s="6" t="s">
        <v>155</v>
      </c>
      <c r="H19" s="9" t="s">
        <v>145</v>
      </c>
    </row>
    <row r="20" spans="1:8" ht="30.15" x14ac:dyDescent="0.3">
      <c r="A20" s="6">
        <v>4</v>
      </c>
      <c r="B20" s="7" t="s">
        <v>156</v>
      </c>
      <c r="C20" s="7" t="s">
        <v>141</v>
      </c>
      <c r="D20" s="7" t="s">
        <v>157</v>
      </c>
      <c r="E20" s="6" t="s">
        <v>79</v>
      </c>
      <c r="F20" s="7" t="s">
        <v>158</v>
      </c>
      <c r="G20" s="6" t="s">
        <v>144</v>
      </c>
      <c r="H20" s="9" t="s">
        <v>145</v>
      </c>
    </row>
    <row r="21" spans="1:8" ht="30.15" x14ac:dyDescent="0.3">
      <c r="A21" s="6">
        <v>5</v>
      </c>
      <c r="B21" s="7" t="s">
        <v>159</v>
      </c>
      <c r="C21" s="7" t="s">
        <v>141</v>
      </c>
      <c r="D21" s="7" t="s">
        <v>160</v>
      </c>
      <c r="E21" s="6" t="s">
        <v>71</v>
      </c>
      <c r="F21" s="7" t="s">
        <v>161</v>
      </c>
      <c r="G21" s="6" t="s">
        <v>150</v>
      </c>
      <c r="H21" s="8" t="s">
        <v>381</v>
      </c>
    </row>
    <row r="22" spans="1:8" x14ac:dyDescent="0.3">
      <c r="A22" s="15"/>
      <c r="B22" s="16"/>
      <c r="C22" s="16"/>
      <c r="D22" s="16"/>
      <c r="E22" s="15"/>
      <c r="F22" s="16"/>
      <c r="G22" s="15"/>
      <c r="H22" s="17"/>
    </row>
    <row r="23" spans="1:8" x14ac:dyDescent="0.3">
      <c r="A23" s="15"/>
      <c r="B23" s="16"/>
      <c r="C23" s="16"/>
      <c r="D23" s="16"/>
      <c r="E23" s="15"/>
      <c r="F23" s="16"/>
      <c r="G23" s="15"/>
      <c r="H23" s="17"/>
    </row>
    <row r="24" spans="1:8" x14ac:dyDescent="0.3">
      <c r="A24" s="15"/>
      <c r="B24" s="16"/>
      <c r="C24" s="16"/>
      <c r="D24" s="16"/>
      <c r="E24" s="15"/>
      <c r="F24" s="16"/>
      <c r="G24" s="15"/>
      <c r="H24" s="17"/>
    </row>
    <row r="28" spans="1:8" x14ac:dyDescent="0.3">
      <c r="A28" s="22" t="s">
        <v>384</v>
      </c>
      <c r="B28" s="24"/>
      <c r="C28" s="24"/>
      <c r="E28" s="22" t="s">
        <v>385</v>
      </c>
      <c r="F28" s="24"/>
      <c r="G28" s="24"/>
      <c r="H28" s="22"/>
    </row>
    <row r="29" spans="1:8" x14ac:dyDescent="0.3">
      <c r="A29" s="23" t="s">
        <v>386</v>
      </c>
      <c r="E29" s="23" t="s">
        <v>386</v>
      </c>
    </row>
    <row r="52" spans="1:1" x14ac:dyDescent="0.3">
      <c r="A52" s="14" t="str">
        <f>HYPERLINK("#'INDICE'!A4","&lt;&lt; Volver al Indice")</f>
        <v>&lt;&lt; Volver al Indice</v>
      </c>
    </row>
  </sheetData>
  <mergeCells count="2">
    <mergeCell ref="B11:H11"/>
    <mergeCell ref="A13:H14"/>
  </mergeCells>
  <dataValidations count="1">
    <dataValidation type="list" allowBlank="1" showInputMessage="1" showErrorMessage="1" sqref="H17:H21" xr:uid="{00000000-0002-0000-0500-000000000000}">
      <formula1>"Evidencia sufienciente, Evidencia Parcial"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3:M58"/>
  <sheetViews>
    <sheetView workbookViewId="0">
      <selection activeCell="F5" sqref="F5:F7"/>
    </sheetView>
  </sheetViews>
  <sheetFormatPr baseColWidth="10" defaultColWidth="9.109375" defaultRowHeight="15.05" x14ac:dyDescent="0.3"/>
  <cols>
    <col min="1" max="1" width="11.33203125" customWidth="1"/>
    <col min="2" max="2" width="15" customWidth="1"/>
    <col min="3" max="3" width="25" customWidth="1"/>
    <col min="4" max="6" width="15.6640625" customWidth="1"/>
    <col min="7" max="7" width="23.109375" customWidth="1"/>
    <col min="8" max="11" width="15.6640625" customWidth="1"/>
    <col min="12" max="12" width="16.88671875" customWidth="1"/>
    <col min="13" max="13" width="13.5546875" customWidth="1"/>
  </cols>
  <sheetData>
    <row r="3" spans="1:13" x14ac:dyDescent="0.3">
      <c r="F3" s="12"/>
    </row>
    <row r="4" spans="1:13" ht="23.25" customHeight="1" x14ac:dyDescent="0.3">
      <c r="M4" s="21" t="s">
        <v>16</v>
      </c>
    </row>
    <row r="5" spans="1:13" x14ac:dyDescent="0.3">
      <c r="F5" s="13" t="s">
        <v>395</v>
      </c>
    </row>
    <row r="6" spans="1:13" x14ac:dyDescent="0.3">
      <c r="F6" s="13" t="s">
        <v>388</v>
      </c>
      <c r="L6" s="4" t="s">
        <v>376</v>
      </c>
      <c r="M6" s="4"/>
    </row>
    <row r="7" spans="1:13" x14ac:dyDescent="0.3">
      <c r="F7" s="13" t="s">
        <v>397</v>
      </c>
      <c r="L7" s="4" t="s">
        <v>377</v>
      </c>
      <c r="M7" s="4"/>
    </row>
    <row r="8" spans="1:13" x14ac:dyDescent="0.3">
      <c r="L8" s="4" t="s">
        <v>378</v>
      </c>
      <c r="M8" s="4"/>
    </row>
    <row r="9" spans="1:13" x14ac:dyDescent="0.3">
      <c r="L9" s="4" t="s">
        <v>379</v>
      </c>
      <c r="M9" s="4"/>
    </row>
    <row r="11" spans="1:13" ht="19.649999999999999" x14ac:dyDescent="0.35">
      <c r="A11" s="5"/>
      <c r="B11" s="40" t="s">
        <v>390</v>
      </c>
      <c r="C11" s="40"/>
      <c r="D11" s="40"/>
      <c r="E11" s="40"/>
      <c r="F11" s="40"/>
      <c r="G11" s="40"/>
      <c r="H11" s="40"/>
      <c r="I11" s="40"/>
      <c r="J11" s="40"/>
      <c r="K11" s="40"/>
    </row>
    <row r="13" spans="1:13" x14ac:dyDescent="0.3">
      <c r="A13" s="5" t="s">
        <v>28</v>
      </c>
    </row>
    <row r="14" spans="1:13" x14ac:dyDescent="0.3">
      <c r="A14" s="35" t="s">
        <v>162</v>
      </c>
      <c r="B14" s="30"/>
      <c r="C14" s="30"/>
      <c r="D14" s="30"/>
      <c r="E14" s="30"/>
      <c r="F14" s="30"/>
      <c r="G14" s="30"/>
      <c r="H14" s="30"/>
      <c r="I14" s="30"/>
      <c r="J14" s="30"/>
      <c r="K14" s="30"/>
    </row>
    <row r="15" spans="1:13" x14ac:dyDescent="0.3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</row>
    <row r="17" spans="1:11" ht="28.8" x14ac:dyDescent="0.3">
      <c r="A17" s="1" t="s">
        <v>31</v>
      </c>
      <c r="B17" s="1" t="s">
        <v>147</v>
      </c>
      <c r="C17" s="1" t="s">
        <v>163</v>
      </c>
      <c r="D17" s="1" t="s">
        <v>164</v>
      </c>
      <c r="E17" s="1" t="s">
        <v>165</v>
      </c>
      <c r="F17" s="1" t="s">
        <v>166</v>
      </c>
      <c r="G17" s="1" t="s">
        <v>167</v>
      </c>
      <c r="H17" s="1" t="s">
        <v>168</v>
      </c>
      <c r="I17" s="1" t="s">
        <v>169</v>
      </c>
      <c r="J17" s="1" t="s">
        <v>170</v>
      </c>
      <c r="K17" s="1" t="s">
        <v>171</v>
      </c>
    </row>
    <row r="18" spans="1:11" ht="30.15" x14ac:dyDescent="0.3">
      <c r="A18" s="6">
        <v>1</v>
      </c>
      <c r="B18" s="28" t="s">
        <v>172</v>
      </c>
      <c r="C18" s="28" t="s">
        <v>173</v>
      </c>
      <c r="D18" s="6" t="s">
        <v>178</v>
      </c>
      <c r="E18" s="6" t="s">
        <v>178</v>
      </c>
      <c r="F18" s="10" t="s">
        <v>176</v>
      </c>
      <c r="G18" s="7" t="s">
        <v>177</v>
      </c>
      <c r="H18" s="6" t="s">
        <v>178</v>
      </c>
      <c r="I18" s="6" t="s">
        <v>179</v>
      </c>
      <c r="J18" s="10" t="s">
        <v>180</v>
      </c>
      <c r="K18" s="9" t="s">
        <v>181</v>
      </c>
    </row>
    <row r="19" spans="1:11" ht="30.15" x14ac:dyDescent="0.3">
      <c r="A19" s="6">
        <v>2</v>
      </c>
      <c r="B19" s="28" t="s">
        <v>130</v>
      </c>
      <c r="C19" s="28" t="s">
        <v>182</v>
      </c>
      <c r="D19" s="6" t="s">
        <v>184</v>
      </c>
      <c r="E19" s="6" t="s">
        <v>184</v>
      </c>
      <c r="F19" s="10" t="s">
        <v>175</v>
      </c>
      <c r="G19" s="7" t="s">
        <v>183</v>
      </c>
      <c r="H19" s="6" t="s">
        <v>184</v>
      </c>
      <c r="I19" s="6" t="s">
        <v>175</v>
      </c>
      <c r="J19" s="10" t="s">
        <v>175</v>
      </c>
      <c r="K19" s="9" t="s">
        <v>181</v>
      </c>
    </row>
    <row r="20" spans="1:11" ht="30.15" x14ac:dyDescent="0.3">
      <c r="A20" s="6">
        <v>3</v>
      </c>
      <c r="B20" s="28" t="s">
        <v>185</v>
      </c>
      <c r="C20" s="28" t="s">
        <v>186</v>
      </c>
      <c r="D20" s="6" t="s">
        <v>174</v>
      </c>
      <c r="E20" s="6" t="s">
        <v>174</v>
      </c>
      <c r="F20" s="10" t="s">
        <v>175</v>
      </c>
      <c r="G20" s="7" t="s">
        <v>187</v>
      </c>
      <c r="H20" s="6" t="s">
        <v>174</v>
      </c>
      <c r="I20" s="6" t="s">
        <v>179</v>
      </c>
      <c r="J20" s="10" t="s">
        <v>175</v>
      </c>
      <c r="K20" s="8" t="s">
        <v>188</v>
      </c>
    </row>
    <row r="21" spans="1:11" ht="30.15" x14ac:dyDescent="0.3">
      <c r="A21" s="6">
        <v>4</v>
      </c>
      <c r="B21" s="28" t="s">
        <v>124</v>
      </c>
      <c r="C21" s="28" t="s">
        <v>189</v>
      </c>
      <c r="D21" s="6" t="s">
        <v>184</v>
      </c>
      <c r="E21" s="6" t="s">
        <v>184</v>
      </c>
      <c r="F21" s="10" t="s">
        <v>176</v>
      </c>
      <c r="G21" s="7" t="s">
        <v>190</v>
      </c>
      <c r="H21" s="6" t="s">
        <v>184</v>
      </c>
      <c r="I21" s="6" t="s">
        <v>176</v>
      </c>
      <c r="J21" s="10" t="s">
        <v>176</v>
      </c>
      <c r="K21" s="9" t="s">
        <v>181</v>
      </c>
    </row>
    <row r="22" spans="1:11" ht="30.15" x14ac:dyDescent="0.3">
      <c r="A22" s="6">
        <v>5</v>
      </c>
      <c r="B22" s="28" t="s">
        <v>191</v>
      </c>
      <c r="C22" s="28" t="s">
        <v>192</v>
      </c>
      <c r="D22" s="6" t="s">
        <v>184</v>
      </c>
      <c r="E22" s="6" t="s">
        <v>184</v>
      </c>
      <c r="F22" s="8" t="s">
        <v>180</v>
      </c>
      <c r="G22" s="7" t="s">
        <v>193</v>
      </c>
      <c r="H22" s="6" t="s">
        <v>184</v>
      </c>
      <c r="I22" s="6" t="s">
        <v>179</v>
      </c>
      <c r="J22" s="8" t="s">
        <v>180</v>
      </c>
      <c r="K22" s="9" t="s">
        <v>181</v>
      </c>
    </row>
    <row r="30" spans="1:11" x14ac:dyDescent="0.3">
      <c r="A30" s="22" t="s">
        <v>384</v>
      </c>
      <c r="B30" s="24"/>
      <c r="C30" s="24"/>
      <c r="G30" s="26" t="s">
        <v>385</v>
      </c>
      <c r="H30" s="24"/>
      <c r="I30" s="24"/>
      <c r="J30" s="24"/>
      <c r="K30" s="24"/>
    </row>
    <row r="31" spans="1:11" x14ac:dyDescent="0.3">
      <c r="A31" s="23" t="s">
        <v>386</v>
      </c>
      <c r="G31" s="27" t="s">
        <v>386</v>
      </c>
    </row>
    <row r="58" spans="1:1" x14ac:dyDescent="0.3">
      <c r="A58" s="14" t="str">
        <f>HYPERLINK("#'INDICE'!A4","&lt;&lt; Volver al Indice")</f>
        <v>&lt;&lt; Volver al Indice</v>
      </c>
    </row>
  </sheetData>
  <mergeCells count="2">
    <mergeCell ref="B11:K11"/>
    <mergeCell ref="A14:K15"/>
  </mergeCells>
  <dataValidations count="3">
    <dataValidation type="list" allowBlank="1" showInputMessage="1" showErrorMessage="1" sqref="F18:F22 J18:J22" xr:uid="{00000000-0002-0000-0600-000000000000}">
      <formula1>"Critico, Alto, Moderado, Bajo"</formula1>
    </dataValidation>
    <dataValidation type="list" allowBlank="1" showInputMessage="1" showErrorMessage="1" sqref="H18:I22 D18:E22" xr:uid="{00000000-0002-0000-0600-000001000000}">
      <formula1>"Baja, Media, Alta"</formula1>
    </dataValidation>
    <dataValidation type="list" allowBlank="1" showInputMessage="1" showErrorMessage="1" sqref="K18:K22" xr:uid="{00000000-0002-0000-0600-000002000000}">
      <formula1>"Mejoro, Sin Cambios"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3:J52"/>
  <sheetViews>
    <sheetView workbookViewId="0">
      <selection activeCell="D7" sqref="D7"/>
    </sheetView>
  </sheetViews>
  <sheetFormatPr baseColWidth="10" defaultColWidth="9.109375" defaultRowHeight="15.05" x14ac:dyDescent="0.3"/>
  <cols>
    <col min="1" max="1" width="17.33203125" customWidth="1"/>
    <col min="2" max="2" width="14" customWidth="1"/>
    <col min="3" max="4" width="30" customWidth="1"/>
    <col min="5" max="5" width="35" customWidth="1"/>
    <col min="6" max="6" width="18" customWidth="1"/>
    <col min="7" max="7" width="15" customWidth="1"/>
    <col min="8" max="8" width="20" customWidth="1"/>
    <col min="9" max="9" width="17.88671875" customWidth="1"/>
    <col min="10" max="10" width="13.33203125" customWidth="1"/>
  </cols>
  <sheetData>
    <row r="3" spans="1:10" x14ac:dyDescent="0.3">
      <c r="E3" s="12"/>
    </row>
    <row r="4" spans="1:10" ht="24.75" customHeight="1" x14ac:dyDescent="0.3">
      <c r="J4" s="21" t="s">
        <v>18</v>
      </c>
    </row>
    <row r="5" spans="1:10" x14ac:dyDescent="0.3">
      <c r="D5" s="13" t="s">
        <v>395</v>
      </c>
    </row>
    <row r="6" spans="1:10" x14ac:dyDescent="0.3">
      <c r="D6" s="13" t="s">
        <v>388</v>
      </c>
      <c r="I6" s="4" t="s">
        <v>376</v>
      </c>
      <c r="J6" s="4"/>
    </row>
    <row r="7" spans="1:10" x14ac:dyDescent="0.3">
      <c r="D7" s="13" t="s">
        <v>397</v>
      </c>
      <c r="I7" s="4" t="s">
        <v>377</v>
      </c>
      <c r="J7" s="4"/>
    </row>
    <row r="8" spans="1:10" x14ac:dyDescent="0.3">
      <c r="I8" s="4" t="s">
        <v>378</v>
      </c>
      <c r="J8" s="4"/>
    </row>
    <row r="9" spans="1:10" x14ac:dyDescent="0.3">
      <c r="I9" s="4" t="s">
        <v>379</v>
      </c>
      <c r="J9" s="4"/>
    </row>
    <row r="11" spans="1:10" ht="19.649999999999999" x14ac:dyDescent="0.35">
      <c r="A11" s="5"/>
      <c r="B11" s="40" t="s">
        <v>391</v>
      </c>
      <c r="C11" s="40"/>
      <c r="D11" s="40"/>
      <c r="E11" s="40"/>
      <c r="F11" s="40"/>
      <c r="G11" s="40"/>
      <c r="H11" s="40"/>
    </row>
    <row r="13" spans="1:10" x14ac:dyDescent="0.3">
      <c r="A13" s="5" t="s">
        <v>28</v>
      </c>
    </row>
    <row r="14" spans="1:10" x14ac:dyDescent="0.3">
      <c r="A14" s="35" t="s">
        <v>194</v>
      </c>
      <c r="B14" s="30"/>
      <c r="C14" s="30"/>
      <c r="D14" s="30"/>
      <c r="E14" s="30"/>
      <c r="F14" s="30"/>
      <c r="G14" s="30"/>
      <c r="H14" s="30"/>
    </row>
    <row r="15" spans="1:10" x14ac:dyDescent="0.3">
      <c r="A15" s="30"/>
      <c r="B15" s="30"/>
      <c r="C15" s="30"/>
      <c r="D15" s="30"/>
      <c r="E15" s="30"/>
      <c r="F15" s="30"/>
      <c r="G15" s="30"/>
      <c r="H15" s="30"/>
    </row>
    <row r="17" spans="1:8" ht="28.8" x14ac:dyDescent="0.3">
      <c r="A17" s="1" t="s">
        <v>31</v>
      </c>
      <c r="B17" s="1" t="s">
        <v>195</v>
      </c>
      <c r="C17" s="1" t="s">
        <v>196</v>
      </c>
      <c r="D17" s="1" t="s">
        <v>197</v>
      </c>
      <c r="E17" s="1" t="s">
        <v>198</v>
      </c>
      <c r="F17" s="1" t="s">
        <v>199</v>
      </c>
      <c r="G17" s="1" t="s">
        <v>41</v>
      </c>
      <c r="H17" s="1" t="s">
        <v>200</v>
      </c>
    </row>
    <row r="18" spans="1:8" ht="30.15" x14ac:dyDescent="0.3">
      <c r="A18" s="6">
        <v>1</v>
      </c>
      <c r="B18" s="6" t="s">
        <v>201</v>
      </c>
      <c r="C18" s="7" t="s">
        <v>202</v>
      </c>
      <c r="D18" s="7" t="s">
        <v>203</v>
      </c>
      <c r="E18" s="7" t="s">
        <v>204</v>
      </c>
      <c r="F18" s="7" t="s">
        <v>49</v>
      </c>
      <c r="G18" s="6" t="s">
        <v>58</v>
      </c>
      <c r="H18" s="7" t="s">
        <v>205</v>
      </c>
    </row>
    <row r="19" spans="1:8" ht="30.15" x14ac:dyDescent="0.3">
      <c r="A19" s="6">
        <v>2</v>
      </c>
      <c r="B19" s="6" t="s">
        <v>206</v>
      </c>
      <c r="C19" s="7" t="s">
        <v>207</v>
      </c>
      <c r="D19" s="7" t="s">
        <v>208</v>
      </c>
      <c r="E19" s="7" t="s">
        <v>209</v>
      </c>
      <c r="F19" s="7" t="s">
        <v>210</v>
      </c>
      <c r="G19" s="6" t="s">
        <v>76</v>
      </c>
      <c r="H19" s="7" t="s">
        <v>211</v>
      </c>
    </row>
    <row r="20" spans="1:8" ht="30.15" x14ac:dyDescent="0.3">
      <c r="A20" s="6">
        <v>3</v>
      </c>
      <c r="B20" s="6" t="s">
        <v>212</v>
      </c>
      <c r="C20" s="7" t="s">
        <v>213</v>
      </c>
      <c r="D20" s="7" t="s">
        <v>214</v>
      </c>
      <c r="E20" s="7" t="s">
        <v>215</v>
      </c>
      <c r="F20" s="7" t="s">
        <v>49</v>
      </c>
      <c r="G20" s="6" t="s">
        <v>216</v>
      </c>
      <c r="H20" s="7" t="s">
        <v>217</v>
      </c>
    </row>
    <row r="21" spans="1:8" ht="30.15" x14ac:dyDescent="0.3">
      <c r="A21" s="6">
        <v>4</v>
      </c>
      <c r="B21" s="6" t="s">
        <v>218</v>
      </c>
      <c r="C21" s="7" t="s">
        <v>219</v>
      </c>
      <c r="D21" s="7" t="s">
        <v>220</v>
      </c>
      <c r="E21" s="7" t="s">
        <v>221</v>
      </c>
      <c r="F21" s="7" t="s">
        <v>222</v>
      </c>
      <c r="G21" s="6" t="s">
        <v>223</v>
      </c>
      <c r="H21" s="7" t="s">
        <v>224</v>
      </c>
    </row>
    <row r="28" spans="1:8" x14ac:dyDescent="0.3">
      <c r="A28" s="22" t="s">
        <v>384</v>
      </c>
      <c r="B28" s="24"/>
      <c r="C28" s="24"/>
      <c r="E28" s="22" t="s">
        <v>385</v>
      </c>
      <c r="F28" s="24"/>
      <c r="G28" s="24"/>
      <c r="H28" s="25"/>
    </row>
    <row r="29" spans="1:8" x14ac:dyDescent="0.3">
      <c r="A29" s="23" t="s">
        <v>386</v>
      </c>
      <c r="E29" s="23" t="s">
        <v>386</v>
      </c>
    </row>
    <row r="52" spans="1:1" x14ac:dyDescent="0.3">
      <c r="A52" s="14" t="str">
        <f>HYPERLINK("#'INDICE'!A4","&lt;&lt; Volver al Indice")</f>
        <v>&lt;&lt; Volver al Indice</v>
      </c>
    </row>
  </sheetData>
  <mergeCells count="2">
    <mergeCell ref="B11:H11"/>
    <mergeCell ref="A14:H1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4:J53"/>
  <sheetViews>
    <sheetView workbookViewId="0">
      <selection activeCell="E6" sqref="E6:E8"/>
    </sheetView>
  </sheetViews>
  <sheetFormatPr baseColWidth="10" defaultColWidth="9.109375" defaultRowHeight="15.05" x14ac:dyDescent="0.3"/>
  <cols>
    <col min="1" max="1" width="14.88671875" customWidth="1"/>
    <col min="2" max="2" width="12" customWidth="1"/>
    <col min="3" max="3" width="19.33203125" customWidth="1"/>
    <col min="4" max="5" width="18" customWidth="1"/>
    <col min="6" max="6" width="40" customWidth="1"/>
    <col min="7" max="7" width="12" customWidth="1"/>
    <col min="8" max="8" width="20" customWidth="1"/>
    <col min="9" max="9" width="17.44140625" customWidth="1"/>
    <col min="10" max="10" width="11.6640625" customWidth="1"/>
  </cols>
  <sheetData>
    <row r="4" spans="1:10" x14ac:dyDescent="0.3">
      <c r="F4" s="12"/>
    </row>
    <row r="5" spans="1:10" ht="24.75" customHeight="1" x14ac:dyDescent="0.3">
      <c r="J5" s="21" t="s">
        <v>20</v>
      </c>
    </row>
    <row r="6" spans="1:10" x14ac:dyDescent="0.3">
      <c r="E6" s="13" t="s">
        <v>395</v>
      </c>
    </row>
    <row r="7" spans="1:10" x14ac:dyDescent="0.3">
      <c r="E7" s="13" t="s">
        <v>0</v>
      </c>
      <c r="I7" s="4" t="s">
        <v>376</v>
      </c>
      <c r="J7" s="4"/>
    </row>
    <row r="8" spans="1:10" x14ac:dyDescent="0.3">
      <c r="E8" s="13" t="s">
        <v>397</v>
      </c>
      <c r="I8" s="4" t="s">
        <v>377</v>
      </c>
      <c r="J8" s="4"/>
    </row>
    <row r="9" spans="1:10" x14ac:dyDescent="0.3">
      <c r="I9" s="4" t="s">
        <v>378</v>
      </c>
      <c r="J9" s="4"/>
    </row>
    <row r="10" spans="1:10" x14ac:dyDescent="0.3">
      <c r="I10" s="4" t="s">
        <v>379</v>
      </c>
      <c r="J10" s="4"/>
    </row>
    <row r="12" spans="1:10" ht="19.649999999999999" x14ac:dyDescent="0.35">
      <c r="A12" s="5"/>
      <c r="B12" s="40" t="s">
        <v>392</v>
      </c>
      <c r="C12" s="40"/>
      <c r="D12" s="40"/>
      <c r="E12" s="40"/>
      <c r="F12" s="40"/>
      <c r="G12" s="40"/>
      <c r="H12" s="40"/>
    </row>
    <row r="13" spans="1:10" x14ac:dyDescent="0.3">
      <c r="A13" s="5" t="s">
        <v>28</v>
      </c>
    </row>
    <row r="14" spans="1:10" x14ac:dyDescent="0.3">
      <c r="A14" s="35" t="s">
        <v>225</v>
      </c>
      <c r="B14" s="30"/>
      <c r="C14" s="30"/>
      <c r="D14" s="30"/>
      <c r="E14" s="30"/>
      <c r="F14" s="30"/>
      <c r="G14" s="30"/>
      <c r="H14" s="30"/>
    </row>
    <row r="15" spans="1:10" x14ac:dyDescent="0.3">
      <c r="A15" s="30"/>
      <c r="B15" s="30"/>
      <c r="C15" s="30"/>
      <c r="D15" s="30"/>
      <c r="E15" s="30"/>
      <c r="F15" s="30"/>
      <c r="G15" s="30"/>
      <c r="H15" s="30"/>
    </row>
    <row r="17" spans="1:8" x14ac:dyDescent="0.3">
      <c r="A17" s="1" t="s">
        <v>31</v>
      </c>
      <c r="B17" s="1" t="s">
        <v>226</v>
      </c>
      <c r="C17" s="1" t="s">
        <v>227</v>
      </c>
      <c r="D17" s="1" t="s">
        <v>228</v>
      </c>
      <c r="E17" s="1" t="s">
        <v>229</v>
      </c>
      <c r="F17" s="1" t="s">
        <v>230</v>
      </c>
      <c r="G17" s="1" t="s">
        <v>231</v>
      </c>
      <c r="H17" s="1" t="s">
        <v>232</v>
      </c>
    </row>
    <row r="18" spans="1:8" ht="30.15" x14ac:dyDescent="0.3">
      <c r="A18" s="6">
        <v>1</v>
      </c>
      <c r="B18" s="6" t="s">
        <v>233</v>
      </c>
      <c r="C18" s="11" t="s">
        <v>234</v>
      </c>
      <c r="D18" s="7" t="s">
        <v>235</v>
      </c>
      <c r="E18" s="7" t="s">
        <v>222</v>
      </c>
      <c r="F18" s="7" t="s">
        <v>236</v>
      </c>
      <c r="G18" s="6" t="s">
        <v>237</v>
      </c>
      <c r="H18" s="7" t="s">
        <v>238</v>
      </c>
    </row>
    <row r="19" spans="1:8" x14ac:dyDescent="0.3">
      <c r="A19" s="6">
        <v>2</v>
      </c>
      <c r="B19" s="6" t="s">
        <v>239</v>
      </c>
      <c r="C19" s="8" t="s">
        <v>240</v>
      </c>
      <c r="D19" s="7" t="s">
        <v>49</v>
      </c>
      <c r="E19" s="7" t="s">
        <v>235</v>
      </c>
      <c r="F19" s="7" t="s">
        <v>241</v>
      </c>
      <c r="G19" s="6" t="s">
        <v>242</v>
      </c>
      <c r="H19" s="7" t="s">
        <v>243</v>
      </c>
    </row>
    <row r="20" spans="1:8" x14ac:dyDescent="0.3">
      <c r="A20" s="6">
        <v>3</v>
      </c>
      <c r="B20" s="6" t="s">
        <v>244</v>
      </c>
      <c r="C20" s="11" t="s">
        <v>234</v>
      </c>
      <c r="D20" s="7" t="s">
        <v>235</v>
      </c>
      <c r="E20" s="7" t="s">
        <v>245</v>
      </c>
      <c r="F20" s="7" t="s">
        <v>246</v>
      </c>
      <c r="G20" s="6" t="s">
        <v>247</v>
      </c>
      <c r="H20" s="7" t="s">
        <v>248</v>
      </c>
    </row>
    <row r="21" spans="1:8" x14ac:dyDescent="0.3">
      <c r="A21" s="6">
        <v>4</v>
      </c>
      <c r="B21" s="6" t="s">
        <v>249</v>
      </c>
      <c r="C21" s="8" t="s">
        <v>240</v>
      </c>
      <c r="D21" s="7" t="s">
        <v>235</v>
      </c>
      <c r="E21" s="7" t="s">
        <v>210</v>
      </c>
      <c r="F21" s="7" t="s">
        <v>250</v>
      </c>
      <c r="G21" s="6" t="s">
        <v>251</v>
      </c>
      <c r="H21" s="7" t="s">
        <v>252</v>
      </c>
    </row>
    <row r="22" spans="1:8" x14ac:dyDescent="0.3">
      <c r="A22" s="6">
        <v>5</v>
      </c>
      <c r="B22" s="6" t="s">
        <v>253</v>
      </c>
      <c r="C22" s="8" t="s">
        <v>240</v>
      </c>
      <c r="D22" s="7" t="s">
        <v>210</v>
      </c>
      <c r="E22" s="7" t="s">
        <v>235</v>
      </c>
      <c r="F22" s="7" t="s">
        <v>254</v>
      </c>
      <c r="G22" s="6" t="s">
        <v>255</v>
      </c>
      <c r="H22" s="7" t="s">
        <v>256</v>
      </c>
    </row>
    <row r="23" spans="1:8" ht="30.15" x14ac:dyDescent="0.3">
      <c r="A23" s="6">
        <v>6</v>
      </c>
      <c r="B23" s="6" t="s">
        <v>257</v>
      </c>
      <c r="C23" s="11" t="s">
        <v>234</v>
      </c>
      <c r="D23" s="7" t="s">
        <v>235</v>
      </c>
      <c r="E23" s="7" t="s">
        <v>222</v>
      </c>
      <c r="F23" s="7" t="s">
        <v>258</v>
      </c>
      <c r="G23" s="6" t="s">
        <v>259</v>
      </c>
      <c r="H23" s="7" t="s">
        <v>260</v>
      </c>
    </row>
    <row r="24" spans="1:8" x14ac:dyDescent="0.3">
      <c r="A24" s="6">
        <v>7</v>
      </c>
      <c r="B24" s="6" t="s">
        <v>261</v>
      </c>
      <c r="C24" s="11" t="s">
        <v>234</v>
      </c>
      <c r="D24" s="7" t="s">
        <v>235</v>
      </c>
      <c r="E24" s="7" t="s">
        <v>245</v>
      </c>
      <c r="F24" s="7" t="s">
        <v>262</v>
      </c>
      <c r="G24" s="6" t="s">
        <v>263</v>
      </c>
      <c r="H24" s="7" t="s">
        <v>264</v>
      </c>
    </row>
    <row r="29" spans="1:8" x14ac:dyDescent="0.3">
      <c r="A29" s="22" t="s">
        <v>384</v>
      </c>
      <c r="B29" s="24"/>
      <c r="C29" s="24"/>
      <c r="E29" s="22" t="s">
        <v>385</v>
      </c>
      <c r="F29" s="24"/>
      <c r="G29" s="24"/>
      <c r="H29" s="22"/>
    </row>
    <row r="30" spans="1:8" x14ac:dyDescent="0.3">
      <c r="A30" s="23" t="s">
        <v>386</v>
      </c>
      <c r="E30" s="23" t="s">
        <v>386</v>
      </c>
    </row>
    <row r="53" spans="1:1" x14ac:dyDescent="0.3">
      <c r="A53" s="14" t="str">
        <f>HYPERLINK("#'INDICE'!A4","&lt;&lt; Volver al Indice")</f>
        <v>&lt;&lt; Volver al Indice</v>
      </c>
    </row>
  </sheetData>
  <mergeCells count="2">
    <mergeCell ref="B12:H12"/>
    <mergeCell ref="A14:H15"/>
  </mergeCells>
  <dataValidations count="1">
    <dataValidation type="list" allowBlank="1" showInputMessage="1" showErrorMessage="1" sqref="C18:C24" xr:uid="{00000000-0002-0000-0800-000000000000}">
      <formula1>"Carta, Correo"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3:J53"/>
  <sheetViews>
    <sheetView topLeftCell="A4" workbookViewId="0">
      <selection activeCell="E5" sqref="E5:E7"/>
    </sheetView>
  </sheetViews>
  <sheetFormatPr baseColWidth="10" defaultColWidth="9.109375" defaultRowHeight="15.05" x14ac:dyDescent="0.3"/>
  <cols>
    <col min="1" max="1" width="14.5546875" customWidth="1"/>
    <col min="2" max="2" width="12" customWidth="1"/>
    <col min="3" max="3" width="30" customWidth="1"/>
    <col min="4" max="4" width="22" customWidth="1"/>
    <col min="5" max="5" width="28" customWidth="1"/>
    <col min="6" max="6" width="35" customWidth="1"/>
    <col min="7" max="7" width="18" customWidth="1"/>
    <col min="8" max="8" width="15" customWidth="1"/>
    <col min="9" max="9" width="18.109375" customWidth="1"/>
    <col min="10" max="10" width="12.6640625" customWidth="1"/>
  </cols>
  <sheetData>
    <row r="3" spans="1:10" x14ac:dyDescent="0.3">
      <c r="E3" s="12"/>
    </row>
    <row r="4" spans="1:10" ht="28.5" customHeight="1" x14ac:dyDescent="0.3">
      <c r="J4" s="21" t="s">
        <v>22</v>
      </c>
    </row>
    <row r="5" spans="1:10" x14ac:dyDescent="0.3">
      <c r="E5" s="13" t="s">
        <v>395</v>
      </c>
    </row>
    <row r="6" spans="1:10" x14ac:dyDescent="0.3">
      <c r="E6" s="13" t="s">
        <v>0</v>
      </c>
      <c r="I6" s="4" t="s">
        <v>376</v>
      </c>
      <c r="J6" s="4"/>
    </row>
    <row r="7" spans="1:10" x14ac:dyDescent="0.3">
      <c r="E7" s="13" t="s">
        <v>397</v>
      </c>
      <c r="I7" s="4" t="s">
        <v>377</v>
      </c>
      <c r="J7" s="4"/>
    </row>
    <row r="8" spans="1:10" x14ac:dyDescent="0.3">
      <c r="I8" s="4" t="s">
        <v>378</v>
      </c>
      <c r="J8" s="4"/>
    </row>
    <row r="9" spans="1:10" x14ac:dyDescent="0.3">
      <c r="I9" s="4" t="s">
        <v>379</v>
      </c>
      <c r="J9" s="4"/>
    </row>
    <row r="11" spans="1:10" ht="19.649999999999999" x14ac:dyDescent="0.35">
      <c r="A11" s="5"/>
      <c r="B11" s="34" t="s">
        <v>23</v>
      </c>
      <c r="C11" s="34"/>
      <c r="D11" s="34"/>
      <c r="E11" s="34"/>
      <c r="F11" s="34"/>
      <c r="G11" s="34"/>
      <c r="H11" s="34"/>
    </row>
    <row r="12" spans="1:10" x14ac:dyDescent="0.3">
      <c r="A12" s="5" t="s">
        <v>28</v>
      </c>
    </row>
    <row r="13" spans="1:10" x14ac:dyDescent="0.3">
      <c r="A13" s="35" t="s">
        <v>265</v>
      </c>
      <c r="B13" s="30"/>
      <c r="C13" s="30"/>
      <c r="D13" s="30"/>
      <c r="E13" s="30"/>
      <c r="F13" s="30"/>
      <c r="G13" s="30"/>
      <c r="H13" s="30"/>
    </row>
    <row r="14" spans="1:10" x14ac:dyDescent="0.3">
      <c r="A14" s="30"/>
      <c r="B14" s="30"/>
      <c r="C14" s="30"/>
      <c r="D14" s="30"/>
      <c r="E14" s="30"/>
      <c r="F14" s="30"/>
      <c r="G14" s="30"/>
      <c r="H14" s="30"/>
    </row>
    <row r="16" spans="1:10" x14ac:dyDescent="0.3">
      <c r="A16" s="1" t="s">
        <v>31</v>
      </c>
      <c r="B16" s="1" t="s">
        <v>266</v>
      </c>
      <c r="C16" s="1" t="s">
        <v>267</v>
      </c>
      <c r="D16" s="1" t="s">
        <v>268</v>
      </c>
      <c r="E16" s="1" t="s">
        <v>269</v>
      </c>
      <c r="F16" s="1" t="s">
        <v>270</v>
      </c>
      <c r="G16" s="1" t="s">
        <v>139</v>
      </c>
      <c r="H16" s="1" t="s">
        <v>271</v>
      </c>
    </row>
    <row r="17" spans="1:8" ht="30.15" x14ac:dyDescent="0.3">
      <c r="A17" s="6">
        <v>1</v>
      </c>
      <c r="B17" s="6" t="s">
        <v>201</v>
      </c>
      <c r="C17" s="7" t="s">
        <v>272</v>
      </c>
      <c r="D17" s="7" t="s">
        <v>273</v>
      </c>
      <c r="E17" s="7" t="s">
        <v>274</v>
      </c>
      <c r="F17" s="7" t="s">
        <v>275</v>
      </c>
      <c r="G17" s="10" t="s">
        <v>68</v>
      </c>
      <c r="H17" s="6" t="s">
        <v>276</v>
      </c>
    </row>
    <row r="18" spans="1:8" ht="30.15" x14ac:dyDescent="0.3">
      <c r="A18" s="6">
        <v>2</v>
      </c>
      <c r="B18" s="6" t="s">
        <v>277</v>
      </c>
      <c r="C18" s="7" t="s">
        <v>278</v>
      </c>
      <c r="D18" s="7" t="s">
        <v>279</v>
      </c>
      <c r="E18" s="7" t="s">
        <v>280</v>
      </c>
      <c r="F18" s="7" t="s">
        <v>281</v>
      </c>
      <c r="G18" s="9" t="s">
        <v>282</v>
      </c>
      <c r="H18" s="6" t="s">
        <v>283</v>
      </c>
    </row>
    <row r="19" spans="1:8" ht="30.15" x14ac:dyDescent="0.3">
      <c r="A19" s="6">
        <v>3</v>
      </c>
      <c r="B19" s="6" t="s">
        <v>206</v>
      </c>
      <c r="C19" s="7" t="s">
        <v>284</v>
      </c>
      <c r="D19" s="7" t="s">
        <v>124</v>
      </c>
      <c r="E19" s="7" t="s">
        <v>285</v>
      </c>
      <c r="F19" s="7" t="s">
        <v>286</v>
      </c>
      <c r="G19" s="9" t="s">
        <v>282</v>
      </c>
      <c r="H19" s="6" t="s">
        <v>287</v>
      </c>
    </row>
    <row r="20" spans="1:8" ht="30.15" x14ac:dyDescent="0.3">
      <c r="A20" s="6">
        <v>4</v>
      </c>
      <c r="B20" s="6" t="s">
        <v>288</v>
      </c>
      <c r="C20" s="7" t="s">
        <v>289</v>
      </c>
      <c r="D20" s="7" t="s">
        <v>290</v>
      </c>
      <c r="E20" s="7" t="s">
        <v>291</v>
      </c>
      <c r="F20" s="7" t="s">
        <v>292</v>
      </c>
      <c r="G20" s="8" t="s">
        <v>293</v>
      </c>
      <c r="H20" s="6" t="s">
        <v>294</v>
      </c>
    </row>
    <row r="21" spans="1:8" ht="30.15" x14ac:dyDescent="0.3">
      <c r="A21" s="6">
        <v>5</v>
      </c>
      <c r="B21" s="6" t="s">
        <v>295</v>
      </c>
      <c r="C21" s="7" t="s">
        <v>296</v>
      </c>
      <c r="D21" s="7" t="s">
        <v>130</v>
      </c>
      <c r="E21" s="7" t="s">
        <v>297</v>
      </c>
      <c r="F21" s="7" t="s">
        <v>298</v>
      </c>
      <c r="G21" s="9" t="s">
        <v>282</v>
      </c>
      <c r="H21" s="6" t="s">
        <v>299</v>
      </c>
    </row>
    <row r="29" spans="1:8" x14ac:dyDescent="0.3">
      <c r="A29" s="22" t="s">
        <v>384</v>
      </c>
      <c r="B29" s="24"/>
      <c r="C29" s="24"/>
      <c r="E29" s="22" t="s">
        <v>385</v>
      </c>
      <c r="F29" s="24"/>
      <c r="G29" s="24"/>
    </row>
    <row r="30" spans="1:8" x14ac:dyDescent="0.3">
      <c r="A30" s="23" t="s">
        <v>386</v>
      </c>
      <c r="E30" s="23" t="s">
        <v>386</v>
      </c>
    </row>
    <row r="53" spans="1:1" x14ac:dyDescent="0.3">
      <c r="A53" s="14" t="str">
        <f>HYPERLINK("#'INDICE'!A4","&lt;&lt; Volver al Indice")</f>
        <v>&lt;&lt; Volver al Indice</v>
      </c>
    </row>
  </sheetData>
  <mergeCells count="2">
    <mergeCell ref="B11:H11"/>
    <mergeCell ref="A13:H14"/>
  </mergeCells>
  <dataValidations count="1">
    <dataValidation type="list" allowBlank="1" showInputMessage="1" showErrorMessage="1" sqref="G17:G21" xr:uid="{00000000-0002-0000-0900-000000000000}">
      <formula1>"Pendiente, Satisfactorio, Con Observaciones"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:I54"/>
  <sheetViews>
    <sheetView topLeftCell="A4" workbookViewId="0">
      <selection activeCell="D5" sqref="D5:D7"/>
    </sheetView>
  </sheetViews>
  <sheetFormatPr baseColWidth="10" defaultColWidth="9.109375" defaultRowHeight="15.05" x14ac:dyDescent="0.3"/>
  <cols>
    <col min="1" max="1" width="10.5546875" customWidth="1"/>
    <col min="2" max="2" width="15.33203125" customWidth="1"/>
    <col min="3" max="3" width="40" customWidth="1"/>
    <col min="4" max="4" width="15" customWidth="1"/>
    <col min="5" max="5" width="14" customWidth="1"/>
    <col min="6" max="6" width="18" customWidth="1"/>
    <col min="7" max="7" width="20" customWidth="1"/>
    <col min="8" max="8" width="17.5546875" customWidth="1"/>
    <col min="9" max="9" width="12.109375" customWidth="1"/>
  </cols>
  <sheetData>
    <row r="3" spans="1:9" x14ac:dyDescent="0.3">
      <c r="D3" s="12"/>
    </row>
    <row r="4" spans="1:9" ht="21.8" customHeight="1" x14ac:dyDescent="0.3">
      <c r="I4" s="21" t="s">
        <v>24</v>
      </c>
    </row>
    <row r="5" spans="1:9" x14ac:dyDescent="0.3">
      <c r="D5" s="13" t="s">
        <v>395</v>
      </c>
    </row>
    <row r="6" spans="1:9" x14ac:dyDescent="0.3">
      <c r="D6" s="13" t="s">
        <v>0</v>
      </c>
      <c r="H6" s="4" t="s">
        <v>376</v>
      </c>
      <c r="I6" s="4"/>
    </row>
    <row r="7" spans="1:9" x14ac:dyDescent="0.3">
      <c r="D7" s="13" t="s">
        <v>397</v>
      </c>
      <c r="H7" s="4" t="s">
        <v>377</v>
      </c>
      <c r="I7" s="4"/>
    </row>
    <row r="8" spans="1:9" x14ac:dyDescent="0.3">
      <c r="H8" s="4" t="s">
        <v>378</v>
      </c>
      <c r="I8" s="4"/>
    </row>
    <row r="9" spans="1:9" x14ac:dyDescent="0.3">
      <c r="H9" s="4" t="s">
        <v>379</v>
      </c>
      <c r="I9" s="4"/>
    </row>
    <row r="11" spans="1:9" ht="19.649999999999999" x14ac:dyDescent="0.35">
      <c r="A11" s="5"/>
      <c r="B11" s="34" t="s">
        <v>25</v>
      </c>
      <c r="C11" s="34"/>
      <c r="D11" s="34"/>
      <c r="E11" s="34"/>
      <c r="F11" s="34"/>
      <c r="G11" s="34"/>
    </row>
    <row r="12" spans="1:9" x14ac:dyDescent="0.3">
      <c r="A12" s="5" t="s">
        <v>28</v>
      </c>
    </row>
    <row r="13" spans="1:9" x14ac:dyDescent="0.3">
      <c r="A13" s="35" t="s">
        <v>300</v>
      </c>
      <c r="B13" s="30"/>
      <c r="C13" s="30"/>
      <c r="D13" s="30"/>
      <c r="E13" s="30"/>
      <c r="F13" s="30"/>
      <c r="G13" s="30"/>
    </row>
    <row r="14" spans="1:9" x14ac:dyDescent="0.3">
      <c r="A14" s="30"/>
      <c r="B14" s="30"/>
      <c r="C14" s="30"/>
      <c r="D14" s="30"/>
      <c r="E14" s="30"/>
      <c r="F14" s="30"/>
      <c r="G14" s="30"/>
    </row>
    <row r="16" spans="1:9" x14ac:dyDescent="0.3">
      <c r="A16" s="1" t="s">
        <v>31</v>
      </c>
      <c r="B16" s="1" t="s">
        <v>301</v>
      </c>
      <c r="C16" s="1" t="s">
        <v>302</v>
      </c>
      <c r="D16" s="1" t="s">
        <v>303</v>
      </c>
      <c r="E16" s="1" t="s">
        <v>304</v>
      </c>
      <c r="F16" s="1" t="s">
        <v>305</v>
      </c>
      <c r="G16" s="1" t="s">
        <v>231</v>
      </c>
    </row>
    <row r="17" spans="1:7" x14ac:dyDescent="0.3">
      <c r="A17" s="6">
        <v>1</v>
      </c>
      <c r="B17" s="6" t="s">
        <v>306</v>
      </c>
      <c r="C17" s="7" t="s">
        <v>307</v>
      </c>
      <c r="D17" s="8" t="s">
        <v>308</v>
      </c>
      <c r="E17" s="6" t="s">
        <v>83</v>
      </c>
      <c r="F17" s="7" t="s">
        <v>144</v>
      </c>
      <c r="G17" s="7" t="s">
        <v>309</v>
      </c>
    </row>
    <row r="18" spans="1:7" x14ac:dyDescent="0.3">
      <c r="A18" s="6">
        <v>2</v>
      </c>
      <c r="B18" s="6" t="s">
        <v>310</v>
      </c>
      <c r="C18" s="7" t="s">
        <v>311</v>
      </c>
      <c r="D18" s="9" t="s">
        <v>312</v>
      </c>
      <c r="E18" s="6" t="s">
        <v>313</v>
      </c>
      <c r="F18" s="7" t="s">
        <v>150</v>
      </c>
      <c r="G18" s="7" t="s">
        <v>314</v>
      </c>
    </row>
    <row r="19" spans="1:7" x14ac:dyDescent="0.3">
      <c r="A19" s="6">
        <v>3</v>
      </c>
      <c r="B19" s="6" t="s">
        <v>315</v>
      </c>
      <c r="C19" s="7" t="s">
        <v>316</v>
      </c>
      <c r="D19" s="9" t="s">
        <v>312</v>
      </c>
      <c r="E19" s="6" t="s">
        <v>317</v>
      </c>
      <c r="F19" s="7" t="s">
        <v>144</v>
      </c>
      <c r="G19" s="7" t="s">
        <v>318</v>
      </c>
    </row>
    <row r="20" spans="1:7" x14ac:dyDescent="0.3">
      <c r="A20" s="6">
        <v>4</v>
      </c>
      <c r="B20" s="6" t="s">
        <v>319</v>
      </c>
      <c r="C20" s="7" t="s">
        <v>320</v>
      </c>
      <c r="D20" s="8" t="s">
        <v>308</v>
      </c>
      <c r="E20" s="6" t="s">
        <v>76</v>
      </c>
      <c r="F20" s="7" t="s">
        <v>144</v>
      </c>
      <c r="G20" s="7" t="s">
        <v>321</v>
      </c>
    </row>
    <row r="21" spans="1:7" x14ac:dyDescent="0.3">
      <c r="A21" s="6">
        <v>5</v>
      </c>
      <c r="B21" s="6" t="s">
        <v>322</v>
      </c>
      <c r="C21" s="7" t="s">
        <v>323</v>
      </c>
      <c r="D21" s="8" t="s">
        <v>308</v>
      </c>
      <c r="E21" s="6" t="s">
        <v>212</v>
      </c>
      <c r="F21" s="7" t="s">
        <v>155</v>
      </c>
      <c r="G21" s="7" t="s">
        <v>324</v>
      </c>
    </row>
    <row r="22" spans="1:7" x14ac:dyDescent="0.3">
      <c r="A22" s="6">
        <v>6</v>
      </c>
      <c r="B22" s="6" t="s">
        <v>325</v>
      </c>
      <c r="C22" s="7" t="s">
        <v>326</v>
      </c>
      <c r="D22" s="9" t="s">
        <v>312</v>
      </c>
      <c r="E22" s="6" t="s">
        <v>327</v>
      </c>
      <c r="F22" s="7" t="s">
        <v>150</v>
      </c>
      <c r="G22" s="7" t="s">
        <v>328</v>
      </c>
    </row>
    <row r="23" spans="1:7" x14ac:dyDescent="0.3">
      <c r="A23" s="6">
        <v>7</v>
      </c>
      <c r="B23" s="6" t="s">
        <v>329</v>
      </c>
      <c r="C23" s="7" t="s">
        <v>330</v>
      </c>
      <c r="D23" s="9" t="s">
        <v>312</v>
      </c>
      <c r="E23" s="6" t="s">
        <v>331</v>
      </c>
      <c r="F23" s="7" t="s">
        <v>144</v>
      </c>
      <c r="G23" s="7" t="s">
        <v>332</v>
      </c>
    </row>
    <row r="24" spans="1:7" x14ac:dyDescent="0.3">
      <c r="A24" s="6">
        <v>8</v>
      </c>
      <c r="B24" s="6" t="s">
        <v>333</v>
      </c>
      <c r="C24" s="7" t="s">
        <v>334</v>
      </c>
      <c r="D24" s="6" t="s">
        <v>335</v>
      </c>
      <c r="E24" s="6" t="s">
        <v>336</v>
      </c>
      <c r="F24" s="7" t="s">
        <v>150</v>
      </c>
      <c r="G24" s="7" t="s">
        <v>337</v>
      </c>
    </row>
    <row r="29" spans="1:7" x14ac:dyDescent="0.3">
      <c r="A29" s="22" t="s">
        <v>384</v>
      </c>
      <c r="B29" s="24"/>
      <c r="C29" s="24"/>
      <c r="E29" s="22" t="s">
        <v>385</v>
      </c>
      <c r="F29" s="24"/>
      <c r="G29" s="24"/>
    </row>
    <row r="30" spans="1:7" x14ac:dyDescent="0.3">
      <c r="A30" s="23" t="s">
        <v>386</v>
      </c>
      <c r="E30" s="23" t="s">
        <v>386</v>
      </c>
    </row>
    <row r="54" spans="1:1" x14ac:dyDescent="0.3">
      <c r="A54" s="14" t="str">
        <f>HYPERLINK("#'INDICE'!A4","&lt;&lt; Volver al Indice")</f>
        <v>&lt;&lt; Volver al Indice</v>
      </c>
    </row>
  </sheetData>
  <mergeCells count="2">
    <mergeCell ref="B11:G11"/>
    <mergeCell ref="A13:G14"/>
  </mergeCells>
  <dataValidations count="1">
    <dataValidation type="list" allowBlank="1" showInputMessage="1" showErrorMessage="1" sqref="D17:D24" xr:uid="{00000000-0002-0000-0A00-000000000000}">
      <formula1>"Moderado, Adición, Modificacion, Renovacion"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3:G79"/>
  <sheetViews>
    <sheetView workbookViewId="0">
      <selection activeCell="D10" sqref="D10"/>
    </sheetView>
  </sheetViews>
  <sheetFormatPr baseColWidth="10" defaultColWidth="9.109375" defaultRowHeight="15.05" x14ac:dyDescent="0.3"/>
  <cols>
    <col min="1" max="1" width="14" customWidth="1"/>
    <col min="2" max="2" width="45" customWidth="1"/>
    <col min="3" max="3" width="15" customWidth="1"/>
    <col min="4" max="4" width="18" customWidth="1"/>
    <col min="5" max="5" width="35" customWidth="1"/>
    <col min="6" max="6" width="18.44140625" customWidth="1"/>
    <col min="7" max="7" width="11.5546875" customWidth="1"/>
  </cols>
  <sheetData>
    <row r="3" spans="1:7" x14ac:dyDescent="0.3">
      <c r="C3" s="12"/>
    </row>
    <row r="4" spans="1:7" ht="24.05" customHeight="1" x14ac:dyDescent="0.3">
      <c r="G4" s="21" t="s">
        <v>26</v>
      </c>
    </row>
    <row r="5" spans="1:7" x14ac:dyDescent="0.3">
      <c r="C5" s="13" t="s">
        <v>395</v>
      </c>
    </row>
    <row r="6" spans="1:7" x14ac:dyDescent="0.3">
      <c r="C6" s="13" t="s">
        <v>0</v>
      </c>
      <c r="F6" s="4" t="s">
        <v>376</v>
      </c>
      <c r="G6" s="4"/>
    </row>
    <row r="7" spans="1:7" x14ac:dyDescent="0.3">
      <c r="C7" s="13" t="s">
        <v>397</v>
      </c>
      <c r="F7" s="4" t="s">
        <v>377</v>
      </c>
      <c r="G7" s="4"/>
    </row>
    <row r="8" spans="1:7" x14ac:dyDescent="0.3">
      <c r="F8" s="4" t="s">
        <v>378</v>
      </c>
      <c r="G8" s="4"/>
    </row>
    <row r="9" spans="1:7" x14ac:dyDescent="0.3">
      <c r="F9" s="4" t="s">
        <v>379</v>
      </c>
      <c r="G9" s="4"/>
    </row>
    <row r="11" spans="1:7" ht="19.649999999999999" x14ac:dyDescent="0.35">
      <c r="A11" s="5"/>
      <c r="B11" s="40" t="s">
        <v>393</v>
      </c>
      <c r="C11" s="40"/>
      <c r="D11" s="40"/>
      <c r="E11" s="40"/>
    </row>
    <row r="13" spans="1:7" x14ac:dyDescent="0.3">
      <c r="A13" s="5" t="s">
        <v>28</v>
      </c>
    </row>
    <row r="14" spans="1:7" x14ac:dyDescent="0.3">
      <c r="A14" s="35" t="s">
        <v>338</v>
      </c>
      <c r="B14" s="30"/>
      <c r="C14" s="30"/>
      <c r="D14" s="30"/>
      <c r="E14" s="30"/>
    </row>
    <row r="15" spans="1:7" x14ac:dyDescent="0.3">
      <c r="A15" s="30"/>
      <c r="B15" s="30"/>
      <c r="C15" s="30"/>
      <c r="D15" s="30"/>
      <c r="E15" s="30"/>
    </row>
    <row r="16" spans="1:7" x14ac:dyDescent="0.3">
      <c r="A16" s="30"/>
      <c r="B16" s="30"/>
      <c r="C16" s="30"/>
      <c r="D16" s="30"/>
      <c r="E16" s="30"/>
    </row>
    <row r="17" spans="1:5" x14ac:dyDescent="0.3">
      <c r="A17" s="30"/>
      <c r="B17" s="30"/>
      <c r="C17" s="30"/>
      <c r="D17" s="30"/>
      <c r="E17" s="30"/>
    </row>
    <row r="18" spans="1:5" x14ac:dyDescent="0.3">
      <c r="A18" s="30"/>
      <c r="B18" s="30"/>
      <c r="C18" s="30"/>
      <c r="D18" s="30"/>
      <c r="E18" s="30"/>
    </row>
    <row r="20" spans="1:5" x14ac:dyDescent="0.3">
      <c r="A20" s="36" t="s">
        <v>339</v>
      </c>
      <c r="B20" s="30"/>
      <c r="C20" s="30"/>
      <c r="D20" s="30"/>
      <c r="E20" s="30"/>
    </row>
    <row r="22" spans="1:5" x14ac:dyDescent="0.3">
      <c r="A22" s="1" t="s">
        <v>31</v>
      </c>
      <c r="B22" s="1" t="s">
        <v>340</v>
      </c>
      <c r="C22" s="1" t="s">
        <v>42</v>
      </c>
      <c r="D22" s="1" t="s">
        <v>40</v>
      </c>
      <c r="E22" s="1" t="s">
        <v>44</v>
      </c>
    </row>
    <row r="23" spans="1:5" ht="30.15" x14ac:dyDescent="0.3">
      <c r="A23" s="6">
        <v>1</v>
      </c>
      <c r="B23" s="7" t="s">
        <v>341</v>
      </c>
      <c r="C23" s="9" t="s">
        <v>342</v>
      </c>
      <c r="D23" s="7" t="s">
        <v>144</v>
      </c>
      <c r="E23" s="7" t="s">
        <v>343</v>
      </c>
    </row>
    <row r="24" spans="1:5" x14ac:dyDescent="0.3">
      <c r="A24" s="6">
        <v>2</v>
      </c>
      <c r="B24" s="7" t="s">
        <v>344</v>
      </c>
      <c r="C24" s="9" t="s">
        <v>342</v>
      </c>
      <c r="D24" s="7" t="s">
        <v>144</v>
      </c>
      <c r="E24" s="7" t="s">
        <v>345</v>
      </c>
    </row>
    <row r="25" spans="1:5" ht="22.6" customHeight="1" x14ac:dyDescent="0.3">
      <c r="A25" s="6">
        <v>3</v>
      </c>
      <c r="B25" s="7" t="s">
        <v>346</v>
      </c>
      <c r="C25" s="9" t="s">
        <v>342</v>
      </c>
      <c r="D25" s="7" t="s">
        <v>150</v>
      </c>
      <c r="E25" s="7" t="s">
        <v>347</v>
      </c>
    </row>
    <row r="26" spans="1:5" ht="24.75" customHeight="1" x14ac:dyDescent="0.3">
      <c r="A26" s="6">
        <v>4</v>
      </c>
      <c r="B26" s="7" t="s">
        <v>348</v>
      </c>
      <c r="C26" s="9" t="s">
        <v>342</v>
      </c>
      <c r="D26" s="7" t="s">
        <v>349</v>
      </c>
      <c r="E26" s="7" t="s">
        <v>350</v>
      </c>
    </row>
    <row r="27" spans="1:5" x14ac:dyDescent="0.3">
      <c r="A27" s="6">
        <v>5</v>
      </c>
      <c r="B27" s="7" t="s">
        <v>351</v>
      </c>
      <c r="C27" s="8" t="s">
        <v>352</v>
      </c>
      <c r="D27" s="7" t="s">
        <v>144</v>
      </c>
      <c r="E27" s="7" t="s">
        <v>353</v>
      </c>
    </row>
    <row r="28" spans="1:5" ht="20.3" customHeight="1" x14ac:dyDescent="0.3">
      <c r="A28" s="6">
        <v>6</v>
      </c>
      <c r="B28" s="7" t="s">
        <v>354</v>
      </c>
      <c r="C28" s="10" t="s">
        <v>68</v>
      </c>
      <c r="D28" s="7" t="s">
        <v>144</v>
      </c>
      <c r="E28" s="7" t="s">
        <v>355</v>
      </c>
    </row>
    <row r="29" spans="1:5" ht="30.15" x14ac:dyDescent="0.3">
      <c r="A29" s="6">
        <v>7</v>
      </c>
      <c r="B29" s="7" t="s">
        <v>356</v>
      </c>
      <c r="C29" s="10" t="s">
        <v>68</v>
      </c>
      <c r="D29" s="7" t="s">
        <v>144</v>
      </c>
      <c r="E29" s="7" t="s">
        <v>357</v>
      </c>
    </row>
    <row r="30" spans="1:5" x14ac:dyDescent="0.3">
      <c r="A30" s="6">
        <v>8</v>
      </c>
      <c r="B30" s="7" t="s">
        <v>358</v>
      </c>
      <c r="C30" s="10" t="s">
        <v>68</v>
      </c>
      <c r="D30" s="7" t="s">
        <v>144</v>
      </c>
      <c r="E30" s="7" t="s">
        <v>359</v>
      </c>
    </row>
    <row r="31" spans="1:5" ht="25.55" customHeight="1" x14ac:dyDescent="0.3">
      <c r="A31" s="6">
        <v>9</v>
      </c>
      <c r="B31" s="7" t="s">
        <v>360</v>
      </c>
      <c r="C31" s="10" t="s">
        <v>68</v>
      </c>
      <c r="D31" s="7" t="s">
        <v>144</v>
      </c>
      <c r="E31" s="7" t="s">
        <v>361</v>
      </c>
    </row>
    <row r="32" spans="1:5" x14ac:dyDescent="0.3">
      <c r="A32" s="6">
        <v>10</v>
      </c>
      <c r="B32" s="7" t="s">
        <v>362</v>
      </c>
      <c r="C32" s="10" t="s">
        <v>68</v>
      </c>
      <c r="D32" s="7" t="s">
        <v>144</v>
      </c>
      <c r="E32" s="7" t="s">
        <v>363</v>
      </c>
    </row>
    <row r="34" spans="1:5" x14ac:dyDescent="0.3">
      <c r="A34" s="36" t="s">
        <v>364</v>
      </c>
      <c r="B34" s="30"/>
      <c r="C34" s="30"/>
      <c r="D34" s="30"/>
      <c r="E34" s="30"/>
    </row>
    <row r="35" spans="1:5" x14ac:dyDescent="0.3">
      <c r="A35" s="35" t="s">
        <v>365</v>
      </c>
      <c r="B35" s="30"/>
      <c r="C35" s="30"/>
      <c r="D35" s="30"/>
      <c r="E35" s="30"/>
    </row>
    <row r="36" spans="1:5" x14ac:dyDescent="0.3">
      <c r="A36" s="35" t="s">
        <v>366</v>
      </c>
      <c r="B36" s="30"/>
      <c r="C36" s="30"/>
      <c r="D36" s="30"/>
      <c r="E36" s="30"/>
    </row>
    <row r="37" spans="1:5" x14ac:dyDescent="0.3">
      <c r="A37" s="35" t="s">
        <v>367</v>
      </c>
      <c r="B37" s="30"/>
      <c r="C37" s="30"/>
      <c r="D37" s="30"/>
      <c r="E37" s="30"/>
    </row>
    <row r="38" spans="1:5" x14ac:dyDescent="0.3">
      <c r="A38" s="35" t="s">
        <v>368</v>
      </c>
      <c r="B38" s="30"/>
      <c r="C38" s="30"/>
      <c r="D38" s="30"/>
      <c r="E38" s="30"/>
    </row>
    <row r="39" spans="1:5" x14ac:dyDescent="0.3">
      <c r="A39" s="35" t="s">
        <v>369</v>
      </c>
      <c r="B39" s="30"/>
      <c r="C39" s="30"/>
      <c r="D39" s="30"/>
      <c r="E39" s="30"/>
    </row>
    <row r="41" spans="1:5" x14ac:dyDescent="0.3">
      <c r="A41" s="36" t="s">
        <v>370</v>
      </c>
      <c r="B41" s="30"/>
      <c r="C41" s="30"/>
      <c r="D41" s="30"/>
      <c r="E41" s="30"/>
    </row>
    <row r="42" spans="1:5" x14ac:dyDescent="0.3">
      <c r="A42" s="35" t="s">
        <v>371</v>
      </c>
      <c r="B42" s="30"/>
      <c r="C42" s="30"/>
      <c r="D42" s="30"/>
      <c r="E42" s="30"/>
    </row>
    <row r="43" spans="1:5" x14ac:dyDescent="0.3">
      <c r="A43" s="35" t="s">
        <v>372</v>
      </c>
      <c r="B43" s="30"/>
      <c r="C43" s="30"/>
      <c r="D43" s="30"/>
      <c r="E43" s="30"/>
    </row>
    <row r="44" spans="1:5" x14ac:dyDescent="0.3">
      <c r="A44" s="35" t="s">
        <v>373</v>
      </c>
      <c r="B44" s="30"/>
      <c r="C44" s="30"/>
      <c r="D44" s="30"/>
      <c r="E44" s="30"/>
    </row>
    <row r="45" spans="1:5" x14ac:dyDescent="0.3">
      <c r="A45" s="35" t="s">
        <v>374</v>
      </c>
      <c r="B45" s="30"/>
      <c r="C45" s="30"/>
      <c r="D45" s="30"/>
      <c r="E45" s="30"/>
    </row>
    <row r="46" spans="1:5" x14ac:dyDescent="0.3">
      <c r="A46" s="35" t="s">
        <v>375</v>
      </c>
      <c r="B46" s="30"/>
      <c r="C46" s="30"/>
      <c r="D46" s="30"/>
      <c r="E46" s="30"/>
    </row>
    <row r="54" spans="1:6" x14ac:dyDescent="0.3">
      <c r="A54" s="22" t="s">
        <v>384</v>
      </c>
      <c r="B54" s="24"/>
      <c r="C54" s="24"/>
      <c r="D54" s="22" t="s">
        <v>385</v>
      </c>
      <c r="E54" s="24"/>
      <c r="F54" s="24"/>
    </row>
    <row r="55" spans="1:6" x14ac:dyDescent="0.3">
      <c r="A55" s="23" t="s">
        <v>386</v>
      </c>
      <c r="D55" s="23" t="s">
        <v>386</v>
      </c>
    </row>
    <row r="79" spans="1:1" x14ac:dyDescent="0.3">
      <c r="A79" s="14" t="str">
        <f>HYPERLINK("#'INDICE'!A4","&lt;&lt; Volver al Indice")</f>
        <v>&lt;&lt; Volver al Indice</v>
      </c>
    </row>
  </sheetData>
  <mergeCells count="15">
    <mergeCell ref="A46:E46"/>
    <mergeCell ref="A45:E45"/>
    <mergeCell ref="A37:E37"/>
    <mergeCell ref="A41:E41"/>
    <mergeCell ref="B11:E11"/>
    <mergeCell ref="A36:E36"/>
    <mergeCell ref="A35:E35"/>
    <mergeCell ref="A44:E44"/>
    <mergeCell ref="A34:E34"/>
    <mergeCell ref="A43:E43"/>
    <mergeCell ref="A38:E38"/>
    <mergeCell ref="A39:E39"/>
    <mergeCell ref="A14:E18"/>
    <mergeCell ref="A20:E20"/>
    <mergeCell ref="A42:E42"/>
  </mergeCells>
  <dataValidations count="1">
    <dataValidation type="list" allowBlank="1" showInputMessage="1" showErrorMessage="1" sqref="C23:C32" xr:uid="{00000000-0002-0000-0B00-000000000000}">
      <formula1>"Completado, En Proceso, Pendiente"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INDICE</vt:lpstr>
      <vt:lpstr>S</vt:lpstr>
      <vt:lpstr>S-1</vt:lpstr>
      <vt:lpstr>S-2</vt:lpstr>
      <vt:lpstr>S-3</vt:lpstr>
      <vt:lpstr>S-4</vt:lpstr>
      <vt:lpstr>S-5</vt:lpstr>
      <vt:lpstr>S-6</vt:lpstr>
      <vt:lpstr>S-7</vt:lpstr>
      <vt:lpstr>S-8</vt:lpstr>
      <vt:lpstr>S-9</vt:lpstr>
      <vt:lpstr>S-10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Ángel</cp:lastModifiedBy>
  <dcterms:created xsi:type="dcterms:W3CDTF">2025-10-31T02:28:02Z</dcterms:created>
  <dcterms:modified xsi:type="dcterms:W3CDTF">2025-11-14T04:27:35Z</dcterms:modified>
</cp:coreProperties>
</file>