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uisc\Desktop\Proyectos Freelancer\sistema-audita-revisoria\static\templates_base_revisoria\1 PLANEACION\"/>
    </mc:Choice>
  </mc:AlternateContent>
  <xr:revisionPtr revIDLastSave="0" documentId="13_ncr:1_{2C57D986-C5D8-48B2-8B2E-2F64E4956950}" xr6:coauthVersionLast="47" xr6:coauthVersionMax="47" xr10:uidLastSave="{00000000-0000-0000-0000-000000000000}"/>
  <bookViews>
    <workbookView xWindow="-118" yWindow="-118" windowWidth="25370" windowHeight="13667" xr2:uid="{00000000-000D-0000-FFFF-FFFF00000000}"/>
  </bookViews>
  <sheets>
    <sheet name="INDICE" sheetId="1" r:id="rId1"/>
    <sheet name="AP" sheetId="2" r:id="rId2"/>
    <sheet name="AP-01" sheetId="3" r:id="rId3"/>
    <sheet name="AP-02" sheetId="4" r:id="rId4"/>
    <sheet name="AP-03" sheetId="5" r:id="rId5"/>
    <sheet name="AP-04" sheetId="6" r:id="rId6"/>
    <sheet name="AP-05" sheetId="7" r:id="rId7"/>
    <sheet name="AP-06" sheetId="8" r:id="rId8"/>
    <sheet name="AP-07" sheetId="9" r:id="rId9"/>
    <sheet name="AP-08" sheetId="10" r:id="rId10"/>
    <sheet name="AP-09" sheetId="11" r:id="rId11"/>
    <sheet name="AP-10" sheetId="12" r:id="rId12"/>
    <sheet name="AP-11" sheetId="13" r:id="rId13"/>
    <sheet name="AP-12" sheetId="14" r:id="rId14"/>
    <sheet name="AC" sheetId="15" r:id="rId15"/>
    <sheet name="AC-P01" sheetId="16" r:id="rId16"/>
    <sheet name="AC-P02" sheetId="17" r:id="rId17"/>
    <sheet name="AC-P03" sheetId="18" r:id="rId18"/>
    <sheet name="AC-P04" sheetId="20" r:id="rId19"/>
    <sheet name="AC-P05" sheetId="19" r:id="rId20"/>
    <sheet name="AC-P06" sheetId="21" r:id="rId21"/>
    <sheet name="AC-P07" sheetId="22" r:id="rId22"/>
    <sheet name="AC-P08" sheetId="23" r:id="rId23"/>
    <sheet name="AC-P09" sheetId="24" r:id="rId24"/>
    <sheet name="AC-P10" sheetId="25" r:id="rId25"/>
    <sheet name="AC-P11" sheetId="26" r:id="rId26"/>
    <sheet name="AC-P12"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22" l="1"/>
  <c r="A54" i="10" l="1"/>
  <c r="A103" i="27" l="1"/>
  <c r="A47" i="26"/>
  <c r="A96" i="25"/>
  <c r="A86" i="24"/>
  <c r="A56" i="23"/>
  <c r="A53" i="21"/>
  <c r="A63" i="19"/>
  <c r="A82" i="20"/>
  <c r="A122" i="18"/>
  <c r="A53" i="17"/>
  <c r="A67" i="16"/>
  <c r="A62" i="14"/>
  <c r="A46" i="13"/>
  <c r="A53" i="12"/>
  <c r="A59" i="11"/>
  <c r="A59" i="9"/>
  <c r="A79" i="8"/>
  <c r="A57" i="7"/>
  <c r="A52" i="6"/>
  <c r="A52" i="5"/>
  <c r="A74" i="4"/>
  <c r="C67" i="3"/>
  <c r="C68" i="3"/>
  <c r="D33" i="25" l="1"/>
  <c r="D29" i="25"/>
  <c r="C29" i="25"/>
  <c r="F28" i="25"/>
  <c r="G28" i="25" s="1"/>
  <c r="E28" i="25"/>
  <c r="F27" i="25"/>
  <c r="G27" i="25" s="1"/>
  <c r="E27" i="25"/>
  <c r="F26" i="25"/>
  <c r="G26" i="25" s="1"/>
  <c r="E26" i="25"/>
  <c r="E25" i="25"/>
  <c r="F25" i="25" s="1"/>
  <c r="G25" i="25" s="1"/>
  <c r="E24" i="25"/>
  <c r="F24" i="25" s="1"/>
  <c r="G24" i="25" s="1"/>
  <c r="E23" i="25"/>
  <c r="F23" i="25" s="1"/>
  <c r="G23" i="25" s="1"/>
  <c r="E22" i="25"/>
  <c r="F22" i="25" s="1"/>
  <c r="G22" i="25" s="1"/>
  <c r="E21" i="25"/>
  <c r="F21" i="25" s="1"/>
  <c r="G21" i="25" s="1"/>
  <c r="E20" i="25"/>
  <c r="F20" i="25" s="1"/>
  <c r="G20" i="25" s="1"/>
  <c r="E19" i="25"/>
  <c r="F19" i="25" s="1"/>
  <c r="G19" i="25" s="1"/>
  <c r="E18" i="25"/>
  <c r="F18" i="25" s="1"/>
  <c r="G18" i="25" s="1"/>
  <c r="E17" i="25"/>
  <c r="F17" i="25" s="1"/>
  <c r="G17" i="25" s="1"/>
  <c r="E16" i="25"/>
  <c r="F16" i="25" s="1"/>
  <c r="G16" i="25" s="1"/>
  <c r="E15" i="25"/>
  <c r="F14" i="25"/>
  <c r="G14" i="25" s="1"/>
  <c r="E29" i="25" l="1"/>
  <c r="D39" i="25" s="1"/>
  <c r="F15" i="25"/>
  <c r="G15" i="25" s="1"/>
  <c r="C47" i="25"/>
  <c r="D36" i="25"/>
  <c r="C46" i="25"/>
  <c r="D35" i="25"/>
  <c r="D37" i="25"/>
  <c r="C45" i="25"/>
  <c r="D34" i="25"/>
  <c r="D41" i="25"/>
  <c r="D38" i="25"/>
  <c r="B36" i="24"/>
  <c r="B35" i="24"/>
  <c r="E25" i="24"/>
  <c r="E26" i="24" s="1"/>
  <c r="E22" i="24"/>
  <c r="E20" i="24"/>
  <c r="E18" i="24"/>
  <c r="E16" i="24"/>
  <c r="E14" i="24"/>
  <c r="B42" i="24" s="1"/>
  <c r="F29" i="25" l="1"/>
  <c r="D40" i="25" s="1"/>
  <c r="B33" i="24"/>
  <c r="B40" i="24"/>
  <c r="B32" i="24"/>
  <c r="B30" i="24"/>
  <c r="B34" i="24"/>
  <c r="B41" i="24"/>
  <c r="B31" i="24"/>
  <c r="B32" i="22"/>
  <c r="H28" i="22"/>
  <c r="B38" i="22" s="1"/>
  <c r="F28" i="22"/>
  <c r="B37" i="22" s="1"/>
  <c r="E27" i="22"/>
  <c r="G26" i="22"/>
  <c r="E26" i="22"/>
  <c r="G25" i="22"/>
  <c r="E25" i="22"/>
  <c r="G24" i="22"/>
  <c r="E24" i="22"/>
  <c r="G23" i="22"/>
  <c r="E23" i="22"/>
  <c r="G22" i="22"/>
  <c r="E22" i="22"/>
  <c r="G21" i="22"/>
  <c r="E21" i="22"/>
  <c r="G20" i="22"/>
  <c r="E20" i="22"/>
  <c r="G19" i="22"/>
  <c r="E19" i="22"/>
  <c r="G18" i="22"/>
  <c r="E18" i="22"/>
  <c r="G17" i="22"/>
  <c r="E17" i="22"/>
  <c r="G16" i="22"/>
  <c r="B44" i="22" s="1"/>
  <c r="E16" i="22"/>
  <c r="B30" i="19"/>
  <c r="B29" i="19"/>
  <c r="D17" i="19"/>
  <c r="D16" i="19"/>
  <c r="D15" i="19"/>
  <c r="D44" i="18"/>
  <c r="D43" i="18"/>
  <c r="D42" i="18"/>
  <c r="D41" i="18"/>
  <c r="D40" i="18"/>
  <c r="D39" i="18"/>
  <c r="D38" i="18"/>
  <c r="D37" i="18"/>
  <c r="G29" i="8"/>
  <c r="F29" i="8"/>
  <c r="G28" i="8"/>
  <c r="F28" i="8"/>
  <c r="G27" i="8"/>
  <c r="F27" i="8"/>
  <c r="G26" i="8"/>
  <c r="F26" i="8"/>
  <c r="G25" i="8"/>
  <c r="F25" i="8"/>
  <c r="G24" i="8"/>
  <c r="F24" i="8"/>
  <c r="G23" i="8"/>
  <c r="F23" i="8"/>
  <c r="G22" i="8"/>
  <c r="F22" i="8"/>
  <c r="G21" i="8"/>
  <c r="F21" i="8"/>
  <c r="G20" i="8"/>
  <c r="F20" i="8"/>
  <c r="G19" i="8"/>
  <c r="F19" i="8"/>
  <c r="G18" i="8"/>
  <c r="F18" i="8"/>
  <c r="G17" i="8"/>
  <c r="F17" i="8"/>
  <c r="G16" i="8"/>
  <c r="F16" i="8"/>
  <c r="G15" i="8"/>
  <c r="F15" i="8"/>
  <c r="A106" i="3"/>
  <c r="E68" i="3"/>
  <c r="E67" i="3"/>
  <c r="F41" i="3"/>
  <c r="E41" i="3"/>
  <c r="F21" i="3"/>
  <c r="F12" i="3"/>
  <c r="F43" i="8" l="1"/>
  <c r="B34" i="22"/>
  <c r="B35" i="22"/>
  <c r="B42" i="22"/>
  <c r="B36" i="22"/>
  <c r="B43" i="22"/>
  <c r="B33" i="22"/>
  <c r="D44" i="8"/>
  <c r="F42" i="8"/>
  <c r="A108" i="26"/>
  <c r="E31" i="26"/>
  <c r="E30" i="26"/>
  <c r="E29" i="26"/>
  <c r="E28" i="26"/>
  <c r="E27" i="26"/>
  <c r="F22" i="26"/>
  <c r="F21" i="26"/>
  <c r="F20" i="26"/>
  <c r="F19" i="26"/>
  <c r="F18" i="26"/>
  <c r="F17" i="26"/>
  <c r="F16" i="26"/>
  <c r="F15" i="26"/>
  <c r="A108" i="23"/>
  <c r="A83" i="22"/>
  <c r="A108" i="21"/>
  <c r="A107" i="20"/>
  <c r="D51" i="20"/>
  <c r="A88" i="19"/>
  <c r="A108" i="17"/>
  <c r="A108" i="16"/>
  <c r="A100" i="15"/>
  <c r="F15" i="15"/>
  <c r="F14" i="15"/>
  <c r="F13" i="15"/>
  <c r="F12" i="15"/>
  <c r="F11" i="15"/>
  <c r="F10" i="15"/>
  <c r="F9" i="15"/>
  <c r="F8" i="15"/>
  <c r="F7" i="15"/>
  <c r="F6" i="15"/>
  <c r="F5" i="15"/>
  <c r="F4" i="15"/>
  <c r="A108" i="14"/>
  <c r="A108" i="13"/>
  <c r="A107" i="12"/>
  <c r="A107" i="11"/>
  <c r="A95" i="10"/>
  <c r="E22" i="10"/>
  <c r="E21" i="10"/>
  <c r="E20" i="10"/>
  <c r="E19" i="10"/>
  <c r="E18" i="10"/>
  <c r="E17" i="10"/>
  <c r="E16" i="10"/>
  <c r="E15" i="10"/>
  <c r="A107" i="9"/>
  <c r="A108" i="8"/>
  <c r="A110" i="7"/>
  <c r="F12" i="7"/>
  <c r="A108" i="6"/>
  <c r="A108" i="5"/>
  <c r="A105" i="4"/>
  <c r="C43" i="4"/>
  <c r="A100" i="2"/>
  <c r="F15" i="2"/>
  <c r="F14" i="2"/>
  <c r="F13" i="2"/>
  <c r="F12" i="2"/>
  <c r="F11" i="2"/>
  <c r="F10" i="2"/>
  <c r="F9" i="2"/>
  <c r="F8" i="2"/>
  <c r="F7" i="2"/>
  <c r="F6" i="2"/>
  <c r="F5" i="2"/>
  <c r="F4" i="2"/>
  <c r="D28" i="1"/>
  <c r="D27" i="1"/>
  <c r="D26" i="1"/>
  <c r="D25" i="1"/>
  <c r="D24" i="1"/>
  <c r="D23" i="1"/>
  <c r="D22" i="1"/>
  <c r="D21" i="1"/>
  <c r="D20" i="1"/>
  <c r="D19" i="1"/>
  <c r="D18" i="1"/>
  <c r="D17" i="1"/>
  <c r="D16" i="1"/>
  <c r="D15" i="1"/>
  <c r="D14" i="1"/>
  <c r="D13" i="1"/>
  <c r="D12" i="1"/>
  <c r="D11" i="1"/>
  <c r="D10" i="1"/>
  <c r="D9" i="1"/>
  <c r="D8" i="1"/>
  <c r="D7" i="1"/>
  <c r="D6" i="1"/>
  <c r="D5" i="1"/>
  <c r="D4" i="1"/>
  <c r="D3" i="1"/>
  <c r="F23" i="26" l="1"/>
  <c r="F40" i="8"/>
  <c r="F41" i="8"/>
  <c r="E32" i="26"/>
  <c r="D49" i="20"/>
  <c r="D50" i="20"/>
  <c r="D52" i="20" l="1"/>
</calcChain>
</file>

<file path=xl/sharedStrings.xml><?xml version="1.0" encoding="utf-8"?>
<sst xmlns="http://schemas.openxmlformats.org/spreadsheetml/2006/main" count="1146" uniqueCount="690">
  <si>
    <t>Auditoria y Revisoria Fiscal</t>
  </si>
  <si>
    <t>FASE</t>
  </si>
  <si>
    <t>REFERENCIA</t>
  </si>
  <si>
    <t>DESCRIPCION</t>
  </si>
  <si>
    <t>ACCESO</t>
  </si>
  <si>
    <t>1. PLANEACION</t>
  </si>
  <si>
    <t>AP</t>
  </si>
  <si>
    <t>Archivo Permanente</t>
  </si>
  <si>
    <t>AP-01</t>
  </si>
  <si>
    <t>Informacion General del Cliente</t>
  </si>
  <si>
    <t>AP-02</t>
  </si>
  <si>
    <t>Estructura Organizacional</t>
  </si>
  <si>
    <t>AP-03</t>
  </si>
  <si>
    <t>Marco Legal y Regulatorio</t>
  </si>
  <si>
    <t>AP-04</t>
  </si>
  <si>
    <t>Politicas Contables</t>
  </si>
  <si>
    <t>AP-05</t>
  </si>
  <si>
    <t>Sistemas de Informacion</t>
  </si>
  <si>
    <t>AP-06</t>
  </si>
  <si>
    <t>Contratos y Convenios</t>
  </si>
  <si>
    <t>AP-07</t>
  </si>
  <si>
    <t>Actas de Junta Directiva</t>
  </si>
  <si>
    <t>AP-08</t>
  </si>
  <si>
    <t>Estados Financieros Anteriores</t>
  </si>
  <si>
    <t>AP-09</t>
  </si>
  <si>
    <t>Informes de Auditoria Anteriores</t>
  </si>
  <si>
    <t>AP-10</t>
  </si>
  <si>
    <t>Correspondencia Importante</t>
  </si>
  <si>
    <t>AP-11</t>
  </si>
  <si>
    <t>Documentos Legales</t>
  </si>
  <si>
    <t>AP-12</t>
  </si>
  <si>
    <t>Otros Documentos Permanentes</t>
  </si>
  <si>
    <t>AC</t>
  </si>
  <si>
    <t>Archivo Corriente - Planeacion</t>
  </si>
  <si>
    <t>AC-P01</t>
  </si>
  <si>
    <t>Carta de Compromiso</t>
  </si>
  <si>
    <t>AC-P02</t>
  </si>
  <si>
    <t>Evaluacion de Independencia</t>
  </si>
  <si>
    <t>AC-P03</t>
  </si>
  <si>
    <t>Conocimiento del Negocio</t>
  </si>
  <si>
    <t>AC-P04</t>
  </si>
  <si>
    <t>Evaluacion de Riesgos</t>
  </si>
  <si>
    <t>AC-P05</t>
  </si>
  <si>
    <t>Materialidad</t>
  </si>
  <si>
    <t>AC-P06</t>
  </si>
  <si>
    <t>Estrategia de Auditoria</t>
  </si>
  <si>
    <t>AC-P07</t>
  </si>
  <si>
    <t>Plan de Auditoria</t>
  </si>
  <si>
    <t>AC-P08</t>
  </si>
  <si>
    <t>Programa de Auditoria</t>
  </si>
  <si>
    <t>AC-P09</t>
  </si>
  <si>
    <t>Evaluacion de Control Interno</t>
  </si>
  <si>
    <t>AC-P10</t>
  </si>
  <si>
    <t>Pruebas de Controles</t>
  </si>
  <si>
    <t>AC-P11</t>
  </si>
  <si>
    <t>Equipo de Trabajo y Presupuesto</t>
  </si>
  <si>
    <t>AC-P12</t>
  </si>
  <si>
    <t>Memorando de Planeacion</t>
  </si>
  <si>
    <t>ARCHIVO PERMANENTE</t>
  </si>
  <si>
    <t>Contenido del Archivo Permanente</t>
  </si>
  <si>
    <t>Información General del Cliente</t>
  </si>
  <si>
    <t>Políticas Contables</t>
  </si>
  <si>
    <t>Sistemas de Información</t>
  </si>
  <si>
    <t>Informes de Auditoría Anteriores</t>
  </si>
  <si>
    <t>No.</t>
  </si>
  <si>
    <t>AP-02: Estructura Organizacional</t>
  </si>
  <si>
    <t>Cliente:</t>
  </si>
  <si>
    <t>Fecha:</t>
  </si>
  <si>
    <t>Preparado:</t>
  </si>
  <si>
    <t>Revisado:</t>
  </si>
  <si>
    <t>1. ORGANIGRAMA</t>
  </si>
  <si>
    <t>Adjuntar organigrama actualizado de la empresa</t>
  </si>
  <si>
    <t>2. ÁREAS Y DEPARTAMENTOS</t>
  </si>
  <si>
    <t>Área/Depto</t>
  </si>
  <si>
    <t>Responsable</t>
  </si>
  <si>
    <t>No. Empleados</t>
  </si>
  <si>
    <t>Funciones Principales</t>
  </si>
  <si>
    <t>Gerencia General</t>
  </si>
  <si>
    <t>Administrativa</t>
  </si>
  <si>
    <t>Financiera</t>
  </si>
  <si>
    <t>Comercial</t>
  </si>
  <si>
    <t>Operaciones</t>
  </si>
  <si>
    <t>Recursos Humanos</t>
  </si>
  <si>
    <t>Tecnología</t>
  </si>
  <si>
    <t>Legal</t>
  </si>
  <si>
    <t>TOTAL EMPLEADOS</t>
  </si>
  <si>
    <t>AP-03: Marco Legal y Regulatorio</t>
  </si>
  <si>
    <t>1. MARCO NORMATIVO APLICABLE</t>
  </si>
  <si>
    <t>Norma de Información Financiera:</t>
  </si>
  <si>
    <t>Entidad de Vigilancia:</t>
  </si>
  <si>
    <t>Normatividad Aplicable:</t>
  </si>
  <si>
    <t>Regulación Específica Sector:</t>
  </si>
  <si>
    <t>2. DOCUMENTOS LEGALES</t>
  </si>
  <si>
    <t>Documento</t>
  </si>
  <si>
    <t>Fecha</t>
  </si>
  <si>
    <t>No. Escritura</t>
  </si>
  <si>
    <t>Notaría</t>
  </si>
  <si>
    <t>Estado</t>
  </si>
  <si>
    <t>Observaciones</t>
  </si>
  <si>
    <t>Escritura Constitución</t>
  </si>
  <si>
    <t>Estatutos Vigentes</t>
  </si>
  <si>
    <t>RUT</t>
  </si>
  <si>
    <t>Cámara de Comercio</t>
  </si>
  <si>
    <t>Certificado Existencia</t>
  </si>
  <si>
    <t>1. POLÍTICAS CONTABLES PRINCIPALES</t>
  </si>
  <si>
    <t>Área</t>
  </si>
  <si>
    <t>Política Aplicada</t>
  </si>
  <si>
    <t>Efectivo</t>
  </si>
  <si>
    <t>Inversiones</t>
  </si>
  <si>
    <t>Cuentas por Cobrar</t>
  </si>
  <si>
    <t>Inventarios</t>
  </si>
  <si>
    <t>Propiedades</t>
  </si>
  <si>
    <t>Pasivos</t>
  </si>
  <si>
    <t>Ingresos</t>
  </si>
  <si>
    <t>Gastos</t>
  </si>
  <si>
    <t>Impuestos</t>
  </si>
  <si>
    <t>1. SOFTWARE Y SISTEMAS</t>
  </si>
  <si>
    <t>Sistema</t>
  </si>
  <si>
    <t>Proveedor</t>
  </si>
  <si>
    <t>Versión</t>
  </si>
  <si>
    <t>Módulos</t>
  </si>
  <si>
    <t>No. Usuarios</t>
  </si>
  <si>
    <t>Última Actualiz.</t>
  </si>
  <si>
    <t>Contable</t>
  </si>
  <si>
    <t>Facturación</t>
  </si>
  <si>
    <t>Nómina</t>
  </si>
  <si>
    <t>CRM</t>
  </si>
  <si>
    <t>ERP</t>
  </si>
  <si>
    <t>2. CONTROLES DE SEGURIDAD</t>
  </si>
  <si>
    <t>¿Existen respaldos periódicos?</t>
  </si>
  <si>
    <t>¿Control de acceso por usuario?</t>
  </si>
  <si>
    <t>¿Segregación de funciones?</t>
  </si>
  <si>
    <t>¿Plan de contingencia?</t>
  </si>
  <si>
    <t>AP-06: Contratos y Convenios</t>
  </si>
  <si>
    <t>1. CONTRATOS PRINCIPALES</t>
  </si>
  <si>
    <t>Tipo Contrato</t>
  </si>
  <si>
    <t>Contraparte</t>
  </si>
  <si>
    <t>Fecha Inicio</t>
  </si>
  <si>
    <t>Fecha Fin</t>
  </si>
  <si>
    <t>Valor</t>
  </si>
  <si>
    <t>1. REGISTRO DE ACTAS</t>
  </si>
  <si>
    <t>No. Acta</t>
  </si>
  <si>
    <t>Tipo Reunión</t>
  </si>
  <si>
    <t>Temas Principales</t>
  </si>
  <si>
    <t>Decisiones</t>
  </si>
  <si>
    <t>Archivo</t>
  </si>
  <si>
    <t>1. INFORMACIÓN FINANCIERA HISTÓRICA</t>
  </si>
  <si>
    <t>Concepto</t>
  </si>
  <si>
    <t>Año -3</t>
  </si>
  <si>
    <t>Año -2</t>
  </si>
  <si>
    <t>Año -1</t>
  </si>
  <si>
    <t>Variación %</t>
  </si>
  <si>
    <t>Activo Total</t>
  </si>
  <si>
    <t>Pasivo Total</t>
  </si>
  <si>
    <t>Patrimonio</t>
  </si>
  <si>
    <t>Costos</t>
  </si>
  <si>
    <t>Gastos Operac.</t>
  </si>
  <si>
    <t>Utilidad Operac.</t>
  </si>
  <si>
    <t>Utilidad Neta</t>
  </si>
  <si>
    <t>1. HISTORIAL DE AUDITORÍAS</t>
  </si>
  <si>
    <t>Periodo</t>
  </si>
  <si>
    <t>Auditor</t>
  </si>
  <si>
    <t>Tipo Opinión</t>
  </si>
  <si>
    <t>Hallazgos Principales</t>
  </si>
  <si>
    <t>1. REGISTRO DE CORRESPONDENCIA</t>
  </si>
  <si>
    <t>Remitente</t>
  </si>
  <si>
    <t>Asunto</t>
  </si>
  <si>
    <t>Tipo</t>
  </si>
  <si>
    <t>Requiere Acción</t>
  </si>
  <si>
    <t>1. DOCUMENTOS LEGALES PRINCIPALES</t>
  </si>
  <si>
    <t>No./Referencia</t>
  </si>
  <si>
    <t>Vigencia</t>
  </si>
  <si>
    <t>Ubicación</t>
  </si>
  <si>
    <t>Cámara Comercio</t>
  </si>
  <si>
    <t>Licencias</t>
  </si>
  <si>
    <t>Permisos Operación</t>
  </si>
  <si>
    <t>Pólizas Seguros</t>
  </si>
  <si>
    <t>Patentes/Marcas</t>
  </si>
  <si>
    <t>Contratos Principales</t>
  </si>
  <si>
    <t>1. OTROS DOCUMENTOS DE ARCHIVO PERMANENTE</t>
  </si>
  <si>
    <t>Tipo Documento</t>
  </si>
  <si>
    <t>Descripción</t>
  </si>
  <si>
    <t>Relevancia</t>
  </si>
  <si>
    <t>Notas</t>
  </si>
  <si>
    <t>ARCHIVO CORRIENTE - PLANEACIÓN</t>
  </si>
  <si>
    <t>Contenido del Archivo Corriente</t>
  </si>
  <si>
    <t>Evaluación de Independencia</t>
  </si>
  <si>
    <t>Evaluación de Riesgos</t>
  </si>
  <si>
    <t>Estrategia de Auditoría</t>
  </si>
  <si>
    <t>Plan de Auditoría</t>
  </si>
  <si>
    <t>Programa de Auditoría</t>
  </si>
  <si>
    <t>Evaluación de Control Interno</t>
  </si>
  <si>
    <t>Memorando de Planeación</t>
  </si>
  <si>
    <t>1. DATOS DEL COMPROMISO</t>
  </si>
  <si>
    <t>Fecha de la carta:</t>
  </si>
  <si>
    <t>Dirigida a:</t>
  </si>
  <si>
    <t>Periodo a auditar:</t>
  </si>
  <si>
    <t>Tipo de trabajo:</t>
  </si>
  <si>
    <t>Fecha aceptación cliente:</t>
  </si>
  <si>
    <t>2. ALCANCE DEL TRABAJO</t>
  </si>
  <si>
    <t>Detallar el alcance acordado con el cliente</t>
  </si>
  <si>
    <t>3. HONORARIOS Y CONDICIONES</t>
  </si>
  <si>
    <t>Valor honorarios:</t>
  </si>
  <si>
    <t>Forma de pago:</t>
  </si>
  <si>
    <t>Gastos adicionales:</t>
  </si>
  <si>
    <t>1. CUESTIONARIO DE INDEPENDENCIA</t>
  </si>
  <si>
    <t>Pregunta</t>
  </si>
  <si>
    <t>SI</t>
  </si>
  <si>
    <t>NO</t>
  </si>
  <si>
    <t>N/A</t>
  </si>
  <si>
    <t>¿Existe relación familiar con personal del cliente?</t>
  </si>
  <si>
    <t>¿Tiene inversiones financieras en el cliente?</t>
  </si>
  <si>
    <t>¿Ha prestado servicios de asesoría a la gerencia?</t>
  </si>
  <si>
    <t>¿Ha realizado trabajos de contabilidad para el cliente?</t>
  </si>
  <si>
    <t>¿Existe algún interés financiero directo?</t>
  </si>
  <si>
    <t>¿Ha sido empleado del cliente en los últimos 2 años?</t>
  </si>
  <si>
    <t>¿Existen honorarios pendientes de periodos anteriores?</t>
  </si>
  <si>
    <t>¿Existe alguna contingencia legal con el cliente?</t>
  </si>
  <si>
    <t>2. CONCLUSIÓN SOBRE INDEPENDENCIA</t>
  </si>
  <si>
    <t>1. NATURALEZA DEL NEGOCIO</t>
  </si>
  <si>
    <t>Productos/Servicios:</t>
  </si>
  <si>
    <t>Mercado objetivo:</t>
  </si>
  <si>
    <t>Principales clientes:</t>
  </si>
  <si>
    <t>Principales proveedores:</t>
  </si>
  <si>
    <t>Competencia:</t>
  </si>
  <si>
    <t>Factores clave de éxito:</t>
  </si>
  <si>
    <t>2. ENTORNO Y RIESGOS DEL SECTOR</t>
  </si>
  <si>
    <t>1. CÁLCULO DE MATERIALIDAD</t>
  </si>
  <si>
    <t>Base de Cálculo</t>
  </si>
  <si>
    <t>Monto</t>
  </si>
  <si>
    <t>% Aplicado</t>
  </si>
  <si>
    <t>Total Activos</t>
  </si>
  <si>
    <t>Utilidad antes impuestos</t>
  </si>
  <si>
    <t>MATERIALIDAD SELECCIONADA</t>
  </si>
  <si>
    <t>2. MATERIALIDAD DE EJECUCIÓN</t>
  </si>
  <si>
    <t>Materialidad Ejecución (50-75%)</t>
  </si>
  <si>
    <t>Error Tolerable</t>
  </si>
  <si>
    <t>AC-P04: Evaluacion de Riesgos</t>
  </si>
  <si>
    <t>1. MATRIZ DE RIESGOS</t>
  </si>
  <si>
    <t>Area/Proceso</t>
  </si>
  <si>
    <t>Riesgo Identificado</t>
  </si>
  <si>
    <t>Probabilidad</t>
  </si>
  <si>
    <t>Impacto</t>
  </si>
  <si>
    <t>Nivel Riesgo</t>
  </si>
  <si>
    <t>Respuesta</t>
  </si>
  <si>
    <t>2. LEYENDA DE CLASIFICACIÓN</t>
  </si>
  <si>
    <t>PROBABILIDAD</t>
  </si>
  <si>
    <t>IMPACTO</t>
  </si>
  <si>
    <t>NIVEL DE RIESGO</t>
  </si>
  <si>
    <t>Alta: Es muy probable que ocurra</t>
  </si>
  <si>
    <t>Alto: Impacto significativo en EEFF</t>
  </si>
  <si>
    <t>Media: Puede ocurrir ocasionalmente</t>
  </si>
  <si>
    <t>Medio: Impacto moderado</t>
  </si>
  <si>
    <t>Baja: Es poco probable que ocurra</t>
  </si>
  <si>
    <t>Bajo: Impacto mínimo</t>
  </si>
  <si>
    <t>CRÍTICO</t>
  </si>
  <si>
    <t>Requiere atención inmediata</t>
  </si>
  <si>
    <t>ALTO</t>
  </si>
  <si>
    <t>Requiere procedimientos extensos</t>
  </si>
  <si>
    <t>MEDIO</t>
  </si>
  <si>
    <t>Requiere procedimientos moderados</t>
  </si>
  <si>
    <t>BAJO</t>
  </si>
  <si>
    <t>Procedimientos mínimos</t>
  </si>
  <si>
    <t>3. RESUMEN DE RIESGOS IDENTIFICADOS</t>
  </si>
  <si>
    <t>Nivel de Riesgo</t>
  </si>
  <si>
    <t>Cantidad</t>
  </si>
  <si>
    <t>%</t>
  </si>
  <si>
    <t>TOTAL</t>
  </si>
  <si>
    <t>100%</t>
  </si>
  <si>
    <t>1. ENFOQUE DE AUDITORÍA</t>
  </si>
  <si>
    <t>Área/Cuenta</t>
  </si>
  <si>
    <t>Enfoque</t>
  </si>
  <si>
    <t>Justificación</t>
  </si>
  <si>
    <t>Procedimientos Clave</t>
  </si>
  <si>
    <t>Activos Fijos</t>
  </si>
  <si>
    <t>1. CRONOGRAMA DE AUDITORÍA</t>
  </si>
  <si>
    <t>Fase/Actividad</t>
  </si>
  <si>
    <t>Planeación</t>
  </si>
  <si>
    <t>Evaluación Control Interno</t>
  </si>
  <si>
    <t>Pruebas Sustantivas</t>
  </si>
  <si>
    <t>Efectivo y Bancos</t>
  </si>
  <si>
    <t>Comunicación Resultados</t>
  </si>
  <si>
    <t>TOTAL HORAS</t>
  </si>
  <si>
    <t>1. PROGRAMAS DE AUDITORÍA POR ÁREA</t>
  </si>
  <si>
    <t>Procedimiento</t>
  </si>
  <si>
    <t>Objetivo</t>
  </si>
  <si>
    <t>Ref PT</t>
  </si>
  <si>
    <t>Realizado</t>
  </si>
  <si>
    <t>Componente</t>
  </si>
  <si>
    <t>Evaluación</t>
  </si>
  <si>
    <t>Fortalezas</t>
  </si>
  <si>
    <t>Debilidades</t>
  </si>
  <si>
    <t>Calificación</t>
  </si>
  <si>
    <t>Ambiente de Control</t>
  </si>
  <si>
    <t>Actividades de Control</t>
  </si>
  <si>
    <t>Información y Comunicación</t>
  </si>
  <si>
    <t>Monitoreo</t>
  </si>
  <si>
    <t>1. PRUEBAS DE CONTROLES</t>
  </si>
  <si>
    <t>Control Clave</t>
  </si>
  <si>
    <t>Prueba Realizada</t>
  </si>
  <si>
    <t>Muestra</t>
  </si>
  <si>
    <t>Resultado</t>
  </si>
  <si>
    <t>Excep.</t>
  </si>
  <si>
    <t>Conclusión</t>
  </si>
  <si>
    <t>1. EQUIPO DE AUDITORÍA</t>
  </si>
  <si>
    <t>Nombre</t>
  </si>
  <si>
    <t>Cargo</t>
  </si>
  <si>
    <t>Rol en Auditoría</t>
  </si>
  <si>
    <t>Horas Asignadas</t>
  </si>
  <si>
    <t>Tarifa/Hora</t>
  </si>
  <si>
    <t>Total</t>
  </si>
  <si>
    <t>TOTAL PRESUPUESTO</t>
  </si>
  <si>
    <t>2. GASTOS ADICIONALES</t>
  </si>
  <si>
    <t>Valor Unit.</t>
  </si>
  <si>
    <t>TOTAL GASTOS</t>
  </si>
  <si>
    <t>1. RESUMEN EJECUTIVO</t>
  </si>
  <si>
    <t>2. ALCANCE Y OBJETIVOS</t>
  </si>
  <si>
    <t>3. RIESGOS IDENTIFICADOS</t>
  </si>
  <si>
    <t>4. ENFOQUE Y PROCEDIMIENTOS PRINCIPALES</t>
  </si>
  <si>
    <t>5. CONCLUSIÓN DE PLANEACIÓN</t>
  </si>
  <si>
    <t>Alto</t>
  </si>
  <si>
    <t>AP-01: INFORMACIÓN GENERAL DEL CLIENTE</t>
  </si>
  <si>
    <t>NIT:</t>
  </si>
  <si>
    <t>Periodo:</t>
  </si>
  <si>
    <t>1. DATOS GENERALES DE LA EMPRESA</t>
  </si>
  <si>
    <t>Razón Social:</t>
  </si>
  <si>
    <t>Sigla/Nombre Comercial:</t>
  </si>
  <si>
    <t>Dígito Verificación:</t>
  </si>
  <si>
    <t>Fecha Constitución:</t>
  </si>
  <si>
    <t>Años Operación:</t>
  </si>
  <si>
    <t>Tipo Sociedad:</t>
  </si>
  <si>
    <t>CIIU:</t>
  </si>
  <si>
    <t>Dirección:</t>
  </si>
  <si>
    <t>Ciudad:</t>
  </si>
  <si>
    <t>Teléfono:</t>
  </si>
  <si>
    <t>Email:</t>
  </si>
  <si>
    <t>Web:</t>
  </si>
  <si>
    <t>No. Empleados:</t>
  </si>
  <si>
    <t>2. REPRESENTACIÓN LEGAL</t>
  </si>
  <si>
    <t>Cédula</t>
  </si>
  <si>
    <t>Email</t>
  </si>
  <si>
    <t>Teléfono</t>
  </si>
  <si>
    <t>Rep. Legal Principal</t>
  </si>
  <si>
    <t>Rep. Legal Suplente</t>
  </si>
  <si>
    <t>3. ESTRUCTURA ACCIONARIA</t>
  </si>
  <si>
    <t>Accionista/Socio</t>
  </si>
  <si>
    <t>Tipo ID</t>
  </si>
  <si>
    <t>No. ID</t>
  </si>
  <si>
    <t>% Partic.</t>
  </si>
  <si>
    <t>No. Acciones</t>
  </si>
  <si>
    <t>4. JUNTA DIRECTIVA</t>
  </si>
  <si>
    <t>¿Independ.?</t>
  </si>
  <si>
    <t>Presidente</t>
  </si>
  <si>
    <t>Miembro 1</t>
  </si>
  <si>
    <t>Miembro 2</t>
  </si>
  <si>
    <t>Suplente 1</t>
  </si>
  <si>
    <t>Suplente 2</t>
  </si>
  <si>
    <t>5. EQUIPO ADMINISTRATIVO CLAVE</t>
  </si>
  <si>
    <t>Profesión</t>
  </si>
  <si>
    <t>Gerente General</t>
  </si>
  <si>
    <t>Gerente Financiero</t>
  </si>
  <si>
    <t>Contador</t>
  </si>
  <si>
    <t>Gte Comercial</t>
  </si>
  <si>
    <t>Gte Operaciones</t>
  </si>
  <si>
    <t>Jefe RRHH</t>
  </si>
  <si>
    <t>6. INFORMACIÓN FINANCIERA BÁSICA (millones $)</t>
  </si>
  <si>
    <t>Año Actual</t>
  </si>
  <si>
    <t>Año Anterior</t>
  </si>
  <si>
    <t>Total Pasivos</t>
  </si>
  <si>
    <t>Total Patrimonio</t>
  </si>
  <si>
    <t>Ingresos Operac.</t>
  </si>
  <si>
    <t>Utilidad/Pérdida</t>
  </si>
  <si>
    <t>Capital Trabajo</t>
  </si>
  <si>
    <t>Nivel Endeud. %</t>
  </si>
  <si>
    <t>7. INFO REGULATORIA Y TRIBUTARIA</t>
  </si>
  <si>
    <t>Marco Info. Financiera:</t>
  </si>
  <si>
    <t>¿Entidad Vigilancia?:</t>
  </si>
  <si>
    <t>Régimen Tributario:</t>
  </si>
  <si>
    <t>¿Gran Contribuyente?:</t>
  </si>
  <si>
    <t>¿Autorretenedor?:</t>
  </si>
  <si>
    <t>¿Agente Retención?:</t>
  </si>
  <si>
    <t>8. OBSERVACIONES DEL AUDITOR</t>
  </si>
  <si>
    <t>Días Rest.</t>
  </si>
  <si>
    <t>2. LEYENDA DE ESTADOS</t>
  </si>
  <si>
    <t>Condición</t>
  </si>
  <si>
    <t>Acción Recomendada</t>
  </si>
  <si>
    <t>VENCIDO</t>
  </si>
  <si>
    <t>Días restantes &lt; 0</t>
  </si>
  <si>
    <t>Renovar o terminar urgente</t>
  </si>
  <si>
    <t>POR VENCER</t>
  </si>
  <si>
    <t>Días restantes ≤ 30</t>
  </si>
  <si>
    <t>Gestionar renovación inmediata</t>
  </si>
  <si>
    <t>PRÓXIMO VENC.</t>
  </si>
  <si>
    <t>Días restantes ≤ 90</t>
  </si>
  <si>
    <t>Planificar renovación</t>
  </si>
  <si>
    <t>VIGENTE</t>
  </si>
  <si>
    <t>Días restantes &gt; 90</t>
  </si>
  <si>
    <t>Sin acción requerida</t>
  </si>
  <si>
    <t>3. RESUMEN DE CONTRATOS POR ESTADO</t>
  </si>
  <si>
    <t>Porcentaje</t>
  </si>
  <si>
    <t>TOTAL CONTRATOS</t>
  </si>
  <si>
    <t>4. OBSERVACIONES Y SEGUIMIENTO</t>
  </si>
  <si>
    <t>31/10/2025</t>
  </si>
  <si>
    <t>LEYENDA DE COLORES - TIPO DE OPINIÓN</t>
  </si>
  <si>
    <t>Limpia/Sin Salvedades</t>
  </si>
  <si>
    <t>Estados financieros presentan razonablemente la situación</t>
  </si>
  <si>
    <t>Con Salvedades</t>
  </si>
  <si>
    <t>Excepciones limitadas que afectan áreas específicas</t>
  </si>
  <si>
    <t>Adversa/Negativa</t>
  </si>
  <si>
    <t>Estados financieros no presentan razonablemente la situación</t>
  </si>
  <si>
    <t>Abstención de Opinión</t>
  </si>
  <si>
    <t>Auditor no puede expresar una opinión</t>
  </si>
  <si>
    <t>Énfasis en Asunto</t>
  </si>
  <si>
    <t>Llamar atención sobre asunto relevante sin modificar opinión</t>
  </si>
  <si>
    <t>NOTAS E INSTRUCCIONES DE USO</t>
  </si>
  <si>
    <t>• Complete la información del cliente y los responsables en las celdas amarillas superiores</t>
  </si>
  <si>
    <t>• En la columna "Tipo Opinión" seleccione de la lista desplegable el tipo correspondiente</t>
  </si>
  <si>
    <t>• El color cambiará automáticamente según el tipo de opinión seleccionado</t>
  </si>
  <si>
    <t>• Documente los hallazgos principales de forma clara y concisa</t>
  </si>
  <si>
    <t>• Verde indica cumplimiento total, amarillo y rojo requieren seguimiento especial</t>
  </si>
  <si>
    <t>Actividad económica:</t>
  </si>
  <si>
    <t>Descripción del entorno:</t>
  </si>
  <si>
    <t>3. ESTRUCTURA ORGANIZACIONAL</t>
  </si>
  <si>
    <t>Tipo de sociedad:</t>
  </si>
  <si>
    <t>Fecha de constitución:</t>
  </si>
  <si>
    <t>Objeto social:</t>
  </si>
  <si>
    <t>Junta Directiva:</t>
  </si>
  <si>
    <t>Representante Legal:</t>
  </si>
  <si>
    <t>Contador:</t>
  </si>
  <si>
    <t>Revisor Fiscal:</t>
  </si>
  <si>
    <t>4. ASPECTOS FINANCIEROS CLAVE</t>
  </si>
  <si>
    <t>Ingresos Operacionales</t>
  </si>
  <si>
    <t>Costo de Ventas</t>
  </si>
  <si>
    <t>Gastos Operacionales</t>
  </si>
  <si>
    <t>Utilidad Operacional</t>
  </si>
  <si>
    <t>Activos Totales</t>
  </si>
  <si>
    <t>Pasivos Totales</t>
  </si>
  <si>
    <t>5. INDICADORES FINANCIEROS CLAVE</t>
  </si>
  <si>
    <t>Indicador</t>
  </si>
  <si>
    <t>Referencia Sector</t>
  </si>
  <si>
    <t>Liquidez Corriente</t>
  </si>
  <si>
    <t>Prueba Ácida</t>
  </si>
  <si>
    <t>Endeudamiento Total</t>
  </si>
  <si>
    <t>Margen Bruto</t>
  </si>
  <si>
    <t>Margen Operacional</t>
  </si>
  <si>
    <t>Margen Neto</t>
  </si>
  <si>
    <t>ROA (Rentabilidad Activos)</t>
  </si>
  <si>
    <t>ROE (Rentabilidad Patrimonio)</t>
  </si>
  <si>
    <t>6. SISTEMAS DE INFORMACIÓN Y TECNOLOGÍA</t>
  </si>
  <si>
    <t>Sistema contable utilizado:</t>
  </si>
  <si>
    <t>Sistema de facturación:</t>
  </si>
  <si>
    <t>Sistema de nómina:</t>
  </si>
  <si>
    <t>Sistema de inventarios:</t>
  </si>
  <si>
    <t>Sistema de activos fijos:</t>
  </si>
  <si>
    <t>ERP/Software integrado:</t>
  </si>
  <si>
    <t>Nivel de automatización:</t>
  </si>
  <si>
    <t>7. EVALUACIÓN DEL CONTROL INTERNO</t>
  </si>
  <si>
    <t>Área de Control</t>
  </si>
  <si>
    <t>Supervisión y Monitoreo</t>
  </si>
  <si>
    <t>Segregación de Funciones</t>
  </si>
  <si>
    <t>Autorizaciones y Aprobaciones</t>
  </si>
  <si>
    <t>8. PRINCIPALES RIESGOS IDENTIFICADOS</t>
  </si>
  <si>
    <t>Tipo de Riesgo</t>
  </si>
  <si>
    <t>Descripción del Riesgo</t>
  </si>
  <si>
    <t>Riesgo de Fraude</t>
  </si>
  <si>
    <t>Riesgo de Liquidez</t>
  </si>
  <si>
    <t>Riesgo de Crédito</t>
  </si>
  <si>
    <t>Riesgo Operacional</t>
  </si>
  <si>
    <t>Riesgo Tecnológico</t>
  </si>
  <si>
    <t>Riesgo de Cumplimiento</t>
  </si>
  <si>
    <t>Riesgo Reputacional</t>
  </si>
  <si>
    <t>9. CONCLUSIONES Y RECOMENDACIONES</t>
  </si>
  <si>
    <t>Conclusiones:</t>
  </si>
  <si>
    <t>Recomendaciones:</t>
  </si>
  <si>
    <t>Medio</t>
  </si>
  <si>
    <t>si</t>
  </si>
  <si>
    <t>Instrucciones: Ingrese en C11 la materialidad seleccionada de las opciones calculadas arriba</t>
  </si>
  <si>
    <t>RESUMEN</t>
  </si>
  <si>
    <t>Materialidad Global:</t>
  </si>
  <si>
    <t>Materialidad de Ejecución:</t>
  </si>
  <si>
    <t>Error Tolerable:</t>
  </si>
  <si>
    <t>NOTAS Y CONSIDERACIONES</t>
  </si>
  <si>
    <t>Según NIA 320 y NIA 450:
• La materialidad se determina en base a criterios cuantitativos y cualitativos
• Rangos típicos: 0.5-1% de ingresos, 5% de utilidad antes de impuestos, 1-2% de activos
• La materialidad de ejecución se establece entre 50-75% de la materialidad global
• Debe documentarse el juicio profesional aplicado en la determinación</t>
  </si>
  <si>
    <t>AC-P07: Plan de Auditoría</t>
  </si>
  <si>
    <t>Fecha
Inicio</t>
  </si>
  <si>
    <t>Días</t>
  </si>
  <si>
    <t>Horas
Est.</t>
  </si>
  <si>
    <t>% Avance</t>
  </si>
  <si>
    <t>2. RESUMEN EJECUTIVO</t>
  </si>
  <si>
    <t>Total de Actividades:</t>
  </si>
  <si>
    <t>Actividades Completadas:</t>
  </si>
  <si>
    <t>Actividades En Proceso:</t>
  </si>
  <si>
    <t>Actividades Pendientes:</t>
  </si>
  <si>
    <t>Actividades Atrasadas:</t>
  </si>
  <si>
    <t>Horas Totales Estimadas:</t>
  </si>
  <si>
    <t>Avance General:</t>
  </si>
  <si>
    <t>3. ALERTAS Y SEGUIMIENTO</t>
  </si>
  <si>
    <t>Tipo de Alerta</t>
  </si>
  <si>
    <t>⚠ Atrasadas</t>
  </si>
  <si>
    <t>⏰ Próximas</t>
  </si>
  <si>
    <t>✓ Completadas</t>
  </si>
  <si>
    <t>4. LEYENDA DE ESTADOS</t>
  </si>
  <si>
    <t>Completado</t>
  </si>
  <si>
    <t>Fecha fin menor a la fecha actual</t>
  </si>
  <si>
    <t>En Proceso</t>
  </si>
  <si>
    <t>Fecha inicio ≤ Fecha actual ≤ Fecha fin</t>
  </si>
  <si>
    <t>Pendiente</t>
  </si>
  <si>
    <t>Fecha inicio mayor a la fecha actual</t>
  </si>
  <si>
    <t>Atrasado</t>
  </si>
  <si>
    <t>Actividad no completada después de su fecha fin</t>
  </si>
  <si>
    <t>INSTRUCCIONES DE USO</t>
  </si>
  <si>
    <t>1. Complete las celdas AMARILLAS:
   • Responsable: Nombre del auditor asignado
   • Fecha Inicio y Fecha Fin: Fechas planificadas (formato DD/MM/YYYY)
   • Horas Est.: Horas estimadas para completar la actividad
   • % Avance: Porcentaje de completitud (0% a 100%)
2. El ESTADO se calcula automáticamente y cambia de color:
   🟢 Verde = Completado | 🟡 Amarillo = En Proceso | ⚪ Gris = Pendiente | 🔴 Rojo = Atrasado
3. Los DÍAS y TOTALES se calculan automáticamente
4. RESUMEN EJECUTIVO y ALERTAS se actualizan en tiempo real
5. Revise las alertas diariamente para identificar actividades que requieren atención</t>
  </si>
  <si>
    <t>AC-P09: Evaluación de Control Interno</t>
  </si>
  <si>
    <t>Comercializadora XYZ S.A.</t>
  </si>
  <si>
    <t>Juan Pérez - Auditor Senior</t>
  </si>
  <si>
    <t>María González - Socia</t>
  </si>
  <si>
    <t>1. COMPONENTES DEL CONTROL INTERNO (COSO)</t>
  </si>
  <si>
    <t>Evaluación
(1-5)</t>
  </si>
  <si>
    <t>Código de ética documentado, estructura organizacional clara, políticas de RRHH definidas</t>
  </si>
  <si>
    <t>Falta capacitación continua en ética, algunas funciones sin descripción formal</t>
  </si>
  <si>
    <t>Incluye: Integridad y valores éticos, Estructura organizacional, Asignación de autoridad</t>
  </si>
  <si>
    <t>Proceso anual de identificación de riesgos, matriz de riesgos actualizada</t>
  </si>
  <si>
    <t>No hay evaluación continua de riesgos, falta cuantificación de impactos, respuestas a riesgos no documentadas</t>
  </si>
  <si>
    <t>Incluye: Identificación de riesgos, Análisis y respuesta a riesgos</t>
  </si>
  <si>
    <t>Segregación de funciones efectiva, controles preventivos y detectivos, políticas documentadas y comunicadas, revisiones periódicas</t>
  </si>
  <si>
    <t>Ninguna deficiencia significativa identificada</t>
  </si>
  <si>
    <t>Incluye: Políticas y procedimientos, Controles de aplicación, Segregación de funciones</t>
  </si>
  <si>
    <t>Sistema contable básico operativo, reportes mensuales generados</t>
  </si>
  <si>
    <t>Información financiera no oportuna, comunicación informal, falta sistema de reportes de excepción, integración manual entre sistemas</t>
  </si>
  <si>
    <t>Incluye: Calidad de información, Comunicación interna y externa</t>
  </si>
  <si>
    <t>Auditoría interna anual, seguimiento de recomendaciones</t>
  </si>
  <si>
    <t>Supervisión continua limitada, autoevaluaciones no realizadas, falta indicadores de desempeño de controles</t>
  </si>
  <si>
    <t>Incluye: Actividades de supervisión continua, Evaluaciones separadas</t>
  </si>
  <si>
    <t>PROMEDIO GENERAL DE CONTROL INTERNO:</t>
  </si>
  <si>
    <t>CONCLUSIÓN GENERAL:</t>
  </si>
  <si>
    <t>Componentes Efectivos:</t>
  </si>
  <si>
    <t>Componentes Satisfactorios:</t>
  </si>
  <si>
    <t>Componentes Aceptables:</t>
  </si>
  <si>
    <t>Componentes Inadecuados:</t>
  </si>
  <si>
    <t>Componentes Deficientes:</t>
  </si>
  <si>
    <t>Puntuación Más Alta:</t>
  </si>
  <si>
    <t>Puntuación Más Baja:</t>
  </si>
  <si>
    <t>3. ALERTAS Y ÁREAS DE ATENCIÓN</t>
  </si>
  <si>
    <t>🔴 CRÍTICO</t>
  </si>
  <si>
    <t>🟠 ALTO</t>
  </si>
  <si>
    <t>🟡 MEDIO</t>
  </si>
  <si>
    <t>4. ESCALA DE EVALUACIÓN</t>
  </si>
  <si>
    <t>Puntuación</t>
  </si>
  <si>
    <t>5</t>
  </si>
  <si>
    <t>Controles operan efectivamente, sin deficiencias</t>
  </si>
  <si>
    <t>4</t>
  </si>
  <si>
    <t>Satisfactorio</t>
  </si>
  <si>
    <t>Controles adecuados con deficiencias menores</t>
  </si>
  <si>
    <t>3</t>
  </si>
  <si>
    <t>Aceptable</t>
  </si>
  <si>
    <t>Controles básicos, requieren mejoras</t>
  </si>
  <si>
    <t>2</t>
  </si>
  <si>
    <t>Inadecuado</t>
  </si>
  <si>
    <t>Controles insuficientes, deficiencias significativas</t>
  </si>
  <si>
    <t>1</t>
  </si>
  <si>
    <t>Deficiente</t>
  </si>
  <si>
    <t>Controles ausentes o inefectivos, alto riesgo</t>
  </si>
  <si>
    <t>1. Complete las celdas AMARILLAS para cada componente COSO:
   • Evaluación: Ingrese una puntuación del 1 al 5 según la escala
   • Fortalezas: Describa los controles que funcionan bien
   • Debilidades: Identifique deficiencias o áreas de mejora
2. La CALIFICACIÓN se calcula automáticamente con colores:
   🟢 Verde = Efectivo/Satisfactorio | 🟡 Amarillo = Aceptable | 🔴 Rojo = Inadecuado/Deficiente
3. El PROMEDIO GENERAL y CONCLUSIÓN se calculan automáticamente
4. Revise las ALERTAS para identificar componentes que requieren atención inmediata
5. Documente hallazgos detallados en papeles de trabajo adicionales</t>
  </si>
  <si>
    <t>Tasa %</t>
  </si>
  <si>
    <t>Autorización de compras &gt;$5,000 por gerente</t>
  </si>
  <si>
    <t>Revisión de 30 órdenes de compra, verificando firma de autorización</t>
  </si>
  <si>
    <t>Conciliación bancaria mensual revisada</t>
  </si>
  <si>
    <t>Inspección de 12 conciliaciones, verificando firma de revisión y fecha</t>
  </si>
  <si>
    <t>Segregación: quien registra no autoriza pagos</t>
  </si>
  <si>
    <t>Observación y entrevistas en 20 transacciones de pago</t>
  </si>
  <si>
    <t>Conteo físico de inventario anual</t>
  </si>
  <si>
    <t>Revisión de documentación de conteo físico y ajustes</t>
  </si>
  <si>
    <t>Facturas de venta pre-numeradas y controladas</t>
  </si>
  <si>
    <t>Prueba de secuencia numérica en 100 facturas</t>
  </si>
  <si>
    <t>Aprobación de crédito a clientes nuevos</t>
  </si>
  <si>
    <t>Revisión de 25 expedientes de clientes nuevos</t>
  </si>
  <si>
    <t>Conciliación de auxiliares vs mayor mensual</t>
  </si>
  <si>
    <t>Verificación de conciliaciones de 12 meses</t>
  </si>
  <si>
    <t>Revisión de nómina antes de pago</t>
  </si>
  <si>
    <t>Inspección de aprobaciones en 24 nóminas (2 años)</t>
  </si>
  <si>
    <t>Control de acceso a sistema contable</t>
  </si>
  <si>
    <t>Revisión de log de accesos y usuarios activos</t>
  </si>
  <si>
    <t>Backup diario de información</t>
  </si>
  <si>
    <t>Verificación de registros de backup de 30 días</t>
  </si>
  <si>
    <t>Aprobación de gastos por gerencia</t>
  </si>
  <si>
    <t>Revisión de 40 comprobantes de gastos</t>
  </si>
  <si>
    <t>Revisión mensual de cuentas por cobrar vencidas</t>
  </si>
  <si>
    <t>Inspección de reportes y seguimiento de 12 meses</t>
  </si>
  <si>
    <t>TOTALES:</t>
  </si>
  <si>
    <t>Total de Controles Probados:</t>
  </si>
  <si>
    <t>Controles Efectivos:</t>
  </si>
  <si>
    <t>Controles con Excepciones Menores:</t>
  </si>
  <si>
    <t>Controles con Reservas:</t>
  </si>
  <si>
    <t>Controles Inefectivos:</t>
  </si>
  <si>
    <t>Total Ítems Probados:</t>
  </si>
  <si>
    <t>Total Excepciones:</t>
  </si>
  <si>
    <t>Tasa de Excepción Global:</t>
  </si>
  <si>
    <t>🟡 ADVERTENCIA</t>
  </si>
  <si>
    <t>🟢 SATISFACTORIO</t>
  </si>
  <si>
    <t>4. CRITERIOS DE EVALUACIÓN</t>
  </si>
  <si>
    <t>Tasa de Excepción</t>
  </si>
  <si>
    <t>Descripción / Implicación</t>
  </si>
  <si>
    <t>0%</t>
  </si>
  <si>
    <t>Sin excepciones - Control opera como se diseñó</t>
  </si>
  <si>
    <t>1-5%</t>
  </si>
  <si>
    <t>Efectivo con excepciones menores</t>
  </si>
  <si>
    <t>Pocas excepciones - Control generalmente efectivo</t>
  </si>
  <si>
    <t>6-10%</t>
  </si>
  <si>
    <t>Se puede confiar con reservas</t>
  </si>
  <si>
    <t>Excepciones moderadas - Aumentar pruebas sustantivas</t>
  </si>
  <si>
    <t>&gt;10%</t>
  </si>
  <si>
    <t>Inefectivo - No se puede confiar</t>
  </si>
  <si>
    <t>Muchas excepciones - Control no funciona</t>
  </si>
  <si>
    <t>1. Complete las celdas AMARILLAS para cada control probado:
   • Control Clave: Descripción del control
   • Prueba Realizada: Procedimiento ejecutado
   • Muestra: Número total de ítems probados
   • Resultado: Número de ítems satisfactorios (sin excepciones)
2. Las EXCEPCIONES y TASA % se calculan AUTOMÁTICAMENTE:
   Excepciones = Muestra - Resultado
   Tasa % = Excepciones / Muestra
3. La CONCLUSIÓN se asigna automáticamente con colores:
   🟢 Verde = Efectivo | 🟡 Amarillo = Con reservas | 🔴 Rojo = Inefectivo
4. El RESUMEN EJECUTIVO y ALERTAS se actualizan automáticamente
5. Use la conclusión general para determinar el enfoque de auditoría</t>
  </si>
  <si>
    <t>Preparado por:</t>
  </si>
  <si>
    <t>Revisado por:</t>
  </si>
  <si>
    <t>GUÍA: Resuma en 3-5 párrafos los aspectos más importantes de la planeación:
• Naturaleza del cliente y su industria
• Alcance de la auditoría (estados financieros, período)
• Materialidad determinada y su base
• Riesgos significativos identificados
• Enfoque de auditoría seleccionado (controles vs sustantivo)
• Conclusión general sobre la factibilidad de la auditoría</t>
  </si>
  <si>
    <t>Comercializadora XYZ S.A. es una empresa dedicada a la comercialización de productos electrónicos al por mayor y detalle, operando en el mercado local desde hace 15 años. La entidad cerró su primer ejercicio fiscal al 31 de diciembre de 2024 con activos totales de $8.5 millones e ingresos de $12.5 millones.
El alcance de nuestra auditoría comprende la emisión de una opinión sobre los estados financieros completos al 31 de diciembre de 2024, preparados conforme a las Normas Internacionales de Información Financiera (NIIF). Hemos determinado una materialidad de $62,500 (0.5% de ingresos) con una materialidad de ejecución de $46,875 (75% de la materialidad global), según se documenta en AC-P05.
Durante la fase de planeación identificamos riesgos significativos relacionados con: (1) concentración de clientes (3 clientes representan el 60% de ventas), (2) reconocimiento de ingresos al cierre del ejercicio, y (3) valuación de inventarios de productos tecnológicos con rápida obsolescencia. La evaluación preliminar del control interno (AC-P09) resultó en una calificación de "Aceptable" (3.4/5), indicando controles básicos pero con debilidades en los componentes de Información y Comunicación.
Basados en esta evaluación, hemos determinado un enfoque mixto de auditoría, con énfasis sustantivo en las áreas de mayor riesgo (cuentas por cobrar, inventarios, ingresos). Los procedimientos planificados incluyen confirmaciones externas, observación de inventarios, pruebas de corte de ingresos y procedimientos analíticos sustantivos. El cronograma establecido (AC-P07) contempla 625 horas totales con finalización del trabajo de campo para el 15 de febrero de 2025.
Consideramos que el plan de auditoría es apropiado y factible, y que los procedimientos diseñados son suficientes para obtener evidencia adecuada que respalde nuestra opinión.</t>
  </si>
  <si>
    <t>GUÍA: Defina claramente el alcance y objetivos de la auditoría:
• Marco de información financiera aplicable (NIIF, NIC-SP, etc.)
• Estados financieros a auditar (situación financiera, resultados, flujos, etc.)
• Período cubierto
• Propósito de la auditoría (usuarios, uso de los EEFF)
• Tipo de opinión a emitir (razonable, limitada)
• Fechas clave (entrega de borradores, informe final)
• Restricciones o limitaciones identificadas</t>
  </si>
  <si>
    <t>MARCO DE INFORMACIÓN FINANCIERA:
Los estados financieros de Comercializadora XYZ S.A. han sido preparados de conformidad con las Normas Internacionales de Información Financiera (NIIF) tal como han sido emitidas por el International Accounting Standards Board (IASB).
ESTADOS FINANCIEROS A AUDITAR:
• Estado de Situación Financiera al 31 de diciembre de 2024
• Estado de Resultados por el año terminado el 31 de diciembre de 2024
• Estado de Cambios en el Patrimonio por el año terminado el 31 de diciembre de 2024
• Estado de Flujos de Efectivo por el año terminado el 31 de diciembre de 2024
• Notas a los Estados Financieros
PERÍODO Y FECHAS CLAVE:
• Período auditado: 1 de enero al 31 de diciembre de 2024
• Inicio de trabajo de campo: 5 de enero de 2025
• Observación de inventarios: 31 de diciembre de 2024
• Finalización de trabajo de campo: 15 de febrero de 2025
• Entrega de borrador de informe: 25 de febrero de 2025
• Informe final: 10 de marzo de 2025
PROPÓSITO Y USUARIOS:
La auditoría se realiza para cumplir con requisitos fiscales y para proporcionar a la gerencia y accionistas seguridad razonable sobre la razonabilidad de los estados financieros. Los principales usuarios incluyen: dirección ejecutiva, junta de accionistas, y autoridades fiscales.
TIPO DE OPINIÓN:
Se espera emitir una opinión de auditoría con seguridad razonable sobre si los estados financieros presentan razonablemente, en todos los aspectos materiales, la situación financiera, resultados y flujos de efectivo de acuerdo con NIIF.
RESTRICCIONES O LIMITACIONES:
No se han identificado restricciones al alcance de la auditoría. La administración ha manifestado su compromiso de proporcionar acceso ilimitado a registros y personal.</t>
  </si>
  <si>
    <t>GUÍA: Documente los riesgos significativos identificados durante la planeación:
A. RIESGOS DE NEGOCIO:
• Industria (competencia, regulación, tecnología)
• Operaciones (dependencia de clientes/proveedores, ubicaciones)
• Financieros (liquidez, endeudamiento, covenants)
B. RIESGOS DE INCORRECCIÓN MATERIAL:
• Riesgos de fraude (presunción en reconocimiento de ingresos)
• Estimaciones contables complejas
• Transacciones inusuales o complejas
• Áreas con alta rotación de personal
• Cambios en el negocio o regulación
C. EVALUACIÓN PRELIMINAR:
• Riesgo inherente: Alto/Medio/Bajo y razones
• Riesgo de control: Alto/Medio/Bajo (referencia AC-P09)
• Áreas que requieren atención especial
Referencia cruzada: Ver AC-P09 (Control Interno) y AC-P10 (Pruebas de Controles)</t>
  </si>
  <si>
    <t>A. RIESGOS DE NEGOCIO:
INDUSTRIA:
• Alta competencia en el mercado de electrónicos con márgenes reducidos
• Rápida obsolescencia tecnológica de productos (ciclo de vida 12-18 meses)
• Cambios constantes en preferencias de consumidores
• Presión de precios por comercio electrónico y competidores grandes
OPERACIONES:
• Concentración de clientes: 3 clientes representan 60% de ventas totales
• Dependencia de 2 proveedores principales (importadores autorizados)
• Inventario significativo susceptible a obsolescencia
• Sistema de punto de venta no integrado con contabilidad
FINANCIEROS:
• Liquidez ajustada: razón corriente de 1.3
• No hay préstamos bancarios con covenants
• Crecimiento de ventas del 15% vs año anterior genera presión de capital de trabajo
B. RIESGOS DE INCORRECCIÓN MATERIAL:
RIESGO SIGNIFICATIVO 1 - Reconocimiento de Ingresos (NIA 240):
• Presunción de riesgo de fraude en reconocimiento de ingresos
• Ventas de diciembre aumentaron 35% vs promedio mensual
• Política de devolución flexible (60 días)
• Notas de crédito de enero: $150,000 (excede materialidad)
→ Respuesta: Pruebas de corte extensivas, confirmaciones, análisis de devoluciones posteriores
RIESGO SIGNIFICATIVO 2 - Valuación de Inventarios:
• Productos tecnológicos con alta obsolescencia
• Rotación disminuyó de 8 a 5 veces al año
• Provisión por obsolescencia del 2% (industria: 5%)
• Último conteo físico hace 18 meses
→ Respuesta: Observación de inventario físico, pruebas de valor neto realizable, análisis de antigüedad
RIESGO SIGNIFICATIVO 3 - Recuperabilidad de Cuentas por Cobrar:
• Días de cobro aumentaron de 45 a 65 días
• Concentración en 3 clientes (60% del saldo)
• Provisión de incobrables 2% (industria: 5%)
→ Respuesta: Confirmaciones al 100% de los 3 principales, análisis de cobros posteriores, revisión de provisión
C. EVALUACIÓN PRELIMINAR:
Riesgo Inherente: ALTO
• Industria volátil con productos de rápida obsolescencia
• Concentración de clientes y proveedores
• Presiones de rentabilidad y flujo de efectivo
Riesgo de Control: MEDIO-ALTO
• Evaluación preliminar (AC-P09): Calificación "Aceptable" (3.4/5)
• Debilidades identificadas: Información y Comunicación (2.0), Monitoreo (3.0)
• Fortalezas: Actividades de Control (5.0), Ambiente de Control (4.0)
• Pruebas de controles (AC-P10): Tasa de excepción global 6.4%
• 2 controles inefectivos identificados (backup, revisión CxC)
Por tanto, Riesgo de Auditoría debe mantenerse BAJO mediante procedimientos sustantivos extensos.</t>
  </si>
  <si>
    <t>GUÍA: Describa el enfoque de auditoría y procedimientos principales:
A. ENFOQUE GENERAL:
• Enfoque de controles, sustantivo, o mixto (justifique la selección)
• Materialidad: Monto, base, y materialidad de ejecución (referencia AC-P05)
• Uso de expertos o especialistas
B. PROCEDIMIENTOS POR ÁREA SIGNIFICATIVA:
Para cada área material (Efectivo, CxC, Inventarios, Activos Fijos, etc.):
• Naturaleza de los procedimientos (analíticos, detalle, controles)
• Alcance (% de cobertura, tamaño de muestra)
• Oportunidad (interim, final)
C. PROCEDIMIENTOS PARA RIESGOS SIGNIFICATIVOS:
• Procedimientos específicos para cada riesgo identificado
• Por qué estos procedimientos son apropiados
D. OTROS PROCEDIMIENTOS:
• Confirmaciones externas
• Observación de inventarios
• Pruebas de litigios y contingencias
• Eventos posteriores
• Carta de representación
Referencia cruzada: Ver AC-P05 (Materialidad), AC-P07 (Plan de Auditoría)</t>
  </si>
  <si>
    <t>A. ENFOQUE GENERAL:
ESTRATEGIA: Enfoque MIXTO con énfasis SUSTANTIVO
• Justificación: Control interno calificado como "Aceptable" (3.4/5), por lo que NO podemos confiar plenamente en controles. Aunque algunos controles operan efectivamente (Actividades de Control: 5.0), las debilidades en Monitoreo y 2 controles inefectivos requieren enfoque sustantivo robusto.
• Materialidad: $62,500 (0.5% ingresos) - Ver AC-P05
• Materialidad de Ejecución: $46,875 (75%)
• Error Tolerable: $31,250 (50%)
• Expertos: No se requieren (sin activos complejos, instrumentos financieros, o valuaciones especializadas)
B. PROCEDIMIENTOS POR ÁREA SIGNIFICATIVA:
EFECTIVO Y BANCOS ($450,000 - 5.3% activos):
• Naturaleza: Confirmaciones bancarias, conciliaciones bancarias, pruebas de corte
• Alcance: 100% de las cuentas bancarias (3 bancos)
• Oportunidad: Al cierre (31/12/2024)
CUENTAS POR COBRAR ($2,100,000 - 24.7% activos) - RIESGO SIGNIFICATIVO:
• Naturaleza: Confirmaciones externas, cobros posteriores, análisis de antigüedad, pruebas de provisión
• Alcance: Confirmar 100% de los 3 clientes principales (60% del saldo) + muestra adicional para 80% cobertura
• Oportunidad: Confirmaciones al 31/12/2024, cobros posteriores hasta 60 días post-cierre
INVENTARIOS ($3,200,000 - 37.6% activos) - RIESGO SIGNIFICATIVO:
• Naturaleza: Observación de conteo físico, pruebas de valor neto realizable, análisis de obsolescencia, pruebas de corte
• Alcance: Observar conteo físico del 100% del inventario, probar VNR en productos de alta rotación (40% del valor)
• Oportunidad: Observación física 31/12/2024, pruebas de VNR en enero 2025
ACTIVOS FIJOS ($2,800,000 - 32.9% activos):
• Naturaleza: Inspección física de adiciones mayores, recálculo de depreciación, análisis de retiros
• Alcance: Inspeccionar adiciones &gt;$10,000 (cobertura 70%), recalcular depreciación en 100%
• Oportunidad: Durante trabajo de campo (enero-febrero)
PASIVOS ($4,200,000 - 49.4% activos):
• Naturaleza: Confirmaciones de proveedores, búsqueda de pasivos no registrados, análisis de pagos posteriores
• Alcance: Confirmar 15 proveedores principales (70% del saldo), revisar pagos 45 días post-cierre
• Oportunidad: Confirmaciones al 31/12/2024
INGRESOS ($12,500,000) - RIESGO SIGNIFICATIVO DE FRAUDE:
• Naturaleza: Procedimientos analíticos sustantivos, pruebas de corte, confirmaciones de ventas, análisis de devoluciones
• Alcance: Probar 100% de ventas últimos 3 días diciembre y primeros 3 días enero, analizar todas las NC de enero
• Oportunidad: Pruebas de corte al cierre, procedimientos analíticos durante toda la auditoría
C. PROCEDIMIENTOS PARA RIESGOS SIGNIFICATIVOS:
[Detallados arriba en cada área correspondiente]
D. OTROS PROCEDIMIENTOS:
• Carta de abogados para litigios y contingencias
• Revisión de eventos posteriores hasta fecha del informe
• Carta de representación de la administración
• Lectura de actas de asambleas y juntas directivas</t>
  </si>
  <si>
    <t>GUÍA: Concluya sobre la planeación de la auditoría:
• Evaluación de la aceptabilidad del riesgo de auditoría
• Suficiencia de los procedimientos planificados
• Recursos necesarios (equipo, horas, especialistas)
• Factibilidad de completar la auditoría en el tiempo disponible
• Aprobación del plan por el socio/gerente
• Cualquier modificación al plan durante la ejecución (documentar después)
• Firma y fecha de quien prepara y revisa
DECLARACIÓN:
"Basado en nuestra evaluación preliminar, consideramos que el plan de auditoría es apropiado 
y que los procedimientos planificados son suficientes para obtener evidencia de auditoría 
adecuada y suficiente para respaldar nuestra opinión."
Preparado por: ________________  Fecha: _______
Revisado por: ________________  Fecha: _______
Aprobado por (Socio): ________________  Fecha: _______</t>
  </si>
  <si>
    <t>EVALUACIÓN DE FACTIBILIDAD:
Basado en nuestra evaluación preliminar, concluimos que:
1. ACEPTABILIDAD DEL RIESGO: El riesgo de auditoría puede mantenerse en un nivel aceptablemente bajo mediante la ejecución de los procedimientos sustantivos planificados. Los riesgos significativos identificados son manejables con respuestas apropiadas de auditoría.
2. SUFICIENCIA DE PROCEDIMIENTOS: Los procedimientos diseñados son apropiados y suficientes para:
   • Obtener evidencia adecuada sobre las aseveraciones materiales
   • Responder específicamente a los riesgos significativos identificados
   • Cumplir con los requisitos de las NIAs aplicables
3. RECURSOS NECESARIOS:
   • Equipo: 1 socio, 1 gerente, 1 senior, 2 asistentes
   • Horas estimadas: 625 horas totales (ver AC-P07)
   • Presupuesto: Dentro de límites aceptables
   • Especialistas: No requeridos
4. FACTIBILIDAD TEMPORAL: El cronograma es realista y permite completar el trabajo de campo en 6 semanas, con entrega del informe final el 10 de marzo de 2025.
5. APROBACIÓN: Este plan de auditoría ha sido revisado y aprobado por el socio responsable.
DECLARACIÓN:
"Basado en nuestra evaluación preliminar, consideramos que el plan de auditoría es apropiado y que los procedimientos planificados son suficientes para obtener evidencia de auditoría adecuada y suficiente para respaldar nuestra opinión sobre los estados financieros de Comercializadora XYZ S.A. al 31 de diciembre de 2024."
MODIFICACIONES DURANTE LA EJECUCIÓN:
[Documentar aquí cualquier cambio significativo al plan original durante el trabajo de campo]
FIRMAS:
Preparado por: Juan Pérez - Auditor Senior         Fecha: 15/12/2024
Revisado por: Carlos Ruiz - Gerente                Fecha: 18/12/2024  
Aprobado por: María González - Socia               Fecha: 20/12/2024</t>
  </si>
  <si>
    <t>CHECKLIST DE COMPLETITUD</t>
  </si>
  <si>
    <t>☐ Resumen ejecutivo completo y conciso</t>
  </si>
  <si>
    <t>☐ Alcance y objetivos claramente definidos</t>
  </si>
  <si>
    <t>☐ Marco de información financiera especificado</t>
  </si>
  <si>
    <t>☐ Materialidad determinada y documentada (ref. AC-P05)</t>
  </si>
  <si>
    <t>☐ Riesgos de negocio identificados y evaluados</t>
  </si>
  <si>
    <t>☐ Riesgos de incorrección material documentados</t>
  </si>
  <si>
    <t>☐ Riesgos de fraude considerados (NIA 240)</t>
  </si>
  <si>
    <t>☐ Evaluación preliminar de control interno (ref. AC-P09)</t>
  </si>
  <si>
    <t>☐ Enfoque de auditoría justificado (controles vs sustantivo)</t>
  </si>
  <si>
    <t>☐ Procedimientos principales por área documentados</t>
  </si>
  <si>
    <t>☐ Respuestas específicas a riesgos significativos</t>
  </si>
  <si>
    <t>☐ Cronograma de trabajo establecido (ref. AC-P07)</t>
  </si>
  <si>
    <t>☐ Equipo de auditoría asignado</t>
  </si>
  <si>
    <t>☐ Necesidad de especialistas evaluada</t>
  </si>
  <si>
    <t>☐ Independencia confirmada</t>
  </si>
  <si>
    <t>☐ Conclusión de planeación documentada</t>
  </si>
  <si>
    <t>☐ Revisión por socio/gerente completada</t>
  </si>
  <si>
    <t>☐ Firmas y fechas incluidas</t>
  </si>
  <si>
    <t>REFERENCIAS CRUZADAS A OTROS PAPELES DE TRABAJO</t>
  </si>
  <si>
    <t>AC-P05: Materialidad → Para montos de materialidad y materialidad de ejecución</t>
  </si>
  <si>
    <t>AC-P07: Plan de Auditoría → Para cronograma y asignación de recursos</t>
  </si>
  <si>
    <t>AC-P09: Control Interno → Para evaluación de componentes COSO</t>
  </si>
  <si>
    <t>AC-P10: Pruebas de Controles → Para resultados de pruebas y conclusiones</t>
  </si>
  <si>
    <t>AC-P01: Estrategia → Para enfoque general de auditoría</t>
  </si>
  <si>
    <t>1. Complete las celdas AMARILLAS con información del cliente y fechas
2. Para cada sección (1-5), lea la GUÍA en la celda azul claro, luego complete la celda amarilla debajo
3. Sea específico y concreto. Evite generalidades. Documente el juicio profesional aplicado.
4. Haga referencia cruzada a otros papeles de trabajo (AC-P05, AC-P09, etc.) según corresponda
5. Use el CHECKLIST DE COMPLETITUD para verificar que cubrió todos los aspectos requeridos
6. Obtenga revisión y aprobación del socio/gerente antes de iniciar trabajo de campo
7. Si hay cambios significativos durante la auditoría, actualice este memorando y documente las razones
RECUERDE: El memorando de planeación es un documento VIVO que debe actualizarse si las 
circunstancias cambian durante la auditoría.</t>
  </si>
  <si>
    <t xml:space="preserve">Auditor </t>
  </si>
  <si>
    <t>Fecha Elaboración</t>
  </si>
  <si>
    <t xml:space="preserve">Supervisor </t>
  </si>
  <si>
    <t xml:space="preserve">Fecha Aprobación </t>
  </si>
  <si>
    <t>Auditoría y Revisoría Fiscal</t>
  </si>
  <si>
    <t>Auditor:</t>
  </si>
  <si>
    <t>F)_______________________________________</t>
  </si>
  <si>
    <t>Supervisor:</t>
  </si>
  <si>
    <t xml:space="preserve">                           Del 01 de enero al 31 diciembre del 2024</t>
  </si>
  <si>
    <t>Media</t>
  </si>
  <si>
    <t>Preparado por: Firma</t>
  </si>
  <si>
    <t xml:space="preserve">Revisado por: </t>
  </si>
  <si>
    <t xml:space="preserve">Nombre </t>
  </si>
  <si>
    <t>Revisoría Fiscal</t>
  </si>
  <si>
    <t xml:space="preserve">                                       Politicas Contables</t>
  </si>
  <si>
    <t xml:space="preserve"> Actas de Junta Directiva</t>
  </si>
  <si>
    <t xml:space="preserve">                         Estados Financieros Anteriores</t>
  </si>
  <si>
    <t xml:space="preserve"> Informes de Auditoría Anteriores</t>
  </si>
  <si>
    <t xml:space="preserve">                             Correspondencia Importante</t>
  </si>
  <si>
    <t xml:space="preserve">                         Documentos Legales</t>
  </si>
  <si>
    <t xml:space="preserve">                                Otros Documentos Permanentes</t>
  </si>
  <si>
    <t xml:space="preserve">                                        Carta de Compromiso</t>
  </si>
  <si>
    <t xml:space="preserve">                                                       Evaluacion de Independencia</t>
  </si>
  <si>
    <t xml:space="preserve">                                                       Conocimiento del Negocio</t>
  </si>
  <si>
    <t>Alta</t>
  </si>
  <si>
    <t>Bajo</t>
  </si>
  <si>
    <t xml:space="preserve">                               Estrategia de Auditoria</t>
  </si>
  <si>
    <t>Terminado</t>
  </si>
  <si>
    <t xml:space="preserve">                                                            Pruebas de Controles</t>
  </si>
  <si>
    <t xml:space="preserve"> Equipo de Trabajo y Presupuesto</t>
  </si>
  <si>
    <t xml:space="preserve"> Revisoría Fiscal</t>
  </si>
  <si>
    <t xml:space="preserve">                                   Revisoría Fiscal</t>
  </si>
  <si>
    <t xml:space="preserve"> Memorando de Planeación</t>
  </si>
  <si>
    <t>Entidad XXXXXXX</t>
  </si>
  <si>
    <t>Del 01 de Enero al 31 de Diciembre de 2024</t>
  </si>
  <si>
    <t xml:space="preserve">                               Entidad XXXXXXX</t>
  </si>
  <si>
    <t xml:space="preserve">                                               Del 01 de Enero al 31 de Diciembre de 2024</t>
  </si>
  <si>
    <t>Cifras expresadas en [MONEDA]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</si>
</sst>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0.00&quot;%&quot;"/>
    <numFmt numFmtId="166" formatCode="0.0&quot;%&quot;"/>
    <numFmt numFmtId="167" formatCode="\$#,##0"/>
    <numFmt numFmtId="168" formatCode="0.0%"/>
    <numFmt numFmtId="169" formatCode="0.0"/>
  </numFmts>
  <fonts count="64" x14ac:knownFonts="1">
    <font>
      <sz val="11"/>
      <color theme="1"/>
      <name val="Calibri"/>
      <family val="2"/>
      <scheme val="minor"/>
    </font>
    <font>
      <b/>
      <sz val="14"/>
      <color rgb="FFFFFFFF"/>
      <name val="Arial"/>
      <family val="2"/>
    </font>
    <font>
      <b/>
      <sz val="10"/>
      <name val="Arial"/>
      <family val="2"/>
    </font>
    <font>
      <sz val="10"/>
      <name val="Arial"/>
      <family val="2"/>
    </font>
    <font>
      <b/>
      <sz val="11"/>
      <color rgb="FFFFFFFF"/>
      <name val="Arial"/>
      <family val="2"/>
    </font>
    <font>
      <u/>
      <sz val="10"/>
      <color rgb="FF0563C1"/>
      <name val="Arial"/>
      <family val="2"/>
    </font>
    <font>
      <sz val="10"/>
      <color rgb="FFFF0000"/>
      <name val="Arial"/>
      <family val="2"/>
    </font>
    <font>
      <b/>
      <sz val="14"/>
      <color rgb="FFFFFFFF"/>
      <name val="Arial"/>
      <family val="2"/>
    </font>
    <font>
      <b/>
      <sz val="10"/>
      <name val="Arial"/>
      <family val="2"/>
    </font>
    <font>
      <b/>
      <sz val="11"/>
      <color rgb="FFFFFFFF"/>
      <name val="Arial"/>
      <family val="2"/>
    </font>
    <font>
      <b/>
      <sz val="9"/>
      <color rgb="FFFFFFFF"/>
      <name val="Arial"/>
      <family val="2"/>
    </font>
    <font>
      <b/>
      <u/>
      <sz val="11"/>
      <color rgb="FF0563C1"/>
      <name val="Arial"/>
      <family val="2"/>
    </font>
    <font>
      <u/>
      <sz val="10"/>
      <color rgb="FF0563C1"/>
      <name val="Arial"/>
      <family val="2"/>
    </font>
    <font>
      <b/>
      <sz val="11"/>
      <color rgb="FFFFFFFF"/>
      <name val="Calibri"/>
      <family val="2"/>
    </font>
    <font>
      <b/>
      <sz val="11"/>
      <color rgb="FF000000"/>
      <name val="Calibri"/>
      <family val="2"/>
    </font>
    <font>
      <b/>
      <sz val="11"/>
      <name val="Calibri"/>
      <family val="2"/>
    </font>
    <font>
      <sz val="9"/>
      <name val="Arial"/>
      <family val="2"/>
    </font>
    <font>
      <b/>
      <sz val="14"/>
      <color rgb="FFFFFFFF"/>
      <name val="Calibri"/>
      <family val="2"/>
    </font>
    <font>
      <b/>
      <sz val="10"/>
      <color rgb="FFFFFFFF"/>
      <name val="Calibri"/>
      <family val="2"/>
    </font>
    <font>
      <b/>
      <sz val="10"/>
      <name val="Calibri"/>
      <family val="2"/>
    </font>
    <font>
      <b/>
      <sz val="11"/>
      <color rgb="FF006100"/>
      <name val="Calibri"/>
      <family val="2"/>
    </font>
    <font>
      <b/>
      <sz val="11"/>
      <color rgb="FF9C6500"/>
      <name val="Calibri"/>
      <family val="2"/>
    </font>
    <font>
      <b/>
      <sz val="11"/>
      <color rgb="FF9C0006"/>
      <name val="Calibri"/>
      <family val="2"/>
    </font>
    <font>
      <b/>
      <sz val="11"/>
      <color rgb="FF7F6000"/>
      <name val="Calibri"/>
      <family val="2"/>
    </font>
    <font>
      <b/>
      <sz val="11"/>
      <color rgb="FF1F4E78"/>
      <name val="Calibri"/>
      <family val="2"/>
    </font>
    <font>
      <sz val="10"/>
      <name val="Calibri"/>
      <family val="2"/>
    </font>
    <font>
      <b/>
      <sz val="12"/>
      <color rgb="FFFFFFFF"/>
      <name val="Cambria"/>
      <family val="1"/>
    </font>
    <font>
      <b/>
      <sz val="11"/>
      <name val="Cambria"/>
      <family val="1"/>
    </font>
    <font>
      <sz val="11"/>
      <color rgb="FF0000FF"/>
      <name val="Cambria"/>
      <family val="1"/>
    </font>
    <font>
      <b/>
      <sz val="12"/>
      <color rgb="FF0000FF"/>
      <name val="Cambria"/>
      <family val="1"/>
    </font>
    <font>
      <i/>
      <sz val="9"/>
      <color rgb="FF666666"/>
      <name val="Cambria"/>
      <family val="1"/>
    </font>
    <font>
      <sz val="9"/>
      <name val="Cambria"/>
      <family val="1"/>
    </font>
    <font>
      <b/>
      <sz val="11"/>
      <color rgb="FFFFFFFF"/>
      <name val="Cambria"/>
      <family val="1"/>
    </font>
    <font>
      <b/>
      <sz val="10"/>
      <name val="Cambria"/>
      <family val="1"/>
    </font>
    <font>
      <sz val="10"/>
      <name val="Cambria"/>
      <family val="1"/>
    </font>
    <font>
      <b/>
      <sz val="11"/>
      <color rgb="FF0000FF"/>
      <name val="Cambria"/>
      <family val="1"/>
    </font>
    <font>
      <b/>
      <sz val="11"/>
      <color rgb="FFDC3545"/>
      <name val="Cambria"/>
      <family val="1"/>
    </font>
    <font>
      <b/>
      <sz val="10"/>
      <color rgb="FF721C24"/>
      <name val="Cambria"/>
      <family val="1"/>
    </font>
    <font>
      <b/>
      <sz val="11"/>
      <color rgb="FFFF8C00"/>
      <name val="Cambria"/>
      <family val="1"/>
    </font>
    <font>
      <b/>
      <sz val="10"/>
      <color rgb="FF856404"/>
      <name val="Cambria"/>
      <family val="1"/>
    </font>
    <font>
      <b/>
      <sz val="11"/>
      <color rgb="FF28A745"/>
      <name val="Cambria"/>
      <family val="1"/>
    </font>
    <font>
      <b/>
      <sz val="10"/>
      <color rgb="FF155724"/>
      <name val="Cambria"/>
      <family val="1"/>
    </font>
    <font>
      <i/>
      <sz val="8"/>
      <color rgb="FF666666"/>
      <name val="Cambria"/>
      <family val="1"/>
    </font>
    <font>
      <b/>
      <sz val="12"/>
      <name val="Cambria"/>
      <family val="1"/>
    </font>
    <font>
      <b/>
      <sz val="10"/>
      <color rgb="FF0000FF"/>
      <name val="Cambria"/>
      <family val="1"/>
    </font>
    <font>
      <b/>
      <sz val="10"/>
      <color rgb="FFCC5500"/>
      <name val="Cambria"/>
      <family val="1"/>
    </font>
    <font>
      <b/>
      <sz val="11"/>
      <color rgb="FFFFB300"/>
      <name val="Cambria"/>
      <family val="1"/>
    </font>
    <font>
      <b/>
      <sz val="9"/>
      <name val="Cambria"/>
      <family val="1"/>
    </font>
    <font>
      <b/>
      <sz val="11"/>
      <color rgb="FFFF0000"/>
      <name val="Cambria"/>
      <family val="1"/>
    </font>
    <font>
      <b/>
      <sz val="10"/>
      <color rgb="FFDC3545"/>
      <name val="Cambria"/>
      <family val="1"/>
    </font>
    <font>
      <b/>
      <sz val="11"/>
      <color theme="1"/>
      <name val="Calibri"/>
      <family val="2"/>
      <scheme val="minor"/>
    </font>
    <font>
      <sz val="11"/>
      <color rgb="FF000000"/>
      <name val="Calibri"/>
      <family val="2"/>
      <scheme val="minor"/>
    </font>
    <font>
      <b/>
      <u/>
      <sz val="11"/>
      <color rgb="FF0563C1"/>
      <name val="Arial"/>
      <family val="2"/>
    </font>
    <font>
      <b/>
      <sz val="9"/>
      <color rgb="FFFFFFFF"/>
      <name val="Arial"/>
      <family val="2"/>
    </font>
    <font>
      <b/>
      <sz val="11"/>
      <color rgb="FF000000"/>
      <name val="Calibri"/>
      <family val="2"/>
    </font>
    <font>
      <b/>
      <sz val="10"/>
      <color rgb="FFC00000"/>
      <name val="Arial"/>
      <family val="2"/>
    </font>
    <font>
      <u/>
      <sz val="10"/>
      <color rgb="FF0070C0"/>
      <name val="Arial"/>
      <family val="2"/>
    </font>
    <font>
      <sz val="10"/>
      <color theme="1"/>
      <name val="Arial"/>
      <family val="2"/>
    </font>
    <font>
      <sz val="11"/>
      <color rgb="FFC00000"/>
      <name val="Calibri"/>
      <family val="2"/>
      <scheme val="minor"/>
    </font>
    <font>
      <b/>
      <sz val="15"/>
      <color rgb="FFC00000"/>
      <name val="Calibri"/>
      <family val="2"/>
      <scheme val="minor"/>
    </font>
    <font>
      <sz val="9"/>
      <name val="Calibri"/>
      <family val="2"/>
    </font>
    <font>
      <sz val="15"/>
      <color rgb="FFC00000"/>
      <name val="Calibri"/>
      <family val="2"/>
      <scheme val="minor"/>
    </font>
    <font>
      <b/>
      <sz val="11"/>
      <color rgb="FFC00000"/>
      <name val="Calibri"/>
      <family val="2"/>
      <scheme val="minor"/>
    </font>
    <font>
      <b/>
      <sz val="15"/>
      <color rgb="FFFFFFFF"/>
      <name val="Cambria"/>
      <family val="1"/>
    </font>
  </fonts>
  <fills count="40">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FFFF00"/>
        <bgColor rgb="FFD9E1F2"/>
      </patternFill>
    </fill>
    <fill>
      <patternFill patternType="solid">
        <fgColor rgb="FFFFFF00"/>
        <bgColor indexed="64"/>
      </patternFill>
    </fill>
    <fill>
      <patternFill patternType="solid">
        <fgColor rgb="FF1F4E78"/>
        <bgColor rgb="FF1F4E78"/>
      </patternFill>
    </fill>
    <fill>
      <patternFill patternType="solid">
        <fgColor rgb="FFFFFF00"/>
        <bgColor rgb="FFFFFF00"/>
      </patternFill>
    </fill>
    <fill>
      <patternFill patternType="solid">
        <fgColor rgb="FFF2F2F2"/>
        <bgColor rgb="FFF2F2F2"/>
      </patternFill>
    </fill>
    <fill>
      <patternFill patternType="solid">
        <fgColor rgb="FF4472C4"/>
        <bgColor rgb="FF4472C4"/>
      </patternFill>
    </fill>
    <fill>
      <patternFill patternType="solid">
        <fgColor rgb="FFD9E1F2"/>
        <bgColor rgb="FFD9E1F2"/>
      </patternFill>
    </fill>
    <fill>
      <patternFill patternType="solid">
        <fgColor rgb="FFFF0000"/>
        <bgColor rgb="FFFF0000"/>
      </patternFill>
    </fill>
    <fill>
      <patternFill patternType="solid">
        <fgColor rgb="FFFFC000"/>
        <bgColor rgb="FFFFC000"/>
      </patternFill>
    </fill>
    <fill>
      <patternFill patternType="solid">
        <fgColor rgb="FF00B050"/>
        <bgColor rgb="FF00B050"/>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FD966"/>
        <bgColor rgb="FFFFD966"/>
      </patternFill>
    </fill>
    <fill>
      <patternFill patternType="solid">
        <fgColor rgb="FFB4C7E7"/>
        <bgColor rgb="FFB4C7E7"/>
      </patternFill>
    </fill>
    <fill>
      <patternFill patternType="solid">
        <fgColor rgb="FFE7E6E6"/>
        <bgColor rgb="FFE7E6E6"/>
      </patternFill>
    </fill>
    <fill>
      <patternFill patternType="solid">
        <fgColor rgb="FF4472C4"/>
        <bgColor rgb="FF666666"/>
      </patternFill>
    </fill>
    <fill>
      <patternFill patternType="solid">
        <fgColor rgb="FFD9D9D9"/>
        <bgColor rgb="FFC0C0C0"/>
      </patternFill>
    </fill>
    <fill>
      <patternFill patternType="solid">
        <fgColor rgb="FF4472C4"/>
        <bgColor rgb="FF666699"/>
      </patternFill>
    </fill>
    <fill>
      <patternFill patternType="solid">
        <fgColor rgb="FFD9D9D9"/>
        <bgColor rgb="FFD4EDDA"/>
      </patternFill>
    </fill>
    <fill>
      <patternFill patternType="solid">
        <fgColor rgb="FFFFC000"/>
        <bgColor rgb="FFFF8C00"/>
      </patternFill>
    </fill>
    <fill>
      <patternFill patternType="solid">
        <fgColor rgb="FFF8D7DA"/>
        <bgColor rgb="FFD9D9D9"/>
      </patternFill>
    </fill>
    <fill>
      <patternFill patternType="solid">
        <fgColor rgb="FFFFF3CD"/>
        <bgColor rgb="FFE9ECEF"/>
      </patternFill>
    </fill>
    <fill>
      <patternFill patternType="solid">
        <fgColor rgb="FFD4EDDA"/>
        <bgColor rgb="FFE9ECEF"/>
      </patternFill>
    </fill>
    <fill>
      <patternFill patternType="solid">
        <fgColor rgb="FFE9ECEF"/>
        <bgColor rgb="FFD4EDDA"/>
      </patternFill>
    </fill>
    <fill>
      <patternFill patternType="solid">
        <fgColor rgb="FFC6E0B4"/>
        <bgColor rgb="FFD9D9D9"/>
      </patternFill>
    </fill>
    <fill>
      <patternFill patternType="solid">
        <fgColor rgb="FFFFC000"/>
        <bgColor rgb="FFFFB300"/>
      </patternFill>
    </fill>
    <fill>
      <patternFill patternType="solid">
        <fgColor rgb="FFF8D7DA"/>
        <bgColor rgb="FFFFE5B4"/>
      </patternFill>
    </fill>
    <fill>
      <patternFill patternType="solid">
        <fgColor rgb="FFFFE5B4"/>
        <bgColor rgb="FFFFF3CD"/>
      </patternFill>
    </fill>
    <fill>
      <patternFill patternType="solid">
        <fgColor rgb="FFFFF3CD"/>
        <bgColor rgb="FFFFE5B4"/>
      </patternFill>
    </fill>
    <fill>
      <patternFill patternType="solid">
        <fgColor rgb="FFD4EDDA"/>
        <bgColor rgb="FFD8F3DC"/>
      </patternFill>
    </fill>
    <fill>
      <patternFill patternType="solid">
        <fgColor rgb="FFD8F3DC"/>
        <bgColor rgb="FFD4EDDA"/>
      </patternFill>
    </fill>
    <fill>
      <patternFill patternType="solid">
        <fgColor rgb="FFE7F3FF"/>
        <bgColor rgb="FFFFFFFF"/>
      </patternFill>
    </fill>
    <fill>
      <patternFill patternType="solid">
        <fgColor rgb="FFD9D9D9"/>
        <bgColor rgb="FFC6E0B4"/>
      </patternFill>
    </fill>
    <fill>
      <patternFill patternType="solid">
        <fgColor rgb="FFFFFACD"/>
        <bgColor rgb="FFFFFFFF"/>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286">
    <xf numFmtId="0" fontId="0" fillId="0" borderId="0" xfId="0"/>
    <xf numFmtId="0" fontId="4" fillId="3" borderId="1" xfId="0" applyFont="1" applyFill="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2" fillId="4" borderId="1" xfId="0" applyFont="1" applyFill="1" applyBorder="1" applyAlignment="1">
      <alignment horizontal="left" vertical="center"/>
    </xf>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6" fillId="0" borderId="1" xfId="0" applyFont="1" applyBorder="1" applyAlignment="1">
      <alignment horizontal="left" vertical="center"/>
    </xf>
    <xf numFmtId="0" fontId="8" fillId="0" borderId="0" xfId="0" applyFont="1"/>
    <xf numFmtId="0" fontId="0" fillId="7" borderId="2" xfId="0" applyFill="1" applyBorder="1"/>
    <xf numFmtId="164" fontId="0" fillId="8" borderId="2" xfId="0" applyNumberFormat="1" applyFill="1" applyBorder="1"/>
    <xf numFmtId="0" fontId="10" fillId="9" borderId="2" xfId="0" applyFont="1" applyFill="1" applyBorder="1" applyAlignment="1">
      <alignment horizontal="center" vertical="center"/>
    </xf>
    <xf numFmtId="0" fontId="0" fillId="8" borderId="2" xfId="0" applyFill="1" applyBorder="1"/>
    <xf numFmtId="1" fontId="0" fillId="7" borderId="2" xfId="0" applyNumberFormat="1" applyFill="1" applyBorder="1"/>
    <xf numFmtId="1" fontId="8" fillId="10" borderId="2" xfId="0" applyNumberFormat="1" applyFont="1" applyFill="1" applyBorder="1"/>
    <xf numFmtId="0" fontId="11" fillId="0" borderId="0" xfId="0" applyFont="1"/>
    <xf numFmtId="0" fontId="8" fillId="8" borderId="2" xfId="0" applyFont="1" applyFill="1" applyBorder="1"/>
    <xf numFmtId="0" fontId="0" fillId="7" borderId="12" xfId="0" applyFill="1" applyBorder="1"/>
    <xf numFmtId="0" fontId="10" fillId="9" borderId="12" xfId="0" applyFont="1" applyFill="1" applyBorder="1" applyAlignment="1">
      <alignment horizontal="center" vertical="center"/>
    </xf>
    <xf numFmtId="3" fontId="0" fillId="7" borderId="12" xfId="0" applyNumberFormat="1" applyFill="1" applyBorder="1"/>
    <xf numFmtId="0" fontId="8" fillId="8" borderId="12" xfId="0" applyFont="1" applyFill="1" applyBorder="1"/>
    <xf numFmtId="0" fontId="0" fillId="8" borderId="12" xfId="0" applyFill="1" applyBorder="1"/>
    <xf numFmtId="0" fontId="10" fillId="9" borderId="12" xfId="0" applyFont="1" applyFill="1" applyBorder="1" applyAlignment="1">
      <alignment horizontal="center" vertical="center" wrapText="1"/>
    </xf>
    <xf numFmtId="0" fontId="10" fillId="9" borderId="12" xfId="0" applyFont="1" applyFill="1" applyBorder="1" applyAlignment="1">
      <alignment horizontal="center"/>
    </xf>
    <xf numFmtId="3" fontId="0" fillId="7" borderId="12" xfId="0" applyNumberFormat="1" applyFill="1" applyBorder="1" applyAlignment="1">
      <alignment horizontal="right"/>
    </xf>
    <xf numFmtId="1" fontId="0" fillId="7" borderId="12" xfId="0" applyNumberFormat="1" applyFill="1" applyBorder="1"/>
    <xf numFmtId="0" fontId="0" fillId="8" borderId="12" xfId="0" applyFill="1" applyBorder="1" applyAlignment="1">
      <alignment horizontal="center"/>
    </xf>
    <xf numFmtId="3" fontId="0" fillId="8" borderId="12" xfId="0" applyNumberFormat="1" applyFill="1" applyBorder="1"/>
    <xf numFmtId="3" fontId="8" fillId="10" borderId="12" xfId="0" applyNumberFormat="1" applyFont="1" applyFill="1" applyBorder="1" applyAlignment="1">
      <alignment horizontal="center"/>
    </xf>
    <xf numFmtId="0" fontId="0" fillId="0" borderId="12" xfId="0" applyBorder="1" applyAlignment="1">
      <alignment horizontal="left" vertical="center"/>
    </xf>
    <xf numFmtId="0" fontId="12" fillId="0" borderId="12" xfId="0" applyFont="1" applyBorder="1" applyAlignment="1">
      <alignment horizontal="center" vertical="center"/>
    </xf>
    <xf numFmtId="0" fontId="0" fillId="8" borderId="12" xfId="0" applyFill="1" applyBorder="1" applyAlignment="1">
      <alignment horizontal="center" vertical="center"/>
    </xf>
    <xf numFmtId="0" fontId="13" fillId="11" borderId="12" xfId="0" applyFont="1" applyFill="1" applyBorder="1" applyAlignment="1">
      <alignment horizontal="center" vertical="center"/>
    </xf>
    <xf numFmtId="0" fontId="14" fillId="12" borderId="12" xfId="0" applyFont="1" applyFill="1" applyBorder="1" applyAlignment="1">
      <alignment horizontal="center" vertical="center"/>
    </xf>
    <xf numFmtId="0" fontId="14" fillId="7" borderId="12" xfId="0" applyFont="1" applyFill="1" applyBorder="1" applyAlignment="1">
      <alignment horizontal="center" vertical="center"/>
    </xf>
    <xf numFmtId="0" fontId="13" fillId="13" borderId="12" xfId="0" applyFont="1" applyFill="1" applyBorder="1" applyAlignment="1">
      <alignment horizontal="center" vertical="center"/>
    </xf>
    <xf numFmtId="166" fontId="15" fillId="8" borderId="12" xfId="0" applyNumberFormat="1" applyFont="1" applyFill="1" applyBorder="1" applyAlignment="1">
      <alignment horizontal="center" vertical="center"/>
    </xf>
    <xf numFmtId="0" fontId="8" fillId="9" borderId="12" xfId="0" applyFont="1" applyFill="1" applyBorder="1" applyAlignment="1">
      <alignment horizontal="center" vertical="center"/>
    </xf>
    <xf numFmtId="1" fontId="0" fillId="8" borderId="2" xfId="0" applyNumberFormat="1" applyFill="1" applyBorder="1"/>
    <xf numFmtId="0" fontId="16" fillId="8" borderId="2" xfId="0" applyFont="1" applyFill="1" applyBorder="1"/>
    <xf numFmtId="0" fontId="0" fillId="8" borderId="2" xfId="0" applyFill="1" applyBorder="1" applyAlignment="1">
      <alignment horizontal="center"/>
    </xf>
    <xf numFmtId="2" fontId="0" fillId="7" borderId="2" xfId="0" applyNumberFormat="1" applyFill="1" applyBorder="1"/>
    <xf numFmtId="3" fontId="0" fillId="7" borderId="2" xfId="0" applyNumberFormat="1" applyFill="1" applyBorder="1"/>
    <xf numFmtId="2" fontId="8" fillId="10" borderId="2" xfId="0" applyNumberFormat="1" applyFont="1" applyFill="1" applyBorder="1" applyAlignment="1">
      <alignment horizontal="center"/>
    </xf>
    <xf numFmtId="3" fontId="8" fillId="10" borderId="2" xfId="0" applyNumberFormat="1" applyFont="1" applyFill="1" applyBorder="1" applyAlignment="1">
      <alignment horizontal="center"/>
    </xf>
    <xf numFmtId="164" fontId="0" fillId="7" borderId="12" xfId="0" applyNumberFormat="1" applyFill="1" applyBorder="1" applyAlignment="1">
      <alignment horizontal="center"/>
    </xf>
    <xf numFmtId="1" fontId="0" fillId="8" borderId="12" xfId="0" applyNumberFormat="1" applyFill="1" applyBorder="1" applyAlignment="1">
      <alignment horizontal="center"/>
    </xf>
    <xf numFmtId="0" fontId="0" fillId="7" borderId="12" xfId="0" applyFill="1" applyBorder="1" applyAlignment="1">
      <alignment horizontal="center" vertical="center" wrapText="1"/>
    </xf>
    <xf numFmtId="0" fontId="18" fillId="9" borderId="12" xfId="0" applyFont="1" applyFill="1" applyBorder="1" applyAlignment="1">
      <alignment horizontal="center" vertical="center" wrapText="1"/>
    </xf>
    <xf numFmtId="0" fontId="0" fillId="7" borderId="12" xfId="0" applyFill="1" applyBorder="1" applyAlignment="1">
      <alignment horizontal="left" vertical="center" wrapText="1"/>
    </xf>
    <xf numFmtId="0" fontId="19" fillId="0" borderId="12" xfId="0" applyFont="1" applyBorder="1" applyAlignment="1">
      <alignment horizontal="left" vertical="center" wrapText="1"/>
    </xf>
    <xf numFmtId="0" fontId="19" fillId="14" borderId="12" xfId="0" applyFont="1" applyFill="1" applyBorder="1" applyAlignment="1">
      <alignment horizontal="center" vertical="center" wrapText="1"/>
    </xf>
    <xf numFmtId="0" fontId="25" fillId="0" borderId="12" xfId="0" applyFont="1" applyBorder="1" applyAlignment="1">
      <alignment horizontal="left" vertical="center" wrapText="1"/>
    </xf>
    <xf numFmtId="167" fontId="0" fillId="7" borderId="12" xfId="0" applyNumberFormat="1" applyFill="1" applyBorder="1" applyAlignment="1">
      <alignment horizontal="center" vertical="center" wrapText="1"/>
    </xf>
    <xf numFmtId="168" fontId="0" fillId="0" borderId="12" xfId="0" applyNumberFormat="1" applyBorder="1" applyAlignment="1">
      <alignment horizontal="center" vertical="center" wrapText="1"/>
    </xf>
    <xf numFmtId="2" fontId="0" fillId="7" borderId="12" xfId="0" applyNumberFormat="1" applyFill="1" applyBorder="1" applyAlignment="1">
      <alignment horizontal="center" vertical="center" wrapText="1"/>
    </xf>
    <xf numFmtId="0" fontId="27" fillId="0" borderId="12" xfId="0" applyFont="1" applyBorder="1"/>
    <xf numFmtId="0" fontId="27" fillId="0" borderId="12" xfId="0" applyFont="1" applyBorder="1" applyAlignment="1">
      <alignment horizontal="center"/>
    </xf>
    <xf numFmtId="0" fontId="0" fillId="0" borderId="12" xfId="0" applyBorder="1"/>
    <xf numFmtId="3" fontId="28" fillId="7" borderId="12" xfId="0" applyNumberFormat="1" applyFont="1" applyFill="1" applyBorder="1"/>
    <xf numFmtId="168" fontId="28" fillId="7" borderId="12" xfId="0" applyNumberFormat="1" applyFont="1" applyFill="1" applyBorder="1"/>
    <xf numFmtId="3" fontId="0" fillId="0" borderId="12" xfId="0" applyNumberFormat="1" applyBorder="1"/>
    <xf numFmtId="3" fontId="29" fillId="7" borderId="0" xfId="0" applyNumberFormat="1" applyFont="1" applyFill="1" applyAlignment="1">
      <alignment horizontal="center"/>
    </xf>
    <xf numFmtId="9" fontId="28" fillId="7" borderId="12" xfId="0" applyNumberFormat="1" applyFont="1" applyFill="1" applyBorder="1"/>
    <xf numFmtId="0" fontId="27" fillId="0" borderId="0" xfId="0" applyFont="1"/>
    <xf numFmtId="3" fontId="27" fillId="0" borderId="0" xfId="0" applyNumberFormat="1" applyFont="1"/>
    <xf numFmtId="0" fontId="27" fillId="24" borderId="12" xfId="0" applyFont="1" applyFill="1" applyBorder="1" applyAlignment="1">
      <alignment horizontal="center" vertical="center" wrapText="1"/>
    </xf>
    <xf numFmtId="0" fontId="0" fillId="0" borderId="12" xfId="0" applyBorder="1" applyAlignment="1">
      <alignment vertical="center"/>
    </xf>
    <xf numFmtId="0" fontId="28" fillId="7" borderId="12" xfId="0" applyFont="1" applyFill="1" applyBorder="1" applyAlignment="1">
      <alignment vertical="center"/>
    </xf>
    <xf numFmtId="164" fontId="28" fillId="7" borderId="12" xfId="0" applyNumberFormat="1" applyFont="1" applyFill="1" applyBorder="1" applyAlignment="1">
      <alignment horizontal="center" vertical="center"/>
    </xf>
    <xf numFmtId="1" fontId="0" fillId="0" borderId="12" xfId="0" applyNumberFormat="1" applyBorder="1" applyAlignment="1">
      <alignment horizontal="center" vertical="center"/>
    </xf>
    <xf numFmtId="1" fontId="28" fillId="7" borderId="12" xfId="0" applyNumberFormat="1" applyFont="1" applyFill="1" applyBorder="1" applyAlignment="1">
      <alignment horizontal="center" vertical="center"/>
    </xf>
    <xf numFmtId="0" fontId="33" fillId="0" borderId="12" xfId="0" applyFont="1" applyBorder="1" applyAlignment="1">
      <alignment horizontal="center" vertical="center"/>
    </xf>
    <xf numFmtId="9" fontId="28" fillId="7" borderId="12" xfId="0" applyNumberFormat="1" applyFont="1" applyFill="1" applyBorder="1" applyAlignment="1">
      <alignment horizontal="center" vertical="center"/>
    </xf>
    <xf numFmtId="0" fontId="27" fillId="24" borderId="12" xfId="0" applyFont="1" applyFill="1" applyBorder="1" applyAlignment="1">
      <alignment vertical="center"/>
    </xf>
    <xf numFmtId="1" fontId="29" fillId="24" borderId="12" xfId="0" applyNumberFormat="1" applyFont="1" applyFill="1" applyBorder="1" applyAlignment="1">
      <alignment horizontal="center" vertical="center"/>
    </xf>
    <xf numFmtId="0" fontId="0" fillId="24" borderId="12" xfId="0" applyFill="1" applyBorder="1"/>
    <xf numFmtId="9" fontId="29" fillId="24" borderId="12" xfId="0" applyNumberFormat="1" applyFont="1" applyFill="1" applyBorder="1" applyAlignment="1">
      <alignment horizontal="center" vertical="center"/>
    </xf>
    <xf numFmtId="0" fontId="27" fillId="24" borderId="12" xfId="0" applyFont="1" applyFill="1" applyBorder="1"/>
    <xf numFmtId="0" fontId="34" fillId="0" borderId="12" xfId="0" applyFont="1" applyBorder="1" applyAlignment="1">
      <alignment vertical="center"/>
    </xf>
    <xf numFmtId="0" fontId="27" fillId="24" borderId="12" xfId="0" applyFont="1" applyFill="1" applyBorder="1" applyAlignment="1">
      <alignment horizontal="center"/>
    </xf>
    <xf numFmtId="0" fontId="36" fillId="26" borderId="12" xfId="0" applyFont="1" applyFill="1" applyBorder="1" applyAlignment="1">
      <alignment horizontal="center" vertical="center"/>
    </xf>
    <xf numFmtId="0" fontId="38" fillId="27" borderId="12" xfId="0" applyFont="1" applyFill="1" applyBorder="1" applyAlignment="1">
      <alignment horizontal="center" vertical="center"/>
    </xf>
    <xf numFmtId="0" fontId="40" fillId="28" borderId="12" xfId="0" applyFont="1" applyFill="1" applyBorder="1" applyAlignment="1">
      <alignment horizontal="center" vertical="center"/>
    </xf>
    <xf numFmtId="0" fontId="33" fillId="28" borderId="12" xfId="0" applyFont="1" applyFill="1" applyBorder="1" applyAlignment="1">
      <alignment horizontal="center" vertical="center"/>
    </xf>
    <xf numFmtId="0" fontId="33" fillId="27" borderId="12" xfId="0" applyFont="1" applyFill="1" applyBorder="1" applyAlignment="1">
      <alignment horizontal="center" vertical="center"/>
    </xf>
    <xf numFmtId="0" fontId="33" fillId="29" borderId="12" xfId="0" applyFont="1" applyFill="1" applyBorder="1" applyAlignment="1">
      <alignment horizontal="center" vertical="center"/>
    </xf>
    <xf numFmtId="0" fontId="33" fillId="26" borderId="12" xfId="0" applyFont="1" applyFill="1" applyBorder="1" applyAlignment="1">
      <alignment horizontal="center" vertical="center"/>
    </xf>
    <xf numFmtId="0" fontId="33" fillId="0" borderId="12" xfId="0" applyFont="1" applyBorder="1" applyAlignment="1">
      <alignment vertical="top" wrapText="1"/>
    </xf>
    <xf numFmtId="0" fontId="28" fillId="7" borderId="12" xfId="0" applyFont="1" applyFill="1" applyBorder="1" applyAlignment="1">
      <alignment vertical="top" wrapText="1"/>
    </xf>
    <xf numFmtId="169" fontId="29" fillId="24" borderId="12" xfId="0" applyNumberFormat="1" applyFont="1" applyFill="1" applyBorder="1" applyAlignment="1">
      <alignment horizontal="center" vertical="center"/>
    </xf>
    <xf numFmtId="0" fontId="43" fillId="24" borderId="12" xfId="0" applyFont="1" applyFill="1" applyBorder="1" applyAlignment="1">
      <alignment horizontal="center" vertical="center"/>
    </xf>
    <xf numFmtId="0" fontId="34" fillId="0" borderId="12" xfId="0" applyFont="1" applyBorder="1"/>
    <xf numFmtId="0" fontId="36" fillId="32" borderId="12" xfId="0" applyFont="1" applyFill="1" applyBorder="1" applyAlignment="1">
      <alignment horizontal="center" vertical="center"/>
    </xf>
    <xf numFmtId="0" fontId="38" fillId="33" borderId="12" xfId="0" applyFont="1" applyFill="1" applyBorder="1" applyAlignment="1">
      <alignment horizontal="center" vertical="center"/>
    </xf>
    <xf numFmtId="0" fontId="46" fillId="34" borderId="12" xfId="0" applyFont="1" applyFill="1" applyBorder="1" applyAlignment="1">
      <alignment horizontal="center" vertical="center"/>
    </xf>
    <xf numFmtId="0" fontId="33" fillId="35" borderId="12" xfId="0" applyFont="1" applyFill="1" applyBorder="1" applyAlignment="1">
      <alignment horizontal="center" vertical="center"/>
    </xf>
    <xf numFmtId="0" fontId="33" fillId="36" borderId="12" xfId="0" applyFont="1" applyFill="1" applyBorder="1" applyAlignment="1">
      <alignment horizontal="center" vertical="center"/>
    </xf>
    <xf numFmtId="0" fontId="33" fillId="34" borderId="12" xfId="0" applyFont="1" applyFill="1" applyBorder="1" applyAlignment="1">
      <alignment horizontal="center" vertical="center"/>
    </xf>
    <xf numFmtId="0" fontId="33" fillId="33" borderId="12" xfId="0" applyFont="1" applyFill="1" applyBorder="1" applyAlignment="1">
      <alignment horizontal="center" vertical="center"/>
    </xf>
    <xf numFmtId="0" fontId="33" fillId="32" borderId="12" xfId="0" applyFont="1" applyFill="1" applyBorder="1" applyAlignment="1">
      <alignment horizontal="center" vertical="center"/>
    </xf>
    <xf numFmtId="1" fontId="33" fillId="0" borderId="12" xfId="0" applyNumberFormat="1" applyFont="1" applyBorder="1" applyAlignment="1">
      <alignment horizontal="center" vertical="center"/>
    </xf>
    <xf numFmtId="168" fontId="33" fillId="0" borderId="12" xfId="0" applyNumberFormat="1" applyFont="1" applyBorder="1" applyAlignment="1">
      <alignment horizontal="center" vertical="center"/>
    </xf>
    <xf numFmtId="0" fontId="47" fillId="0" borderId="12" xfId="0" applyFont="1" applyBorder="1" applyAlignment="1">
      <alignment horizontal="center" vertical="center" wrapText="1"/>
    </xf>
    <xf numFmtId="0" fontId="27" fillId="24" borderId="12" xfId="0" applyFont="1" applyFill="1" applyBorder="1" applyAlignment="1">
      <alignment horizontal="right" vertical="center"/>
    </xf>
    <xf numFmtId="1" fontId="35" fillId="24" borderId="12" xfId="0" applyNumberFormat="1" applyFont="1" applyFill="1" applyBorder="1" applyAlignment="1">
      <alignment horizontal="center"/>
    </xf>
    <xf numFmtId="1" fontId="48" fillId="24" borderId="12" xfId="0" applyNumberFormat="1" applyFont="1" applyFill="1" applyBorder="1" applyAlignment="1">
      <alignment horizontal="center"/>
    </xf>
    <xf numFmtId="168" fontId="35" fillId="24" borderId="12" xfId="0" applyNumberFormat="1" applyFont="1" applyFill="1" applyBorder="1" applyAlignment="1">
      <alignment horizontal="center"/>
    </xf>
    <xf numFmtId="0" fontId="47" fillId="35" borderId="12" xfId="0" applyFont="1" applyFill="1" applyBorder="1" applyAlignment="1">
      <alignment horizontal="center" vertical="center" wrapText="1"/>
    </xf>
    <xf numFmtId="0" fontId="47" fillId="36" borderId="12" xfId="0" applyFont="1" applyFill="1" applyBorder="1" applyAlignment="1">
      <alignment horizontal="center" vertical="center" wrapText="1"/>
    </xf>
    <xf numFmtId="0" fontId="47" fillId="34" borderId="12" xfId="0" applyFont="1" applyFill="1" applyBorder="1" applyAlignment="1">
      <alignment horizontal="center" vertical="center" wrapText="1"/>
    </xf>
    <xf numFmtId="0" fontId="47" fillId="32" borderId="12" xfId="0" applyFont="1" applyFill="1" applyBorder="1" applyAlignment="1">
      <alignment horizontal="center" vertical="center" wrapText="1"/>
    </xf>
    <xf numFmtId="0" fontId="28" fillId="7" borderId="12" xfId="0" applyFont="1" applyFill="1" applyBorder="1"/>
    <xf numFmtId="0" fontId="26" fillId="21" borderId="12" xfId="0" applyFont="1" applyFill="1" applyBorder="1" applyAlignment="1">
      <alignment horizontal="center" vertical="center"/>
    </xf>
    <xf numFmtId="0" fontId="30" fillId="37" borderId="12" xfId="0" applyFont="1" applyFill="1" applyBorder="1" applyAlignment="1">
      <alignment vertical="top" wrapText="1"/>
    </xf>
    <xf numFmtId="0" fontId="43" fillId="30" borderId="12" xfId="0" applyFont="1" applyFill="1" applyBorder="1" applyAlignment="1">
      <alignment horizontal="center" vertical="center"/>
    </xf>
    <xf numFmtId="0" fontId="27" fillId="38" borderId="12" xfId="0" applyFont="1" applyFill="1" applyBorder="1" applyAlignment="1">
      <alignment horizontal="center" vertical="center"/>
    </xf>
    <xf numFmtId="0" fontId="31" fillId="0" borderId="12" xfId="0" applyFont="1" applyBorder="1" applyAlignment="1">
      <alignment vertical="center"/>
    </xf>
    <xf numFmtId="0" fontId="27" fillId="39" borderId="12" xfId="0" applyFont="1" applyFill="1" applyBorder="1" applyAlignment="1">
      <alignment horizontal="center" vertical="center"/>
    </xf>
    <xf numFmtId="0" fontId="31" fillId="0" borderId="12" xfId="0" applyFont="1" applyBorder="1" applyAlignment="1">
      <alignment vertical="top" wrapText="1"/>
    </xf>
    <xf numFmtId="0" fontId="0" fillId="0" borderId="0" xfId="0" applyAlignment="1">
      <alignment horizontal="center"/>
    </xf>
    <xf numFmtId="0" fontId="50" fillId="0" borderId="0" xfId="0" applyFont="1" applyAlignment="1">
      <alignment horizontal="center"/>
    </xf>
    <xf numFmtId="0" fontId="8" fillId="8" borderId="27" xfId="0" applyFont="1" applyFill="1" applyBorder="1"/>
    <xf numFmtId="0" fontId="8" fillId="8" borderId="6" xfId="0" applyFont="1" applyFill="1" applyBorder="1"/>
    <xf numFmtId="0" fontId="50" fillId="0" borderId="0" xfId="0" applyFont="1" applyAlignment="1">
      <alignment horizontal="center" vertical="center"/>
    </xf>
    <xf numFmtId="0" fontId="51" fillId="0" borderId="0" xfId="0" applyFont="1" applyAlignment="1">
      <alignment horizontal="center" vertical="center"/>
    </xf>
    <xf numFmtId="0" fontId="50" fillId="0" borderId="0" xfId="0" applyFont="1"/>
    <xf numFmtId="0" fontId="52" fillId="0" borderId="0" xfId="0" applyFont="1"/>
    <xf numFmtId="0" fontId="51" fillId="0" borderId="0" xfId="0" applyFont="1"/>
    <xf numFmtId="0" fontId="19" fillId="0" borderId="22" xfId="0" applyFont="1" applyBorder="1" applyAlignment="1">
      <alignment horizontal="left" vertical="center" wrapText="1"/>
    </xf>
    <xf numFmtId="165" fontId="0" fillId="8" borderId="12" xfId="0" applyNumberFormat="1" applyFill="1" applyBorder="1"/>
    <xf numFmtId="0" fontId="0" fillId="0" borderId="20" xfId="0" applyBorder="1"/>
    <xf numFmtId="0" fontId="55" fillId="4" borderId="1" xfId="0" applyFont="1" applyFill="1" applyBorder="1" applyAlignment="1">
      <alignment horizontal="center" vertical="center"/>
    </xf>
    <xf numFmtId="0" fontId="55" fillId="0" borderId="1" xfId="0" applyFont="1" applyBorder="1" applyAlignment="1">
      <alignment horizontal="center" vertical="center"/>
    </xf>
    <xf numFmtId="0" fontId="55" fillId="5" borderId="1" xfId="0" applyFont="1" applyFill="1" applyBorder="1" applyAlignment="1">
      <alignment horizontal="center" vertical="center"/>
    </xf>
    <xf numFmtId="0" fontId="56" fillId="0" borderId="1" xfId="0" applyFont="1" applyBorder="1" applyAlignment="1">
      <alignment horizontal="center" vertical="center"/>
    </xf>
    <xf numFmtId="0" fontId="57" fillId="0" borderId="1" xfId="0" applyFont="1" applyBorder="1" applyAlignment="1">
      <alignment horizontal="left" vertical="center"/>
    </xf>
    <xf numFmtId="0" fontId="59" fillId="0" borderId="12" xfId="0" applyFont="1" applyBorder="1" applyAlignment="1">
      <alignment horizontal="center" vertical="center"/>
    </xf>
    <xf numFmtId="0" fontId="25" fillId="0" borderId="0" xfId="0" applyFont="1"/>
    <xf numFmtId="0" fontId="25" fillId="0" borderId="20" xfId="0" applyFont="1" applyBorder="1"/>
    <xf numFmtId="0" fontId="60" fillId="0" borderId="0" xfId="0" applyFont="1"/>
    <xf numFmtId="0" fontId="61" fillId="0" borderId="12" xfId="0" applyFont="1" applyBorder="1" applyAlignment="1">
      <alignment horizontal="center" vertical="center"/>
    </xf>
    <xf numFmtId="0" fontId="51" fillId="0" borderId="0" xfId="0" applyFont="1" applyAlignment="1">
      <alignment horizontal="left" vertical="center"/>
    </xf>
    <xf numFmtId="0" fontId="62" fillId="0" borderId="12" xfId="0" applyFont="1" applyBorder="1" applyAlignment="1">
      <alignment horizontal="center" vertical="center"/>
    </xf>
    <xf numFmtId="0" fontId="25" fillId="0" borderId="0" xfId="0" applyFont="1" applyAlignment="1">
      <alignment horizontal="right"/>
    </xf>
    <xf numFmtId="0" fontId="60" fillId="0" borderId="0" xfId="0" applyFont="1" applyAlignment="1">
      <alignment horizontal="right"/>
    </xf>
    <xf numFmtId="0" fontId="55" fillId="0" borderId="2" xfId="0" applyFont="1" applyBorder="1" applyAlignment="1">
      <alignment horizontal="center" vertical="center"/>
    </xf>
    <xf numFmtId="0" fontId="0" fillId="7" borderId="12" xfId="0" applyFill="1" applyBorder="1" applyAlignment="1">
      <alignment horizontal="center" vertical="center"/>
    </xf>
    <xf numFmtId="0" fontId="0" fillId="0" borderId="0" xfId="0" applyAlignment="1">
      <alignment horizontal="right"/>
    </xf>
    <xf numFmtId="0" fontId="63" fillId="21" borderId="0" xfId="0" applyFont="1" applyFill="1" applyAlignment="1">
      <alignment horizontal="center" vertical="center"/>
    </xf>
    <xf numFmtId="0" fontId="1" fillId="2" borderId="0" xfId="0" applyFont="1" applyFill="1" applyAlignment="1">
      <alignment horizontal="center" vertical="center"/>
    </xf>
    <xf numFmtId="0" fontId="0" fillId="0" borderId="0" xfId="0"/>
    <xf numFmtId="0" fontId="55" fillId="8" borderId="12" xfId="0" applyFont="1" applyFill="1" applyBorder="1" applyAlignment="1">
      <alignment horizontal="center" vertical="center"/>
    </xf>
    <xf numFmtId="0" fontId="58" fillId="0" borderId="15" xfId="0" applyFont="1" applyBorder="1"/>
    <xf numFmtId="0" fontId="0" fillId="0" borderId="12" xfId="0" applyBorder="1" applyAlignment="1">
      <alignment horizontal="left" vertical="center"/>
    </xf>
    <xf numFmtId="0" fontId="0" fillId="0" borderId="16" xfId="0" applyBorder="1"/>
    <xf numFmtId="0" fontId="0" fillId="0" borderId="15" xfId="0" applyBorder="1"/>
    <xf numFmtId="0" fontId="9" fillId="9" borderId="0" xfId="0" applyFont="1" applyFill="1" applyAlignment="1">
      <alignment horizontal="center" vertical="center"/>
    </xf>
    <xf numFmtId="0" fontId="1" fillId="6" borderId="0" xfId="0" applyFont="1" applyFill="1" applyAlignment="1">
      <alignment horizontal="center" vertical="center"/>
    </xf>
    <xf numFmtId="0" fontId="0" fillId="7" borderId="25" xfId="0" applyFill="1" applyBorder="1"/>
    <xf numFmtId="0" fontId="7" fillId="6" borderId="0" xfId="0" applyFont="1" applyFill="1" applyAlignment="1">
      <alignment horizontal="center" vertical="center"/>
    </xf>
    <xf numFmtId="0" fontId="8" fillId="10" borderId="2" xfId="0" applyFont="1" applyFill="1" applyBorder="1" applyAlignment="1">
      <alignment horizontal="center"/>
    </xf>
    <xf numFmtId="0" fontId="10" fillId="9" borderId="24" xfId="0" applyFont="1" applyFill="1" applyBorder="1" applyAlignment="1">
      <alignment horizontal="center"/>
    </xf>
    <xf numFmtId="0" fontId="8" fillId="8" borderId="25" xfId="0" applyFont="1" applyFill="1" applyBorder="1"/>
    <xf numFmtId="3" fontId="0" fillId="7" borderId="22" xfId="0" applyNumberFormat="1" applyFill="1" applyBorder="1" applyAlignment="1">
      <alignment horizontal="right"/>
    </xf>
    <xf numFmtId="3" fontId="0" fillId="7" borderId="15" xfId="0" applyNumberFormat="1" applyFill="1" applyBorder="1" applyAlignment="1">
      <alignment horizontal="right"/>
    </xf>
    <xf numFmtId="3" fontId="0" fillId="7" borderId="25" xfId="0" applyNumberFormat="1" applyFill="1" applyBorder="1" applyAlignment="1">
      <alignment horizontal="right"/>
    </xf>
    <xf numFmtId="0" fontId="2" fillId="8" borderId="26" xfId="0" applyFont="1" applyFill="1" applyBorder="1"/>
    <xf numFmtId="3" fontId="0" fillId="7" borderId="7" xfId="0" applyNumberFormat="1" applyFill="1" applyBorder="1" applyAlignment="1">
      <alignment horizontal="right"/>
    </xf>
    <xf numFmtId="3" fontId="0" fillId="7" borderId="0" xfId="0" applyNumberFormat="1" applyFill="1" applyAlignment="1">
      <alignment horizontal="right"/>
    </xf>
    <xf numFmtId="3" fontId="0" fillId="7" borderId="8" xfId="0" applyNumberFormat="1" applyFill="1" applyBorder="1" applyAlignment="1">
      <alignment horizontal="right"/>
    </xf>
    <xf numFmtId="0" fontId="2" fillId="8" borderId="25" xfId="0" applyFont="1" applyFill="1" applyBorder="1"/>
    <xf numFmtId="3" fontId="0" fillId="8" borderId="25" xfId="0" applyNumberFormat="1" applyFill="1" applyBorder="1" applyAlignment="1">
      <alignment horizontal="right"/>
    </xf>
    <xf numFmtId="0" fontId="4" fillId="9" borderId="0" xfId="0" applyFont="1" applyFill="1" applyAlignment="1">
      <alignment horizontal="center" vertical="center"/>
    </xf>
    <xf numFmtId="0" fontId="0" fillId="7" borderId="2" xfId="0" applyFill="1" applyBorder="1" applyAlignment="1">
      <alignment horizontal="left" vertical="top" wrapText="1"/>
    </xf>
    <xf numFmtId="2" fontId="0" fillId="8" borderId="25" xfId="0" applyNumberFormat="1" applyFill="1" applyBorder="1" applyAlignment="1">
      <alignment horizontal="right"/>
    </xf>
    <xf numFmtId="0" fontId="0" fillId="7" borderId="2" xfId="0" applyFill="1" applyBorder="1"/>
    <xf numFmtId="0" fontId="0" fillId="0" borderId="5" xfId="0" applyBorder="1"/>
    <xf numFmtId="0" fontId="0" fillId="0" borderId="6" xfId="0" applyBorder="1"/>
    <xf numFmtId="0" fontId="0" fillId="7" borderId="2" xfId="0" applyFill="1" applyBorder="1" applyAlignment="1">
      <alignment horizontal="center" vertical="center"/>
    </xf>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8" fillId="10" borderId="2" xfId="0" applyFont="1" applyFill="1" applyBorder="1"/>
    <xf numFmtId="0" fontId="10" fillId="9" borderId="2" xfId="0" applyFont="1" applyFill="1" applyBorder="1" applyAlignment="1">
      <alignment horizontal="center" vertical="center"/>
    </xf>
    <xf numFmtId="0" fontId="8" fillId="8" borderId="2" xfId="0" applyFont="1" applyFill="1" applyBorder="1"/>
    <xf numFmtId="0" fontId="10" fillId="9" borderId="12" xfId="0" applyFont="1" applyFill="1" applyBorder="1" applyAlignment="1">
      <alignment horizontal="center"/>
    </xf>
    <xf numFmtId="0" fontId="10" fillId="9" borderId="28" xfId="0" applyFont="1" applyFill="1" applyBorder="1" applyAlignment="1">
      <alignment horizontal="center"/>
    </xf>
    <xf numFmtId="0" fontId="13" fillId="11" borderId="12" xfId="0" applyFont="1" applyFill="1" applyBorder="1" applyAlignment="1">
      <alignment horizontal="center" vertical="center"/>
    </xf>
    <xf numFmtId="0" fontId="0" fillId="0" borderId="12" xfId="0" applyBorder="1" applyAlignment="1">
      <alignment horizontal="center" vertical="center"/>
    </xf>
    <xf numFmtId="0" fontId="0" fillId="0" borderId="12" xfId="0" applyBorder="1"/>
    <xf numFmtId="0" fontId="14" fillId="12" borderId="12" xfId="0" applyFont="1" applyFill="1" applyBorder="1" applyAlignment="1">
      <alignment horizontal="center" vertical="center"/>
    </xf>
    <xf numFmtId="0" fontId="14" fillId="7" borderId="12" xfId="0" applyFont="1" applyFill="1" applyBorder="1" applyAlignment="1">
      <alignment horizontal="center" vertical="center"/>
    </xf>
    <xf numFmtId="0" fontId="13" fillId="13" borderId="12" xfId="0" applyFont="1" applyFill="1" applyBorder="1" applyAlignment="1">
      <alignment horizontal="center" vertical="center"/>
    </xf>
    <xf numFmtId="0" fontId="53" fillId="9" borderId="12" xfId="0" applyFont="1" applyFill="1" applyBorder="1" applyAlignment="1">
      <alignment horizontal="center"/>
    </xf>
    <xf numFmtId="0" fontId="13" fillId="11" borderId="30" xfId="0" applyFont="1" applyFill="1" applyBorder="1" applyAlignment="1">
      <alignment horizontal="center" vertical="center"/>
    </xf>
    <xf numFmtId="1" fontId="15" fillId="8" borderId="12" xfId="0" applyNumberFormat="1" applyFont="1" applyFill="1" applyBorder="1" applyAlignment="1">
      <alignment horizontal="center" vertical="center"/>
    </xf>
    <xf numFmtId="166" fontId="15" fillId="8" borderId="12" xfId="0" applyNumberFormat="1" applyFont="1" applyFill="1" applyBorder="1" applyAlignment="1">
      <alignment horizontal="center" vertical="center"/>
    </xf>
    <xf numFmtId="0" fontId="54" fillId="12" borderId="12" xfId="0" applyFont="1" applyFill="1" applyBorder="1" applyAlignment="1">
      <alignment horizontal="center" vertical="center"/>
    </xf>
    <xf numFmtId="0" fontId="0" fillId="7" borderId="12" xfId="0" applyFill="1" applyBorder="1" applyAlignment="1">
      <alignment horizontal="left" vertical="top" wrapText="1"/>
    </xf>
    <xf numFmtId="0" fontId="13" fillId="13" borderId="29" xfId="0" applyFont="1" applyFill="1" applyBorder="1" applyAlignment="1">
      <alignment horizontal="center" vertical="center"/>
    </xf>
    <xf numFmtId="0" fontId="8" fillId="9" borderId="12" xfId="0" applyFont="1" applyFill="1" applyBorder="1" applyAlignment="1">
      <alignment horizontal="center" vertical="center"/>
    </xf>
    <xf numFmtId="1" fontId="8" fillId="9" borderId="29" xfId="0" applyNumberFormat="1" applyFont="1" applyFill="1" applyBorder="1" applyAlignment="1">
      <alignment horizontal="center" vertical="center"/>
    </xf>
    <xf numFmtId="0" fontId="8" fillId="9" borderId="29" xfId="0" applyFont="1" applyFill="1" applyBorder="1" applyAlignment="1">
      <alignment horizontal="center" vertical="center"/>
    </xf>
    <xf numFmtId="0" fontId="0" fillId="7" borderId="12" xfId="0" applyFill="1" applyBorder="1" applyAlignment="1">
      <alignment horizontal="left" vertical="center" wrapText="1"/>
    </xf>
    <xf numFmtId="0" fontId="17" fillId="6" borderId="0" xfId="0" applyFont="1" applyFill="1" applyAlignment="1">
      <alignment horizontal="center" vertical="center" wrapText="1"/>
    </xf>
    <xf numFmtId="0" fontId="18" fillId="9" borderId="12" xfId="0" applyFont="1" applyFill="1" applyBorder="1" applyAlignment="1">
      <alignment horizontal="center" vertical="center" wrapText="1"/>
    </xf>
    <xf numFmtId="0" fontId="0" fillId="7" borderId="28" xfId="0" applyFill="1" applyBorder="1" applyAlignment="1">
      <alignment horizontal="left" vertical="center" wrapText="1"/>
    </xf>
    <xf numFmtId="0" fontId="19" fillId="14" borderId="0" xfId="0" applyFont="1" applyFill="1" applyAlignment="1">
      <alignment horizontal="center" vertical="center" wrapText="1"/>
    </xf>
    <xf numFmtId="0" fontId="20" fillId="15" borderId="12" xfId="0" applyFont="1" applyFill="1" applyBorder="1" applyAlignment="1">
      <alignment horizontal="center" vertical="center" wrapText="1"/>
    </xf>
    <xf numFmtId="0" fontId="0" fillId="0" borderId="12" xfId="0" applyBorder="1" applyAlignment="1">
      <alignment horizontal="left" vertical="center" wrapText="1"/>
    </xf>
    <xf numFmtId="0" fontId="21" fillId="16" borderId="12" xfId="0" applyFont="1" applyFill="1" applyBorder="1" applyAlignment="1">
      <alignment horizontal="center" vertical="center" wrapText="1"/>
    </xf>
    <xf numFmtId="0" fontId="22" fillId="17" borderId="12" xfId="0" applyFont="1" applyFill="1" applyBorder="1" applyAlignment="1">
      <alignment horizontal="center" vertical="center" wrapText="1"/>
    </xf>
    <xf numFmtId="0" fontId="23" fillId="18" borderId="12" xfId="0" applyFont="1" applyFill="1" applyBorder="1" applyAlignment="1">
      <alignment horizontal="center" vertical="center" wrapText="1"/>
    </xf>
    <xf numFmtId="0" fontId="24" fillId="19" borderId="12" xfId="0" applyFont="1" applyFill="1" applyBorder="1" applyAlignment="1">
      <alignment horizontal="center" vertical="center" wrapText="1"/>
    </xf>
    <xf numFmtId="0" fontId="19" fillId="20" borderId="0" xfId="0" applyFont="1" applyFill="1" applyAlignment="1">
      <alignment horizontal="center" vertical="center" wrapText="1"/>
    </xf>
    <xf numFmtId="0" fontId="0" fillId="7" borderId="12" xfId="0" applyFill="1" applyBorder="1"/>
    <xf numFmtId="0" fontId="0" fillId="7" borderId="12" xfId="0" applyFill="1" applyBorder="1" applyAlignment="1">
      <alignment vertical="top" wrapText="1"/>
    </xf>
    <xf numFmtId="0" fontId="0" fillId="0" borderId="13"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8" borderId="12" xfId="0" applyFill="1" applyBorder="1" applyAlignment="1">
      <alignment horizontal="left" vertical="center" wrapText="1"/>
    </xf>
    <xf numFmtId="0" fontId="10" fillId="9" borderId="12" xfId="0" applyFont="1" applyFill="1" applyBorder="1" applyAlignment="1">
      <alignment horizontal="center" vertical="center"/>
    </xf>
    <xf numFmtId="0" fontId="17" fillId="6" borderId="0" xfId="0" applyFont="1" applyFill="1" applyAlignment="1">
      <alignment horizontal="left" vertical="center" wrapText="1"/>
    </xf>
    <xf numFmtId="0" fontId="0" fillId="0" borderId="0" xfId="0" applyAlignment="1">
      <alignment horizontal="left"/>
    </xf>
    <xf numFmtId="0" fontId="13" fillId="9" borderId="12" xfId="0" applyFont="1" applyFill="1" applyBorder="1" applyAlignment="1">
      <alignment horizontal="center" vertical="center" wrapText="1"/>
    </xf>
    <xf numFmtId="0" fontId="0" fillId="7" borderId="30" xfId="0" applyFill="1" applyBorder="1" applyAlignment="1">
      <alignment horizontal="left" vertical="center" wrapText="1"/>
    </xf>
    <xf numFmtId="0" fontId="19" fillId="14" borderId="28" xfId="0" applyFont="1" applyFill="1" applyBorder="1" applyAlignment="1">
      <alignment horizontal="center" vertical="center" wrapText="1"/>
    </xf>
    <xf numFmtId="0" fontId="8" fillId="8" borderId="12" xfId="0" applyFont="1" applyFill="1" applyBorder="1" applyAlignment="1">
      <alignment horizontal="center"/>
    </xf>
    <xf numFmtId="1" fontId="8" fillId="9" borderId="12" xfId="0" applyNumberFormat="1" applyFont="1" applyFill="1" applyBorder="1" applyAlignment="1">
      <alignment horizontal="center" vertical="center"/>
    </xf>
    <xf numFmtId="1" fontId="15" fillId="8" borderId="29" xfId="0" applyNumberFormat="1" applyFont="1" applyFill="1" applyBorder="1" applyAlignment="1">
      <alignment horizontal="center" vertical="center"/>
    </xf>
    <xf numFmtId="0" fontId="14" fillId="7" borderId="30" xfId="0" applyFont="1" applyFill="1" applyBorder="1" applyAlignment="1">
      <alignment horizontal="center" vertical="center"/>
    </xf>
    <xf numFmtId="0" fontId="27" fillId="22" borderId="0" xfId="0" applyFont="1" applyFill="1" applyAlignment="1">
      <alignment horizontal="center" vertical="center"/>
    </xf>
    <xf numFmtId="0" fontId="27" fillId="22" borderId="0" xfId="0" applyFont="1" applyFill="1"/>
    <xf numFmtId="0" fontId="31" fillId="0" borderId="0" xfId="0" applyFont="1" applyAlignment="1">
      <alignment vertical="top" wrapText="1"/>
    </xf>
    <xf numFmtId="0" fontId="26" fillId="21" borderId="0" xfId="0" applyFont="1" applyFill="1" applyAlignment="1">
      <alignment horizontal="center" vertical="center"/>
    </xf>
    <xf numFmtId="0" fontId="27" fillId="0" borderId="0" xfId="0" applyFont="1"/>
    <xf numFmtId="0" fontId="30" fillId="0" borderId="0" xfId="0" applyFont="1"/>
    <xf numFmtId="0" fontId="32" fillId="23" borderId="0" xfId="0" applyFont="1" applyFill="1" applyAlignment="1">
      <alignment horizontal="center" vertical="center"/>
    </xf>
    <xf numFmtId="0" fontId="0" fillId="24" borderId="22" xfId="0" applyFill="1" applyBorder="1"/>
    <xf numFmtId="0" fontId="27" fillId="24" borderId="22" xfId="0" applyFont="1" applyFill="1" applyBorder="1" applyAlignment="1">
      <alignment horizontal="center"/>
    </xf>
    <xf numFmtId="1" fontId="34" fillId="0" borderId="22" xfId="0" applyNumberFormat="1" applyFont="1" applyBorder="1" applyAlignment="1">
      <alignment horizontal="center" vertical="center"/>
    </xf>
    <xf numFmtId="1" fontId="35" fillId="0" borderId="22" xfId="0" applyNumberFormat="1" applyFont="1" applyBorder="1" applyAlignment="1">
      <alignment horizontal="center" vertical="center"/>
    </xf>
    <xf numFmtId="9" fontId="35" fillId="0" borderId="22" xfId="0" applyNumberFormat="1" applyFont="1" applyBorder="1" applyAlignment="1">
      <alignment horizontal="center" vertical="center"/>
    </xf>
    <xf numFmtId="0" fontId="32" fillId="25" borderId="0" xfId="0" applyFont="1" applyFill="1" applyAlignment="1">
      <alignment horizontal="center" vertical="center"/>
    </xf>
    <xf numFmtId="0" fontId="37" fillId="0" borderId="22" xfId="0" applyFont="1" applyBorder="1" applyAlignment="1">
      <alignment vertical="center" wrapText="1"/>
    </xf>
    <xf numFmtId="0" fontId="31" fillId="0" borderId="22" xfId="0" applyFont="1" applyBorder="1" applyAlignment="1">
      <alignment vertical="center"/>
    </xf>
    <xf numFmtId="0" fontId="27" fillId="30" borderId="22" xfId="0" applyFont="1" applyFill="1" applyBorder="1" applyAlignment="1">
      <alignment horizontal="center" vertical="center"/>
    </xf>
    <xf numFmtId="0" fontId="31" fillId="0" borderId="23" xfId="0" applyFont="1" applyBorder="1" applyAlignment="1">
      <alignment vertical="top" wrapText="1"/>
    </xf>
    <xf numFmtId="0" fontId="39" fillId="0" borderId="22" xfId="0" applyFont="1" applyBorder="1" applyAlignment="1">
      <alignment vertical="center" wrapText="1"/>
    </xf>
    <xf numFmtId="0" fontId="41" fillId="0" borderId="22" xfId="0" applyFont="1" applyBorder="1" applyAlignment="1">
      <alignment vertical="center" wrapText="1"/>
    </xf>
    <xf numFmtId="0" fontId="27" fillId="24" borderId="22" xfId="0" applyFont="1" applyFill="1" applyBorder="1" applyAlignment="1">
      <alignment horizontal="center" vertical="center"/>
    </xf>
    <xf numFmtId="0" fontId="31" fillId="0" borderId="22" xfId="0" applyFont="1" applyBorder="1" applyAlignment="1">
      <alignment vertical="center" wrapText="1"/>
    </xf>
    <xf numFmtId="0" fontId="45" fillId="0" borderId="22" xfId="0" applyFont="1" applyBorder="1" applyAlignment="1">
      <alignment vertical="center" wrapText="1"/>
    </xf>
    <xf numFmtId="0" fontId="34" fillId="0" borderId="22" xfId="0" applyFont="1" applyBorder="1" applyAlignment="1">
      <alignment horizontal="center"/>
    </xf>
    <xf numFmtId="169" fontId="44" fillId="0" borderId="22" xfId="0" applyNumberFormat="1" applyFont="1" applyBorder="1" applyAlignment="1">
      <alignment horizontal="center"/>
    </xf>
    <xf numFmtId="0" fontId="32" fillId="31" borderId="0" xfId="0" applyFont="1" applyFill="1" applyAlignment="1">
      <alignment horizontal="center" vertical="center"/>
    </xf>
    <xf numFmtId="0" fontId="42" fillId="0" borderId="0" xfId="0" applyFont="1" applyAlignment="1">
      <alignment wrapText="1"/>
    </xf>
    <xf numFmtId="0" fontId="27" fillId="24" borderId="22" xfId="0" applyFont="1" applyFill="1" applyBorder="1" applyAlignment="1">
      <alignment horizontal="right" vertical="center"/>
    </xf>
    <xf numFmtId="0" fontId="32" fillId="21" borderId="0" xfId="0" applyFont="1" applyFill="1" applyAlignment="1">
      <alignment horizontal="center" vertical="center"/>
    </xf>
    <xf numFmtId="0" fontId="34" fillId="0" borderId="22" xfId="0" applyFont="1" applyBorder="1" applyAlignment="1">
      <alignment vertical="center"/>
    </xf>
    <xf numFmtId="0" fontId="35" fillId="0" borderId="22" xfId="0" applyFont="1" applyBorder="1" applyAlignment="1">
      <alignment horizontal="center" vertical="center"/>
    </xf>
    <xf numFmtId="0" fontId="34" fillId="0" borderId="22" xfId="0" applyFont="1" applyBorder="1" applyAlignment="1">
      <alignment horizontal="center" vertical="center"/>
    </xf>
    <xf numFmtId="0" fontId="49" fillId="0" borderId="22" xfId="0" applyFont="1" applyBorder="1" applyAlignment="1">
      <alignment horizontal="center" vertical="center"/>
    </xf>
    <xf numFmtId="168" fontId="35" fillId="0" borderId="22" xfId="0" applyNumberFormat="1" applyFont="1" applyBorder="1" applyAlignment="1">
      <alignment horizontal="center" vertical="center"/>
    </xf>
    <xf numFmtId="0" fontId="27" fillId="24" borderId="22" xfId="0" applyFont="1" applyFill="1" applyBorder="1" applyAlignment="1">
      <alignment horizontal="center" vertical="center" wrapText="1"/>
    </xf>
    <xf numFmtId="0" fontId="36" fillId="32" borderId="22" xfId="0" applyFont="1" applyFill="1" applyBorder="1" applyAlignment="1">
      <alignment horizontal="center" vertical="center"/>
    </xf>
    <xf numFmtId="0" fontId="46" fillId="34" borderId="22" xfId="0" applyFont="1" applyFill="1" applyBorder="1" applyAlignment="1">
      <alignment horizontal="center" vertical="center"/>
    </xf>
    <xf numFmtId="0" fontId="40" fillId="35" borderId="22" xfId="0" applyFont="1" applyFill="1" applyBorder="1" applyAlignment="1">
      <alignment horizontal="center" vertical="center"/>
    </xf>
    <xf numFmtId="0" fontId="33" fillId="32" borderId="22" xfId="0" applyFont="1" applyFill="1" applyBorder="1" applyAlignment="1">
      <alignment horizontal="center" vertical="center"/>
    </xf>
    <xf numFmtId="0" fontId="33" fillId="35" borderId="22" xfId="0" applyFont="1" applyFill="1" applyBorder="1" applyAlignment="1">
      <alignment horizontal="center" vertical="center"/>
    </xf>
    <xf numFmtId="0" fontId="33" fillId="36" borderId="22" xfId="0" applyFont="1" applyFill="1" applyBorder="1" applyAlignment="1">
      <alignment horizontal="center" vertical="center"/>
    </xf>
    <xf numFmtId="0" fontId="33" fillId="34" borderId="22" xfId="0" applyFont="1" applyFill="1" applyBorder="1" applyAlignment="1">
      <alignment horizontal="center" vertical="center"/>
    </xf>
    <xf numFmtId="0" fontId="8" fillId="10" borderId="12" xfId="0" applyFont="1" applyFill="1" applyBorder="1" applyAlignment="1">
      <alignment horizontal="center"/>
    </xf>
    <xf numFmtId="3" fontId="8" fillId="10" borderId="12" xfId="0" applyNumberFormat="1" applyFont="1" applyFill="1" applyBorder="1"/>
    <xf numFmtId="3" fontId="0" fillId="8" borderId="12" xfId="0" applyNumberFormat="1" applyFill="1" applyBorder="1"/>
    <xf numFmtId="0" fontId="0" fillId="0" borderId="0" xfId="0" applyBorder="1"/>
    <xf numFmtId="0" fontId="0" fillId="0" borderId="0" xfId="0" applyAlignment="1">
      <alignment horizontal="center"/>
    </xf>
  </cellXfs>
  <cellStyles count="1">
    <cellStyle name="Normal" xfId="0" builtinId="0"/>
  </cellStyles>
  <dxfs count="69">
    <dxf>
      <font>
        <b/>
        <color rgb="FF721C24"/>
      </font>
      <fill>
        <patternFill>
          <bgColor rgb="FFF8D7DA"/>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ill>
        <patternFill>
          <bgColor rgb="FFFFF3CD"/>
        </patternFill>
      </fill>
    </dxf>
    <dxf>
      <fill>
        <patternFill>
          <bgColor rgb="FFF8D7DA"/>
        </patternFill>
      </fill>
    </dxf>
    <dxf>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155724"/>
      </font>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ont>
        <b/>
        <color rgb="FF721C24"/>
      </font>
      <fill>
        <patternFill>
          <bgColor rgb="FFF8D7DA"/>
        </patternFill>
      </fill>
    </dxf>
    <dxf>
      <font>
        <b/>
        <color rgb="FFCC5500"/>
      </font>
      <fill>
        <patternFill>
          <bgColor rgb="FFFFE5B4"/>
        </patternFill>
      </fill>
    </dxf>
    <dxf>
      <font>
        <b/>
        <color rgb="FF856404"/>
      </font>
      <fill>
        <patternFill>
          <bgColor rgb="FFFFF3CD"/>
        </patternFill>
      </fill>
    </dxf>
    <dxf>
      <font>
        <b/>
        <color rgb="FF2D6A4F"/>
      </font>
      <fill>
        <patternFill>
          <bgColor rgb="FFD8F3DC"/>
        </patternFill>
      </fill>
    </dxf>
    <dxf>
      <font>
        <b/>
        <color rgb="FF155724"/>
      </font>
      <fill>
        <patternFill>
          <bgColor rgb="FFD4EDDA"/>
        </patternFill>
      </fill>
    </dxf>
    <dxf>
      <font>
        <b/>
        <color rgb="FF721C24"/>
      </font>
      <fill>
        <patternFill>
          <bgColor rgb="FFF8D7DA"/>
        </patternFill>
      </fill>
    </dxf>
    <dxf>
      <font>
        <b/>
        <color rgb="FF6C757D"/>
      </font>
      <fill>
        <patternFill>
          <bgColor rgb="FFE9ECEF"/>
        </patternFill>
      </fill>
    </dxf>
    <dxf>
      <font>
        <b/>
        <color rgb="FF856404"/>
      </font>
      <fill>
        <patternFill>
          <bgColor rgb="FFFFF3CD"/>
        </patternFill>
      </fill>
    </dxf>
    <dxf>
      <font>
        <b/>
        <color rgb="FF155724"/>
      </font>
      <fill>
        <patternFill>
          <bgColor rgb="FFD4EDDA"/>
        </patternFill>
      </fill>
    </dxf>
    <dxf>
      <font>
        <b/>
        <color rgb="FF9C0006"/>
      </font>
      <fill>
        <patternFill patternType="solid">
          <fgColor rgb="FFFFC7CE"/>
          <bgColor rgb="FFFFC7CE"/>
        </patternFill>
      </fill>
    </dxf>
    <dxf>
      <font>
        <b/>
        <color rgb="FF9C6500"/>
      </font>
      <fill>
        <patternFill patternType="solid">
          <fgColor rgb="FFFFEB9C"/>
          <bgColor rgb="FFFFEB9C"/>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9C6500"/>
      </font>
      <fill>
        <patternFill patternType="solid">
          <fgColor rgb="FFFFEB9C"/>
          <bgColor rgb="FFFFEB9C"/>
        </patternFill>
      </fill>
    </dxf>
    <dxf>
      <font>
        <b/>
        <color rgb="FF1F4E78"/>
      </font>
      <fill>
        <patternFill patternType="solid">
          <fgColor rgb="FFB4C7E7"/>
          <bgColor rgb="FFB4C7E7"/>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006100"/>
      </font>
      <fill>
        <patternFill patternType="solid">
          <fgColor rgb="FFC6EFCE"/>
          <bgColor rgb="FFC6EFCE"/>
        </patternFill>
      </fill>
    </dxf>
    <dxf>
      <font>
        <b/>
        <color rgb="FF9C6500"/>
      </font>
      <fill>
        <patternFill patternType="solid">
          <fgColor rgb="FFFFEB9C"/>
          <bgColor rgb="FFFFEB9C"/>
        </patternFill>
      </fill>
    </dxf>
    <dxf>
      <font>
        <b/>
        <color rgb="FF9C0006"/>
      </font>
      <fill>
        <patternFill patternType="solid">
          <fgColor rgb="FFFFC7CE"/>
          <bgColor rgb="FFFFC7CE"/>
        </patternFill>
      </fill>
    </dxf>
    <dxf>
      <font>
        <b/>
        <color rgb="FF1F4E78"/>
      </font>
      <fill>
        <patternFill patternType="solid">
          <fgColor rgb="FFB4C7E7"/>
          <bgColor rgb="FFB4C7E7"/>
        </patternFill>
      </fill>
    </dxf>
    <dxf>
      <font>
        <b/>
        <color rgb="FF7F6000"/>
      </font>
      <fill>
        <patternFill patternType="solid">
          <fgColor rgb="FFFFD966"/>
          <bgColor rgb="FFFFD966"/>
        </patternFill>
      </fill>
    </dxf>
    <dxf>
      <font>
        <b/>
        <color rgb="FF9C0006"/>
      </font>
      <fill>
        <patternFill patternType="solid">
          <fgColor rgb="FFFFC7CE"/>
          <bgColor rgb="FFFFC7CE"/>
        </patternFill>
      </fill>
    </dxf>
    <dxf>
      <font>
        <b/>
        <color rgb="FF9C6500"/>
      </font>
      <fill>
        <patternFill patternType="solid">
          <fgColor rgb="FFFFEB9C"/>
          <bgColor rgb="FFFFEB9C"/>
        </patternFill>
      </fill>
    </dxf>
    <dxf>
      <font>
        <b/>
        <color rgb="FF006100"/>
      </font>
      <fill>
        <patternFill patternType="solid">
          <fgColor rgb="FFC6EFCE"/>
          <bgColor rgb="FFC6EFCE"/>
        </patternFill>
      </fill>
    </dxf>
    <dxf>
      <font>
        <b/>
        <color rgb="FFFFFFFF"/>
      </font>
      <fill>
        <patternFill patternType="solid">
          <fgColor rgb="FF00B050"/>
          <bgColor rgb="FF00B050"/>
        </patternFill>
      </fill>
    </dxf>
    <dxf>
      <font>
        <b/>
      </font>
      <fill>
        <patternFill patternType="solid">
          <fgColor rgb="FFFFFF00"/>
          <bgColor rgb="FFFFFF00"/>
        </patternFill>
      </fill>
    </dxf>
    <dxf>
      <font>
        <b/>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FFFF00"/>
          <bgColor rgb="FFFFFF00"/>
        </patternFill>
      </fill>
    </dxf>
    <dxf>
      <font>
        <b/>
      </font>
      <fill>
        <patternFill patternType="solid">
          <fgColor rgb="FFFFC000"/>
          <bgColor rgb="FFFFC0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1247775</xdr:colOff>
      <xdr:row>80</xdr:row>
      <xdr:rowOff>161925</xdr:rowOff>
    </xdr:from>
    <xdr:to>
      <xdr:col>0</xdr:col>
      <xdr:colOff>4505325</xdr:colOff>
      <xdr:row>81</xdr:row>
      <xdr:rowOff>0</xdr:rowOff>
    </xdr:to>
    <xdr:cxnSp macro="">
      <xdr:nvCxnSpPr>
        <xdr:cNvPr id="3" name="Conector recto 2">
          <a:extLst>
            <a:ext uri="{FF2B5EF4-FFF2-40B4-BE49-F238E27FC236}">
              <a16:creationId xmlns:a16="http://schemas.microsoft.com/office/drawing/2014/main" id="{00000000-0008-0000-1A00-000003000000}"/>
            </a:ext>
          </a:extLst>
        </xdr:cNvPr>
        <xdr:cNvCxnSpPr/>
      </xdr:nvCxnSpPr>
      <xdr:spPr>
        <a:xfrm>
          <a:off x="1247775" y="53178075"/>
          <a:ext cx="3257550" cy="285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495300</xdr:colOff>
      <xdr:row>82</xdr:row>
      <xdr:rowOff>9525</xdr:rowOff>
    </xdr:from>
    <xdr:to>
      <xdr:col>0</xdr:col>
      <xdr:colOff>3752850</xdr:colOff>
      <xdr:row>82</xdr:row>
      <xdr:rowOff>38100</xdr:rowOff>
    </xdr:to>
    <xdr:cxnSp macro="">
      <xdr:nvCxnSpPr>
        <xdr:cNvPr id="5" name="Conector recto 4">
          <a:extLst>
            <a:ext uri="{FF2B5EF4-FFF2-40B4-BE49-F238E27FC236}">
              <a16:creationId xmlns:a16="http://schemas.microsoft.com/office/drawing/2014/main" id="{00000000-0008-0000-1A00-000005000000}"/>
            </a:ext>
          </a:extLst>
        </xdr:cNvPr>
        <xdr:cNvCxnSpPr/>
      </xdr:nvCxnSpPr>
      <xdr:spPr>
        <a:xfrm>
          <a:off x="495300" y="53406675"/>
          <a:ext cx="3257550" cy="285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workbookViewId="0">
      <selection activeCell="E1" sqref="E1"/>
    </sheetView>
  </sheetViews>
  <sheetFormatPr baseColWidth="10" defaultColWidth="9.109375" defaultRowHeight="15.05" x14ac:dyDescent="0.3"/>
  <cols>
    <col min="1" max="1" width="20" customWidth="1"/>
    <col min="2" max="2" width="15" customWidth="1"/>
    <col min="3" max="3" width="45" customWidth="1"/>
    <col min="4" max="4" width="15" customWidth="1"/>
  </cols>
  <sheetData>
    <row r="1" spans="1:4" ht="29.95" customHeight="1" x14ac:dyDescent="0.3">
      <c r="A1" s="150" t="s">
        <v>0</v>
      </c>
      <c r="B1" s="151"/>
      <c r="C1" s="151"/>
      <c r="D1" s="151"/>
    </row>
    <row r="2" spans="1:4" x14ac:dyDescent="0.3">
      <c r="A2" s="1" t="s">
        <v>1</v>
      </c>
      <c r="B2" s="1" t="s">
        <v>2</v>
      </c>
      <c r="C2" s="1" t="s">
        <v>3</v>
      </c>
      <c r="D2" s="1" t="s">
        <v>4</v>
      </c>
    </row>
    <row r="3" spans="1:4" x14ac:dyDescent="0.3">
      <c r="A3" s="4" t="s">
        <v>5</v>
      </c>
      <c r="B3" s="132" t="s">
        <v>6</v>
      </c>
      <c r="C3" s="5" t="s">
        <v>7</v>
      </c>
      <c r="D3" s="2" t="str">
        <f>HYPERLINK("#'AP'!A1","IR A HOJA &gt;&gt;")</f>
        <v>IR A HOJA &gt;&gt;</v>
      </c>
    </row>
    <row r="4" spans="1:4" x14ac:dyDescent="0.3">
      <c r="A4" s="3"/>
      <c r="B4" s="133" t="s">
        <v>8</v>
      </c>
      <c r="C4" s="3" t="s">
        <v>9</v>
      </c>
      <c r="D4" s="2" t="str">
        <f>HYPERLINK("#'AP-01'!A1","IR A HOJA &gt;&gt;")</f>
        <v>IR A HOJA &gt;&gt;</v>
      </c>
    </row>
    <row r="5" spans="1:4" x14ac:dyDescent="0.3">
      <c r="A5" s="3"/>
      <c r="B5" s="133" t="s">
        <v>10</v>
      </c>
      <c r="C5" s="3" t="s">
        <v>11</v>
      </c>
      <c r="D5" s="2" t="str">
        <f>HYPERLINK("#'AP-02'!A1","IR A HOJA &gt;&gt;")</f>
        <v>IR A HOJA &gt;&gt;</v>
      </c>
    </row>
    <row r="6" spans="1:4" x14ac:dyDescent="0.3">
      <c r="A6" s="3"/>
      <c r="B6" s="133" t="s">
        <v>12</v>
      </c>
      <c r="C6" s="3" t="s">
        <v>13</v>
      </c>
      <c r="D6" s="2" t="str">
        <f>HYPERLINK("#'AP-03'!A1","IR A HOJA &gt;&gt;")</f>
        <v>IR A HOJA &gt;&gt;</v>
      </c>
    </row>
    <row r="7" spans="1:4" x14ac:dyDescent="0.3">
      <c r="A7" s="3"/>
      <c r="B7" s="133" t="s">
        <v>14</v>
      </c>
      <c r="C7" s="3" t="s">
        <v>15</v>
      </c>
      <c r="D7" s="2" t="str">
        <f>HYPERLINK("#'AP-04'!A1","IR A HOJA &gt;&gt;")</f>
        <v>IR A HOJA &gt;&gt;</v>
      </c>
    </row>
    <row r="8" spans="1:4" x14ac:dyDescent="0.3">
      <c r="A8" s="3"/>
      <c r="B8" s="133" t="s">
        <v>16</v>
      </c>
      <c r="C8" s="3" t="s">
        <v>17</v>
      </c>
      <c r="D8" s="2" t="str">
        <f>HYPERLINK("#'AP-05'!A1","IR A HOJA &gt;&gt;")</f>
        <v>IR A HOJA &gt;&gt;</v>
      </c>
    </row>
    <row r="9" spans="1:4" x14ac:dyDescent="0.3">
      <c r="A9" s="3"/>
      <c r="B9" s="133" t="s">
        <v>18</v>
      </c>
      <c r="C9" s="3" t="s">
        <v>19</v>
      </c>
      <c r="D9" s="2" t="str">
        <f>HYPERLINK("#'AP-06'!A1","IR A HOJA &gt;&gt;")</f>
        <v>IR A HOJA &gt;&gt;</v>
      </c>
    </row>
    <row r="10" spans="1:4" x14ac:dyDescent="0.3">
      <c r="A10" s="3"/>
      <c r="B10" s="133" t="s">
        <v>20</v>
      </c>
      <c r="C10" s="3" t="s">
        <v>21</v>
      </c>
      <c r="D10" s="2" t="str">
        <f>HYPERLINK("#'AP-07'!A1","IR A HOJA &gt;&gt;")</f>
        <v>IR A HOJA &gt;&gt;</v>
      </c>
    </row>
    <row r="11" spans="1:4" x14ac:dyDescent="0.3">
      <c r="A11" s="3"/>
      <c r="B11" s="133" t="s">
        <v>22</v>
      </c>
      <c r="C11" s="3" t="s">
        <v>23</v>
      </c>
      <c r="D11" s="2" t="str">
        <f>HYPERLINK("#'AP-08'!A1","IR A HOJA &gt;&gt;")</f>
        <v>IR A HOJA &gt;&gt;</v>
      </c>
    </row>
    <row r="12" spans="1:4" x14ac:dyDescent="0.3">
      <c r="A12" s="3"/>
      <c r="B12" s="133" t="s">
        <v>24</v>
      </c>
      <c r="C12" s="3" t="s">
        <v>25</v>
      </c>
      <c r="D12" s="2" t="str">
        <f>HYPERLINK("#'AP-09'!A1","IR A HOJA &gt;&gt;")</f>
        <v>IR A HOJA &gt;&gt;</v>
      </c>
    </row>
    <row r="13" spans="1:4" x14ac:dyDescent="0.3">
      <c r="A13" s="3"/>
      <c r="B13" s="133" t="s">
        <v>26</v>
      </c>
      <c r="C13" s="3" t="s">
        <v>27</v>
      </c>
      <c r="D13" s="2" t="str">
        <f>HYPERLINK("#'AP-10'!A1","IR A HOJA &gt;&gt;")</f>
        <v>IR A HOJA &gt;&gt;</v>
      </c>
    </row>
    <row r="14" spans="1:4" x14ac:dyDescent="0.3">
      <c r="A14" s="3"/>
      <c r="B14" s="133" t="s">
        <v>28</v>
      </c>
      <c r="C14" s="3" t="s">
        <v>29</v>
      </c>
      <c r="D14" s="2" t="str">
        <f>HYPERLINK("#'AP-11'!A1","IR A HOJA &gt;&gt;")</f>
        <v>IR A HOJA &gt;&gt;</v>
      </c>
    </row>
    <row r="15" spans="1:4" x14ac:dyDescent="0.3">
      <c r="A15" s="3"/>
      <c r="B15" s="133" t="s">
        <v>30</v>
      </c>
      <c r="C15" s="3" t="s">
        <v>31</v>
      </c>
      <c r="D15" s="2" t="str">
        <f>HYPERLINK("#'AP-12'!A1","IR A HOJA &gt;&gt;")</f>
        <v>IR A HOJA &gt;&gt;</v>
      </c>
    </row>
    <row r="16" spans="1:4" x14ac:dyDescent="0.3">
      <c r="A16" s="6"/>
      <c r="B16" s="134" t="s">
        <v>32</v>
      </c>
      <c r="C16" s="6" t="s">
        <v>33</v>
      </c>
      <c r="D16" s="2" t="str">
        <f>HYPERLINK("#'AC'!A1","IR A HOJA &gt;&gt;")</f>
        <v>IR A HOJA &gt;&gt;</v>
      </c>
    </row>
    <row r="17" spans="1:4" x14ac:dyDescent="0.3">
      <c r="A17" s="3"/>
      <c r="B17" s="133" t="s">
        <v>34</v>
      </c>
      <c r="C17" s="3" t="s">
        <v>35</v>
      </c>
      <c r="D17" s="2" t="str">
        <f>HYPERLINK("#'AC-P01'!A1","IR A HOJA &gt;&gt;")</f>
        <v>IR A HOJA &gt;&gt;</v>
      </c>
    </row>
    <row r="18" spans="1:4" x14ac:dyDescent="0.3">
      <c r="A18" s="3"/>
      <c r="B18" s="133" t="s">
        <v>36</v>
      </c>
      <c r="C18" s="3" t="s">
        <v>37</v>
      </c>
      <c r="D18" s="2" t="str">
        <f>HYPERLINK("#'AC-P02'!A1","IR A HOJA &gt;&gt;")</f>
        <v>IR A HOJA &gt;&gt;</v>
      </c>
    </row>
    <row r="19" spans="1:4" x14ac:dyDescent="0.3">
      <c r="A19" s="3"/>
      <c r="B19" s="133" t="s">
        <v>38</v>
      </c>
      <c r="C19" s="3" t="s">
        <v>39</v>
      </c>
      <c r="D19" s="2" t="str">
        <f>HYPERLINK("#'AC-P03'!A1","IR A HOJA &gt;&gt;")</f>
        <v>IR A HOJA &gt;&gt;</v>
      </c>
    </row>
    <row r="20" spans="1:4" x14ac:dyDescent="0.3">
      <c r="A20" s="3"/>
      <c r="B20" s="133" t="s">
        <v>40</v>
      </c>
      <c r="C20" s="3" t="s">
        <v>41</v>
      </c>
      <c r="D20" s="2" t="str">
        <f>HYPERLINK("#'AC-P04'!A1","IR A HOJA &gt;&gt;")</f>
        <v>IR A HOJA &gt;&gt;</v>
      </c>
    </row>
    <row r="21" spans="1:4" x14ac:dyDescent="0.3">
      <c r="A21" s="3"/>
      <c r="B21" s="133" t="s">
        <v>42</v>
      </c>
      <c r="C21" s="3" t="s">
        <v>43</v>
      </c>
      <c r="D21" s="2" t="str">
        <f>HYPERLINK("#'AC-P05'!A1","IR A HOJA &gt;&gt;")</f>
        <v>IR A HOJA &gt;&gt;</v>
      </c>
    </row>
    <row r="22" spans="1:4" x14ac:dyDescent="0.3">
      <c r="A22" s="3"/>
      <c r="B22" s="133" t="s">
        <v>44</v>
      </c>
      <c r="C22" s="3" t="s">
        <v>45</v>
      </c>
      <c r="D22" s="2" t="str">
        <f>HYPERLINK("#'AC-P06'!A1","IR A HOJA &gt;&gt;")</f>
        <v>IR A HOJA &gt;&gt;</v>
      </c>
    </row>
    <row r="23" spans="1:4" x14ac:dyDescent="0.3">
      <c r="A23" s="3"/>
      <c r="B23" s="133" t="s">
        <v>46</v>
      </c>
      <c r="C23" s="3" t="s">
        <v>47</v>
      </c>
      <c r="D23" s="2" t="str">
        <f>HYPERLINK("#'AC-P07'!A1","IR A HOJA &gt;&gt;")</f>
        <v>IR A HOJA &gt;&gt;</v>
      </c>
    </row>
    <row r="24" spans="1:4" x14ac:dyDescent="0.3">
      <c r="A24" s="7"/>
      <c r="B24" s="133" t="s">
        <v>48</v>
      </c>
      <c r="C24" s="136" t="s">
        <v>49</v>
      </c>
      <c r="D24" s="135" t="str">
        <f>HYPERLINK("#'AC-P08'!A1","IR A HOJA &gt;&gt;")</f>
        <v>IR A HOJA &gt;&gt;</v>
      </c>
    </row>
    <row r="25" spans="1:4" x14ac:dyDescent="0.3">
      <c r="A25" s="3"/>
      <c r="B25" s="133" t="s">
        <v>50</v>
      </c>
      <c r="C25" s="3" t="s">
        <v>51</v>
      </c>
      <c r="D25" s="2" t="str">
        <f>HYPERLINK("#'AC-P09'!A1","IR A HOJA &gt;&gt;")</f>
        <v>IR A HOJA &gt;&gt;</v>
      </c>
    </row>
    <row r="26" spans="1:4" x14ac:dyDescent="0.3">
      <c r="A26" s="3"/>
      <c r="B26" s="133" t="s">
        <v>52</v>
      </c>
      <c r="C26" s="3" t="s">
        <v>53</v>
      </c>
      <c r="D26" s="2" t="str">
        <f>HYPERLINK("#'AC-P10'!A1","IR A HOJA &gt;&gt;")</f>
        <v>IR A HOJA &gt;&gt;</v>
      </c>
    </row>
    <row r="27" spans="1:4" x14ac:dyDescent="0.3">
      <c r="A27" s="3"/>
      <c r="B27" s="133" t="s">
        <v>54</v>
      </c>
      <c r="C27" s="3" t="s">
        <v>55</v>
      </c>
      <c r="D27" s="2" t="str">
        <f>HYPERLINK("#'AC-P11'!A1","IR A HOJA &gt;&gt;")</f>
        <v>IR A HOJA &gt;&gt;</v>
      </c>
    </row>
    <row r="28" spans="1:4" x14ac:dyDescent="0.3">
      <c r="A28" s="3"/>
      <c r="B28" s="133" t="s">
        <v>56</v>
      </c>
      <c r="C28" s="3" t="s">
        <v>57</v>
      </c>
      <c r="D28" s="2" t="str">
        <f>HYPERLINK("#'AC-P12'!A1","IR A HOJA &gt;&gt;")</f>
        <v>IR A HOJA &gt;&gt;</v>
      </c>
    </row>
  </sheetData>
  <mergeCells count="1">
    <mergeCell ref="A1:D1"/>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
  <sheetViews>
    <sheetView workbookViewId="0">
      <selection activeCell="D17" sqref="D17"/>
    </sheetView>
  </sheetViews>
  <sheetFormatPr baseColWidth="10" defaultColWidth="9.109375" defaultRowHeight="15.05" x14ac:dyDescent="0.3"/>
  <cols>
    <col min="1" max="6" width="20" customWidth="1"/>
  </cols>
  <sheetData>
    <row r="1" spans="1:6" ht="35.200000000000003" customHeight="1" x14ac:dyDescent="0.3">
      <c r="A1" s="158" t="s">
        <v>58</v>
      </c>
      <c r="B1" s="151"/>
      <c r="C1" s="151"/>
      <c r="D1" s="151"/>
      <c r="E1" s="151"/>
      <c r="F1" s="151"/>
    </row>
    <row r="3" spans="1:6" ht="24.9" customHeight="1" x14ac:dyDescent="0.3">
      <c r="A3" s="157" t="s">
        <v>59</v>
      </c>
      <c r="B3" s="151"/>
      <c r="C3" s="151"/>
      <c r="D3" s="151"/>
      <c r="E3" s="151"/>
      <c r="F3" s="151"/>
    </row>
    <row r="4" spans="1:6" x14ac:dyDescent="0.3">
      <c r="A4" s="152" t="s">
        <v>8</v>
      </c>
      <c r="B4" s="153"/>
      <c r="C4" s="154" t="s">
        <v>60</v>
      </c>
      <c r="D4" s="155"/>
      <c r="E4" s="156"/>
      <c r="F4" s="30" t="str">
        <f>HYPERLINK("#'AP-01'!A1","IR &gt;&gt;")</f>
        <v>IR &gt;&gt;</v>
      </c>
    </row>
    <row r="5" spans="1:6" x14ac:dyDescent="0.3">
      <c r="A5" s="152" t="s">
        <v>10</v>
      </c>
      <c r="B5" s="153"/>
      <c r="C5" s="154" t="s">
        <v>11</v>
      </c>
      <c r="D5" s="155"/>
      <c r="E5" s="156"/>
      <c r="F5" s="30" t="str">
        <f>HYPERLINK("#'AP-02'!A1","IR &gt;&gt;")</f>
        <v>IR &gt;&gt;</v>
      </c>
    </row>
    <row r="6" spans="1:6" x14ac:dyDescent="0.3">
      <c r="A6" s="152" t="s">
        <v>12</v>
      </c>
      <c r="B6" s="153"/>
      <c r="C6" s="154" t="s">
        <v>13</v>
      </c>
      <c r="D6" s="155"/>
      <c r="E6" s="156"/>
      <c r="F6" s="30" t="str">
        <f>HYPERLINK("#'AP-03'!A1","IR &gt;&gt;")</f>
        <v>IR &gt;&gt;</v>
      </c>
    </row>
    <row r="7" spans="1:6" x14ac:dyDescent="0.3">
      <c r="A7" s="152" t="s">
        <v>14</v>
      </c>
      <c r="B7" s="153"/>
      <c r="C7" s="154" t="s">
        <v>61</v>
      </c>
      <c r="D7" s="155"/>
      <c r="E7" s="156"/>
      <c r="F7" s="30" t="str">
        <f>HYPERLINK("#'AP-04'!A1","IR &gt;&gt;")</f>
        <v>IR &gt;&gt;</v>
      </c>
    </row>
    <row r="8" spans="1:6" x14ac:dyDescent="0.3">
      <c r="A8" s="152" t="s">
        <v>16</v>
      </c>
      <c r="B8" s="153"/>
      <c r="C8" s="154" t="s">
        <v>62</v>
      </c>
      <c r="D8" s="155"/>
      <c r="E8" s="156"/>
      <c r="F8" s="30" t="str">
        <f>HYPERLINK("#'AP-05'!A1","IR &gt;&gt;")</f>
        <v>IR &gt;&gt;</v>
      </c>
    </row>
    <row r="9" spans="1:6" x14ac:dyDescent="0.3">
      <c r="A9" s="152" t="s">
        <v>18</v>
      </c>
      <c r="B9" s="153"/>
      <c r="C9" s="154" t="s">
        <v>19</v>
      </c>
      <c r="D9" s="155"/>
      <c r="E9" s="156"/>
      <c r="F9" s="30" t="str">
        <f>HYPERLINK("#'AP-06'!A1","IR &gt;&gt;")</f>
        <v>IR &gt;&gt;</v>
      </c>
    </row>
    <row r="10" spans="1:6" x14ac:dyDescent="0.3">
      <c r="A10" s="152" t="s">
        <v>20</v>
      </c>
      <c r="B10" s="153"/>
      <c r="C10" s="154" t="s">
        <v>21</v>
      </c>
      <c r="D10" s="155"/>
      <c r="E10" s="156"/>
      <c r="F10" s="30" t="str">
        <f>HYPERLINK("#'AP-07'!A1","IR &gt;&gt;")</f>
        <v>IR &gt;&gt;</v>
      </c>
    </row>
    <row r="11" spans="1:6" x14ac:dyDescent="0.3">
      <c r="A11" s="152" t="s">
        <v>22</v>
      </c>
      <c r="B11" s="153"/>
      <c r="C11" s="154" t="s">
        <v>23</v>
      </c>
      <c r="D11" s="155"/>
      <c r="E11" s="156"/>
      <c r="F11" s="30" t="str">
        <f>HYPERLINK("#'AP-08'!A1","IR &gt;&gt;")</f>
        <v>IR &gt;&gt;</v>
      </c>
    </row>
    <row r="12" spans="1:6" x14ac:dyDescent="0.3">
      <c r="A12" s="152" t="s">
        <v>24</v>
      </c>
      <c r="B12" s="153"/>
      <c r="C12" s="154" t="s">
        <v>63</v>
      </c>
      <c r="D12" s="155"/>
      <c r="E12" s="156"/>
      <c r="F12" s="30" t="str">
        <f>HYPERLINK("#'AP-09'!A1","IR &gt;&gt;")</f>
        <v>IR &gt;&gt;</v>
      </c>
    </row>
    <row r="13" spans="1:6" x14ac:dyDescent="0.3">
      <c r="A13" s="152" t="s">
        <v>26</v>
      </c>
      <c r="B13" s="153"/>
      <c r="C13" s="154" t="s">
        <v>27</v>
      </c>
      <c r="D13" s="155"/>
      <c r="E13" s="156"/>
      <c r="F13" s="30" t="str">
        <f>HYPERLINK("#'AP-10'!A1","IR &gt;&gt;")</f>
        <v>IR &gt;&gt;</v>
      </c>
    </row>
    <row r="14" spans="1:6" x14ac:dyDescent="0.3">
      <c r="A14" s="152" t="s">
        <v>28</v>
      </c>
      <c r="B14" s="153"/>
      <c r="C14" s="154" t="s">
        <v>29</v>
      </c>
      <c r="D14" s="155"/>
      <c r="E14" s="156"/>
      <c r="F14" s="30" t="str">
        <f>HYPERLINK("#'AP-11'!A1","IR &gt;&gt;")</f>
        <v>IR &gt;&gt;</v>
      </c>
    </row>
    <row r="15" spans="1:6" x14ac:dyDescent="0.3">
      <c r="A15" s="152" t="s">
        <v>30</v>
      </c>
      <c r="B15" s="153"/>
      <c r="C15" s="154" t="s">
        <v>31</v>
      </c>
      <c r="D15" s="155"/>
      <c r="E15" s="156"/>
      <c r="F15" s="30" t="str">
        <f>HYPERLINK("#'AP-12'!A1","IR &gt;&gt;")</f>
        <v>IR &gt;&gt;</v>
      </c>
    </row>
    <row r="100" spans="1:1" x14ac:dyDescent="0.3">
      <c r="A100" s="15" t="str">
        <f>HYPERLINK("#'INDICE'!A3","&lt;&lt; Volver al Indice")</f>
        <v>&lt;&lt; Volver al Indice</v>
      </c>
    </row>
  </sheetData>
  <mergeCells count="26">
    <mergeCell ref="C6:E6"/>
    <mergeCell ref="A4:B4"/>
    <mergeCell ref="C14:E14"/>
    <mergeCell ref="C5:E5"/>
    <mergeCell ref="A1:F1"/>
    <mergeCell ref="A10:B10"/>
    <mergeCell ref="C4:E4"/>
    <mergeCell ref="A13:B13"/>
    <mergeCell ref="A9:B9"/>
    <mergeCell ref="C10:E10"/>
    <mergeCell ref="A15:B15"/>
    <mergeCell ref="A11:B11"/>
    <mergeCell ref="C9:E9"/>
    <mergeCell ref="A3:F3"/>
    <mergeCell ref="C12:E12"/>
    <mergeCell ref="A6:B6"/>
    <mergeCell ref="C11:E11"/>
    <mergeCell ref="A7:B7"/>
    <mergeCell ref="C8:E8"/>
    <mergeCell ref="C7:E7"/>
    <mergeCell ref="A12:B12"/>
    <mergeCell ref="C13:E13"/>
    <mergeCell ref="A5:B5"/>
    <mergeCell ref="A14:B14"/>
    <mergeCell ref="A8:B8"/>
    <mergeCell ref="C15:E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06"/>
  <sheetViews>
    <sheetView workbookViewId="0">
      <selection activeCell="C7" sqref="C7"/>
    </sheetView>
  </sheetViews>
  <sheetFormatPr baseColWidth="10" defaultColWidth="9.109375" defaultRowHeight="15.05" x14ac:dyDescent="0.3"/>
  <cols>
    <col min="1" max="1" width="25.44140625" customWidth="1"/>
    <col min="2" max="2" width="40" customWidth="1"/>
    <col min="3" max="3" width="47.5546875" customWidth="1"/>
    <col min="4" max="4" width="35.5546875" customWidth="1"/>
    <col min="5" max="5" width="23.5546875" customWidth="1"/>
    <col min="6" max="6" width="16" customWidth="1"/>
  </cols>
  <sheetData>
    <row r="2" spans="1:6" ht="24.05" customHeight="1" x14ac:dyDescent="0.3">
      <c r="C2" s="124"/>
    </row>
    <row r="3" spans="1:6" ht="33.75" customHeight="1" x14ac:dyDescent="0.3">
      <c r="F3" s="137" t="s">
        <v>8</v>
      </c>
    </row>
    <row r="4" spans="1:6" x14ac:dyDescent="0.3">
      <c r="C4" s="120" t="s">
        <v>685</v>
      </c>
    </row>
    <row r="5" spans="1:6" x14ac:dyDescent="0.3">
      <c r="C5" s="120" t="s">
        <v>665</v>
      </c>
      <c r="E5" s="58" t="s">
        <v>652</v>
      </c>
      <c r="F5" s="58"/>
    </row>
    <row r="6" spans="1:6" x14ac:dyDescent="0.3">
      <c r="C6" s="120" t="s">
        <v>686</v>
      </c>
      <c r="E6" s="58" t="s">
        <v>653</v>
      </c>
      <c r="F6" s="58"/>
    </row>
    <row r="7" spans="1:6" x14ac:dyDescent="0.3">
      <c r="C7" s="120" t="s">
        <v>689</v>
      </c>
      <c r="E7" s="58" t="s">
        <v>654</v>
      </c>
      <c r="F7" s="58"/>
    </row>
    <row r="8" spans="1:6" x14ac:dyDescent="0.3">
      <c r="E8" s="58" t="s">
        <v>655</v>
      </c>
      <c r="F8" s="58"/>
    </row>
    <row r="10" spans="1:6" ht="24.9" customHeight="1" x14ac:dyDescent="0.3">
      <c r="A10" s="160" t="s">
        <v>321</v>
      </c>
      <c r="B10" s="151"/>
      <c r="C10" s="151"/>
      <c r="D10" s="151"/>
      <c r="E10" s="151"/>
      <c r="F10" s="151"/>
    </row>
    <row r="11" spans="1:6" x14ac:dyDescent="0.3">
      <c r="A11" s="8" t="s">
        <v>66</v>
      </c>
      <c r="B11" s="159"/>
      <c r="C11" s="155"/>
      <c r="D11" s="156"/>
      <c r="E11" s="8" t="s">
        <v>322</v>
      </c>
      <c r="F11" s="9"/>
    </row>
    <row r="12" spans="1:6" x14ac:dyDescent="0.3">
      <c r="A12" s="8" t="s">
        <v>323</v>
      </c>
      <c r="B12" s="159"/>
      <c r="C12" s="155"/>
      <c r="D12" s="156"/>
      <c r="E12" s="8" t="s">
        <v>67</v>
      </c>
      <c r="F12" s="10">
        <f ca="1">TODAY()</f>
        <v>45999</v>
      </c>
    </row>
    <row r="13" spans="1:6" x14ac:dyDescent="0.3">
      <c r="A13" s="8" t="s">
        <v>68</v>
      </c>
      <c r="B13" s="159"/>
      <c r="C13" s="155"/>
      <c r="D13" s="156"/>
      <c r="E13" s="8" t="s">
        <v>69</v>
      </c>
      <c r="F13" s="9"/>
    </row>
    <row r="15" spans="1:6" x14ac:dyDescent="0.3">
      <c r="A15" s="157" t="s">
        <v>324</v>
      </c>
      <c r="B15" s="151"/>
      <c r="C15" s="151"/>
      <c r="D15" s="151"/>
      <c r="E15" s="151"/>
      <c r="F15" s="151"/>
    </row>
    <row r="16" spans="1:6" x14ac:dyDescent="0.3">
      <c r="A16" s="16" t="s">
        <v>325</v>
      </c>
      <c r="B16" s="159"/>
      <c r="C16" s="155"/>
      <c r="D16" s="156"/>
      <c r="E16" s="16" t="s">
        <v>326</v>
      </c>
      <c r="F16" s="9"/>
    </row>
    <row r="17" spans="1:6" x14ac:dyDescent="0.3">
      <c r="A17" s="16" t="s">
        <v>322</v>
      </c>
      <c r="B17" s="159"/>
      <c r="C17" s="155"/>
      <c r="D17" s="156"/>
      <c r="E17" s="16" t="s">
        <v>327</v>
      </c>
      <c r="F17" s="9"/>
    </row>
    <row r="18" spans="1:6" x14ac:dyDescent="0.3">
      <c r="A18" s="16" t="s">
        <v>328</v>
      </c>
      <c r="B18" s="159"/>
      <c r="C18" s="155"/>
      <c r="D18" s="156"/>
      <c r="E18" s="16" t="s">
        <v>329</v>
      </c>
      <c r="F18" s="9"/>
    </row>
    <row r="19" spans="1:6" x14ac:dyDescent="0.3">
      <c r="A19" s="16" t="s">
        <v>330</v>
      </c>
      <c r="B19" s="159"/>
      <c r="C19" s="155"/>
      <c r="D19" s="156"/>
      <c r="E19" s="16" t="s">
        <v>331</v>
      </c>
      <c r="F19" s="9"/>
    </row>
    <row r="20" spans="1:6" x14ac:dyDescent="0.3">
      <c r="A20" s="16" t="s">
        <v>332</v>
      </c>
      <c r="B20" s="159"/>
      <c r="C20" s="155"/>
      <c r="D20" s="156"/>
      <c r="E20" s="16" t="s">
        <v>333</v>
      </c>
      <c r="F20" s="9"/>
    </row>
    <row r="21" spans="1:6" x14ac:dyDescent="0.3">
      <c r="A21" s="16" t="s">
        <v>334</v>
      </c>
      <c r="B21" s="159"/>
      <c r="C21" s="155"/>
      <c r="D21" s="156"/>
      <c r="E21" s="16" t="s">
        <v>335</v>
      </c>
      <c r="F21" s="38" t="str">
        <f ca="1">IF(B20="","",YEAR(TODAY())-YEAR(B20))</f>
        <v/>
      </c>
    </row>
    <row r="22" spans="1:6" x14ac:dyDescent="0.3">
      <c r="A22" s="16" t="s">
        <v>336</v>
      </c>
      <c r="B22" s="159"/>
      <c r="C22" s="155"/>
      <c r="D22" s="156"/>
      <c r="E22" s="16" t="s">
        <v>337</v>
      </c>
      <c r="F22" s="9"/>
    </row>
    <row r="24" spans="1:6" x14ac:dyDescent="0.3">
      <c r="A24" s="157" t="s">
        <v>338</v>
      </c>
      <c r="B24" s="151"/>
      <c r="C24" s="151"/>
      <c r="D24" s="151"/>
      <c r="E24" s="151"/>
      <c r="F24" s="151"/>
    </row>
    <row r="25" spans="1:6" x14ac:dyDescent="0.3">
      <c r="A25" s="11" t="s">
        <v>306</v>
      </c>
      <c r="B25" s="11" t="s">
        <v>305</v>
      </c>
      <c r="C25" s="11" t="s">
        <v>339</v>
      </c>
      <c r="D25" s="11" t="s">
        <v>340</v>
      </c>
      <c r="E25" s="11" t="s">
        <v>341</v>
      </c>
      <c r="F25" s="11" t="s">
        <v>171</v>
      </c>
    </row>
    <row r="26" spans="1:6" x14ac:dyDescent="0.3">
      <c r="A26" s="39" t="s">
        <v>342</v>
      </c>
      <c r="B26" s="9"/>
      <c r="C26" s="9"/>
      <c r="D26" s="9"/>
      <c r="E26" s="9"/>
      <c r="F26" s="9"/>
    </row>
    <row r="27" spans="1:6" x14ac:dyDescent="0.3">
      <c r="A27" s="39" t="s">
        <v>343</v>
      </c>
      <c r="B27" s="9"/>
      <c r="C27" s="9"/>
      <c r="D27" s="9"/>
      <c r="E27" s="9"/>
      <c r="F27" s="9"/>
    </row>
    <row r="29" spans="1:6" x14ac:dyDescent="0.3">
      <c r="A29" s="157" t="s">
        <v>344</v>
      </c>
      <c r="B29" s="151"/>
      <c r="C29" s="151"/>
      <c r="D29" s="151"/>
      <c r="E29" s="151"/>
      <c r="F29" s="151"/>
    </row>
    <row r="30" spans="1:6" x14ac:dyDescent="0.3">
      <c r="A30" s="11" t="s">
        <v>64</v>
      </c>
      <c r="B30" s="11" t="s">
        <v>345</v>
      </c>
      <c r="C30" s="11" t="s">
        <v>346</v>
      </c>
      <c r="D30" s="11" t="s">
        <v>347</v>
      </c>
      <c r="E30" s="11" t="s">
        <v>348</v>
      </c>
      <c r="F30" s="11" t="s">
        <v>349</v>
      </c>
    </row>
    <row r="31" spans="1:6" x14ac:dyDescent="0.3">
      <c r="A31" s="40">
        <v>1</v>
      </c>
      <c r="B31" s="9"/>
      <c r="C31" s="9"/>
      <c r="D31" s="9"/>
      <c r="E31" s="41">
        <v>100</v>
      </c>
      <c r="F31" s="42"/>
    </row>
    <row r="32" spans="1:6" x14ac:dyDescent="0.3">
      <c r="A32" s="40">
        <v>2</v>
      </c>
      <c r="B32" s="9"/>
      <c r="C32" s="9"/>
      <c r="D32" s="9"/>
      <c r="E32" s="41"/>
      <c r="F32" s="42"/>
    </row>
    <row r="33" spans="1:6" x14ac:dyDescent="0.3">
      <c r="A33" s="40">
        <v>3</v>
      </c>
      <c r="B33" s="9"/>
      <c r="C33" s="9"/>
      <c r="D33" s="9"/>
      <c r="E33" s="41"/>
      <c r="F33" s="42"/>
    </row>
    <row r="34" spans="1:6" x14ac:dyDescent="0.3">
      <c r="A34" s="40">
        <v>4</v>
      </c>
      <c r="B34" s="9"/>
      <c r="C34" s="9"/>
      <c r="D34" s="9"/>
      <c r="E34" s="41"/>
      <c r="F34" s="42"/>
    </row>
    <row r="35" spans="1:6" x14ac:dyDescent="0.3">
      <c r="A35" s="40">
        <v>5</v>
      </c>
      <c r="B35" s="9"/>
      <c r="C35" s="9"/>
      <c r="D35" s="9"/>
      <c r="E35" s="41"/>
      <c r="F35" s="42"/>
    </row>
    <row r="36" spans="1:6" x14ac:dyDescent="0.3">
      <c r="A36" s="40">
        <v>6</v>
      </c>
      <c r="B36" s="9"/>
      <c r="C36" s="9"/>
      <c r="D36" s="9"/>
      <c r="E36" s="41"/>
      <c r="F36" s="42"/>
    </row>
    <row r="37" spans="1:6" x14ac:dyDescent="0.3">
      <c r="A37" s="40">
        <v>7</v>
      </c>
      <c r="B37" s="9"/>
      <c r="C37" s="9"/>
      <c r="D37" s="9"/>
      <c r="E37" s="41"/>
      <c r="F37" s="42"/>
    </row>
    <row r="38" spans="1:6" x14ac:dyDescent="0.3">
      <c r="A38" s="40">
        <v>8</v>
      </c>
      <c r="B38" s="9"/>
      <c r="C38" s="9"/>
      <c r="D38" s="9"/>
      <c r="E38" s="41"/>
      <c r="F38" s="42"/>
    </row>
    <row r="39" spans="1:6" x14ac:dyDescent="0.3">
      <c r="A39" s="40">
        <v>9</v>
      </c>
      <c r="B39" s="9"/>
      <c r="C39" s="9"/>
      <c r="D39" s="9"/>
      <c r="E39" s="41"/>
      <c r="F39" s="42"/>
    </row>
    <row r="40" spans="1:6" x14ac:dyDescent="0.3">
      <c r="A40" s="40">
        <v>10</v>
      </c>
      <c r="B40" s="9"/>
      <c r="C40" s="9"/>
      <c r="D40" s="9"/>
      <c r="E40" s="41"/>
      <c r="F40" s="42"/>
    </row>
    <row r="41" spans="1:6" x14ac:dyDescent="0.3">
      <c r="A41" s="161" t="s">
        <v>267</v>
      </c>
      <c r="B41" s="151"/>
      <c r="C41" s="151"/>
      <c r="D41" s="151"/>
      <c r="E41" s="43">
        <f>SUM(E31:E40)</f>
        <v>100</v>
      </c>
      <c r="F41" s="44">
        <f>SUM(F31:F40)</f>
        <v>0</v>
      </c>
    </row>
    <row r="43" spans="1:6" x14ac:dyDescent="0.3">
      <c r="A43" s="157" t="s">
        <v>350</v>
      </c>
      <c r="B43" s="151"/>
      <c r="C43" s="151"/>
      <c r="D43" s="151"/>
      <c r="E43" s="151"/>
      <c r="F43" s="151"/>
    </row>
    <row r="44" spans="1:6" x14ac:dyDescent="0.3">
      <c r="A44" s="11" t="s">
        <v>306</v>
      </c>
      <c r="B44" s="11" t="s">
        <v>305</v>
      </c>
      <c r="C44" s="11" t="s">
        <v>339</v>
      </c>
      <c r="D44" s="11" t="s">
        <v>351</v>
      </c>
      <c r="E44" s="11" t="s">
        <v>340</v>
      </c>
      <c r="F44" s="11" t="s">
        <v>171</v>
      </c>
    </row>
    <row r="45" spans="1:6" x14ac:dyDescent="0.3">
      <c r="A45" s="39" t="s">
        <v>352</v>
      </c>
      <c r="B45" s="9"/>
      <c r="C45" s="9"/>
      <c r="D45" s="9"/>
      <c r="E45" s="9"/>
      <c r="F45" s="9"/>
    </row>
    <row r="46" spans="1:6" x14ac:dyDescent="0.3">
      <c r="A46" s="39" t="s">
        <v>353</v>
      </c>
      <c r="B46" s="9"/>
      <c r="C46" s="9"/>
      <c r="D46" s="9"/>
      <c r="E46" s="9"/>
      <c r="F46" s="9"/>
    </row>
    <row r="47" spans="1:6" x14ac:dyDescent="0.3">
      <c r="A47" s="39" t="s">
        <v>354</v>
      </c>
      <c r="B47" s="9"/>
      <c r="C47" s="9"/>
      <c r="D47" s="9"/>
      <c r="E47" s="9"/>
      <c r="F47" s="9"/>
    </row>
    <row r="48" spans="1:6" x14ac:dyDescent="0.3">
      <c r="A48" s="39" t="s">
        <v>355</v>
      </c>
      <c r="B48" s="9"/>
      <c r="C48" s="9"/>
      <c r="D48" s="9"/>
      <c r="E48" s="9"/>
      <c r="F48" s="9"/>
    </row>
    <row r="49" spans="1:6" x14ac:dyDescent="0.3">
      <c r="A49" s="39" t="s">
        <v>356</v>
      </c>
      <c r="B49" s="9"/>
      <c r="C49" s="9"/>
      <c r="D49" s="9"/>
      <c r="E49" s="9"/>
      <c r="F49" s="9"/>
    </row>
    <row r="51" spans="1:6" x14ac:dyDescent="0.3">
      <c r="A51" s="157" t="s">
        <v>357</v>
      </c>
      <c r="B51" s="151"/>
      <c r="C51" s="151"/>
      <c r="D51" s="151"/>
      <c r="E51" s="151"/>
      <c r="F51" s="151"/>
    </row>
    <row r="52" spans="1:6" x14ac:dyDescent="0.3">
      <c r="A52" s="11" t="s">
        <v>306</v>
      </c>
      <c r="B52" s="11" t="s">
        <v>305</v>
      </c>
      <c r="C52" s="11" t="s">
        <v>339</v>
      </c>
      <c r="D52" s="11" t="s">
        <v>358</v>
      </c>
      <c r="E52" s="11" t="s">
        <v>340</v>
      </c>
      <c r="F52" s="11" t="s">
        <v>341</v>
      </c>
    </row>
    <row r="53" spans="1:6" x14ac:dyDescent="0.3">
      <c r="A53" s="39" t="s">
        <v>359</v>
      </c>
      <c r="B53" s="9"/>
      <c r="C53" s="9"/>
      <c r="D53" s="9"/>
      <c r="E53" s="9"/>
      <c r="F53" s="9"/>
    </row>
    <row r="54" spans="1:6" x14ac:dyDescent="0.3">
      <c r="A54" s="39" t="s">
        <v>360</v>
      </c>
      <c r="B54" s="9"/>
      <c r="C54" s="9"/>
      <c r="D54" s="9"/>
      <c r="E54" s="9"/>
      <c r="F54" s="9"/>
    </row>
    <row r="55" spans="1:6" x14ac:dyDescent="0.3">
      <c r="A55" s="39" t="s">
        <v>361</v>
      </c>
      <c r="B55" s="9"/>
      <c r="C55" s="9"/>
      <c r="D55" s="9"/>
      <c r="E55" s="9"/>
      <c r="F55" s="9"/>
    </row>
    <row r="56" spans="1:6" x14ac:dyDescent="0.3">
      <c r="A56" s="39" t="s">
        <v>362</v>
      </c>
      <c r="B56" s="9"/>
      <c r="C56" s="9"/>
      <c r="D56" s="9"/>
      <c r="E56" s="9"/>
      <c r="F56" s="9"/>
    </row>
    <row r="57" spans="1:6" x14ac:dyDescent="0.3">
      <c r="A57" s="39" t="s">
        <v>363</v>
      </c>
      <c r="B57" s="9"/>
      <c r="C57" s="9"/>
      <c r="D57" s="9"/>
      <c r="E57" s="9"/>
      <c r="F57" s="9"/>
    </row>
    <row r="58" spans="1:6" x14ac:dyDescent="0.3">
      <c r="A58" s="39" t="s">
        <v>364</v>
      </c>
      <c r="B58" s="9"/>
      <c r="C58" s="9"/>
      <c r="D58" s="9"/>
      <c r="E58" s="9"/>
      <c r="F58" s="9"/>
    </row>
    <row r="60" spans="1:6" x14ac:dyDescent="0.3">
      <c r="A60" s="157" t="s">
        <v>365</v>
      </c>
      <c r="B60" s="151"/>
      <c r="C60" s="151"/>
      <c r="D60" s="151"/>
      <c r="E60" s="151"/>
      <c r="F60" s="151"/>
    </row>
    <row r="61" spans="1:6" x14ac:dyDescent="0.3">
      <c r="A61" s="162" t="s">
        <v>147</v>
      </c>
      <c r="B61" s="151"/>
      <c r="C61" s="162" t="s">
        <v>366</v>
      </c>
      <c r="D61" s="151"/>
      <c r="E61" s="162" t="s">
        <v>367</v>
      </c>
      <c r="F61" s="151"/>
    </row>
    <row r="62" spans="1:6" x14ac:dyDescent="0.3">
      <c r="A62" s="163" t="s">
        <v>231</v>
      </c>
      <c r="B62" s="156"/>
      <c r="C62" s="164">
        <v>2024</v>
      </c>
      <c r="D62" s="165"/>
      <c r="E62" s="166">
        <v>2025</v>
      </c>
      <c r="F62" s="156"/>
    </row>
    <row r="63" spans="1:6" x14ac:dyDescent="0.3">
      <c r="A63" s="163" t="s">
        <v>368</v>
      </c>
      <c r="B63" s="156"/>
      <c r="C63" s="164"/>
      <c r="D63" s="165"/>
      <c r="E63" s="166"/>
      <c r="F63" s="156"/>
    </row>
    <row r="64" spans="1:6" x14ac:dyDescent="0.3">
      <c r="A64" s="167" t="s">
        <v>369</v>
      </c>
      <c r="B64" s="151"/>
      <c r="C64" s="168"/>
      <c r="D64" s="169"/>
      <c r="E64" s="166"/>
      <c r="F64" s="156"/>
    </row>
    <row r="65" spans="1:6" x14ac:dyDescent="0.3">
      <c r="A65" s="163" t="s">
        <v>370</v>
      </c>
      <c r="B65" s="156"/>
      <c r="C65" s="164"/>
      <c r="D65" s="165"/>
      <c r="E65" s="166"/>
      <c r="F65" s="156"/>
    </row>
    <row r="66" spans="1:6" x14ac:dyDescent="0.3">
      <c r="A66" s="163" t="s">
        <v>371</v>
      </c>
      <c r="B66" s="156"/>
      <c r="C66" s="170"/>
      <c r="D66" s="151"/>
      <c r="E66" s="166"/>
      <c r="F66" s="156"/>
    </row>
    <row r="67" spans="1:6" x14ac:dyDescent="0.3">
      <c r="A67" s="171" t="s">
        <v>372</v>
      </c>
      <c r="B67" s="156"/>
      <c r="C67" s="172">
        <f>C62-C63</f>
        <v>2024</v>
      </c>
      <c r="D67" s="156"/>
      <c r="E67" s="172">
        <f>E62-E63</f>
        <v>2025</v>
      </c>
      <c r="F67" s="156"/>
    </row>
    <row r="68" spans="1:6" x14ac:dyDescent="0.3">
      <c r="A68" s="163" t="s">
        <v>373</v>
      </c>
      <c r="B68" s="156"/>
      <c r="C68" s="175">
        <f>IF(C62=0,"",C63/C62*100)</f>
        <v>0</v>
      </c>
      <c r="D68" s="156"/>
      <c r="E68" s="175">
        <f>IF(E62=0,"",E63/E62*100)</f>
        <v>0</v>
      </c>
      <c r="F68" s="156"/>
    </row>
    <row r="70" spans="1:6" x14ac:dyDescent="0.3">
      <c r="A70" s="157" t="s">
        <v>374</v>
      </c>
      <c r="B70" s="151"/>
      <c r="C70" s="151"/>
      <c r="D70" s="151"/>
      <c r="E70" s="151"/>
      <c r="F70" s="151"/>
    </row>
    <row r="71" spans="1:6" x14ac:dyDescent="0.3">
      <c r="A71" s="122" t="s">
        <v>375</v>
      </c>
      <c r="B71" s="159"/>
      <c r="C71" s="155"/>
      <c r="D71" s="156"/>
      <c r="E71" s="123" t="s">
        <v>376</v>
      </c>
      <c r="F71" s="9"/>
    </row>
    <row r="72" spans="1:6" x14ac:dyDescent="0.3">
      <c r="A72" s="122" t="s">
        <v>377</v>
      </c>
      <c r="B72" s="159"/>
      <c r="C72" s="155"/>
      <c r="D72" s="156"/>
      <c r="E72" s="123" t="s">
        <v>378</v>
      </c>
      <c r="F72" s="9"/>
    </row>
    <row r="73" spans="1:6" x14ac:dyDescent="0.3">
      <c r="A73" s="122" t="s">
        <v>379</v>
      </c>
      <c r="B73" s="159"/>
      <c r="C73" s="155"/>
      <c r="D73" s="156"/>
      <c r="E73" s="123" t="s">
        <v>380</v>
      </c>
      <c r="F73" s="9"/>
    </row>
    <row r="75" spans="1:6" x14ac:dyDescent="0.3">
      <c r="A75" s="173" t="s">
        <v>381</v>
      </c>
      <c r="B75" s="151"/>
      <c r="C75" s="151"/>
      <c r="D75" s="151"/>
      <c r="E75" s="151"/>
      <c r="F75" s="151"/>
    </row>
    <row r="76" spans="1:6" x14ac:dyDescent="0.3">
      <c r="A76" s="174"/>
      <c r="B76" s="151"/>
      <c r="C76" s="151"/>
      <c r="D76" s="151"/>
      <c r="E76" s="151"/>
      <c r="F76" s="151"/>
    </row>
    <row r="77" spans="1:6" x14ac:dyDescent="0.3">
      <c r="A77" s="151"/>
      <c r="B77" s="151"/>
      <c r="C77" s="151"/>
      <c r="D77" s="151"/>
      <c r="E77" s="151"/>
      <c r="F77" s="151"/>
    </row>
    <row r="78" spans="1:6" x14ac:dyDescent="0.3">
      <c r="A78" s="151"/>
      <c r="B78" s="151"/>
      <c r="C78" s="151"/>
      <c r="D78" s="151"/>
      <c r="E78" s="151"/>
      <c r="F78" s="151"/>
    </row>
    <row r="79" spans="1:6" x14ac:dyDescent="0.3">
      <c r="A79" s="151"/>
      <c r="B79" s="151"/>
      <c r="C79" s="151"/>
      <c r="D79" s="151"/>
      <c r="E79" s="151"/>
      <c r="F79" s="151"/>
    </row>
    <row r="80" spans="1:6" x14ac:dyDescent="0.3">
      <c r="A80" s="151"/>
      <c r="B80" s="151"/>
      <c r="C80" s="151"/>
      <c r="D80" s="151"/>
      <c r="E80" s="151"/>
      <c r="F80" s="151"/>
    </row>
    <row r="91" spans="1:7" x14ac:dyDescent="0.3">
      <c r="A91" s="138" t="s">
        <v>662</v>
      </c>
      <c r="B91" s="131"/>
      <c r="D91" s="139" t="s">
        <v>663</v>
      </c>
      <c r="E91" s="131"/>
      <c r="G91" s="138"/>
    </row>
    <row r="92" spans="1:7" x14ac:dyDescent="0.3">
      <c r="A92" s="140" t="s">
        <v>664</v>
      </c>
      <c r="D92" s="140" t="s">
        <v>664</v>
      </c>
    </row>
    <row r="106" spans="1:1" x14ac:dyDescent="0.3">
      <c r="A106" s="15" t="str">
        <f>HYPERLINK("#'INDICE'!A4","&lt;&lt; Volver al Indice")</f>
        <v>&lt;&lt; Volver al Indice</v>
      </c>
    </row>
  </sheetData>
  <mergeCells count="48">
    <mergeCell ref="B72:D72"/>
    <mergeCell ref="B73:D73"/>
    <mergeCell ref="A75:F75"/>
    <mergeCell ref="A76:F80"/>
    <mergeCell ref="A68:B68"/>
    <mergeCell ref="C68:D68"/>
    <mergeCell ref="E68:F68"/>
    <mergeCell ref="A70:F70"/>
    <mergeCell ref="B71:D71"/>
    <mergeCell ref="A66:B66"/>
    <mergeCell ref="C66:D66"/>
    <mergeCell ref="E66:F66"/>
    <mergeCell ref="A67:B67"/>
    <mergeCell ref="C67:D67"/>
    <mergeCell ref="E67:F67"/>
    <mergeCell ref="A64:B64"/>
    <mergeCell ref="C64:D64"/>
    <mergeCell ref="E64:F64"/>
    <mergeCell ref="A65:B65"/>
    <mergeCell ref="C65:D65"/>
    <mergeCell ref="E65:F65"/>
    <mergeCell ref="A62:B62"/>
    <mergeCell ref="C62:D62"/>
    <mergeCell ref="E62:F62"/>
    <mergeCell ref="A63:B63"/>
    <mergeCell ref="C63:D63"/>
    <mergeCell ref="E63:F63"/>
    <mergeCell ref="A51:F51"/>
    <mergeCell ref="A60:F60"/>
    <mergeCell ref="A61:B61"/>
    <mergeCell ref="C61:D61"/>
    <mergeCell ref="E61:F61"/>
    <mergeCell ref="B22:D22"/>
    <mergeCell ref="A24:F24"/>
    <mergeCell ref="A29:F29"/>
    <mergeCell ref="A41:D41"/>
    <mergeCell ref="A43:F43"/>
    <mergeCell ref="A10:F10"/>
    <mergeCell ref="B11:D11"/>
    <mergeCell ref="B12:D12"/>
    <mergeCell ref="B13:D13"/>
    <mergeCell ref="A15:F15"/>
    <mergeCell ref="B21:D21"/>
    <mergeCell ref="B16:D16"/>
    <mergeCell ref="B17:D17"/>
    <mergeCell ref="B18:D18"/>
    <mergeCell ref="B19:D19"/>
    <mergeCell ref="B20:D20"/>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H105"/>
  <sheetViews>
    <sheetView workbookViewId="0">
      <selection activeCell="C10" sqref="C10"/>
    </sheetView>
  </sheetViews>
  <sheetFormatPr baseColWidth="10" defaultColWidth="9.109375" defaultRowHeight="15.05" x14ac:dyDescent="0.3"/>
  <cols>
    <col min="1" max="1" width="25" customWidth="1"/>
    <col min="2" max="2" width="29.5546875" customWidth="1"/>
    <col min="3" max="3" width="32" customWidth="1"/>
    <col min="4" max="6" width="20" customWidth="1"/>
    <col min="7" max="7" width="17.44140625" customWidth="1"/>
    <col min="8" max="8" width="13.33203125" customWidth="1"/>
  </cols>
  <sheetData>
    <row r="3" spans="1:8" x14ac:dyDescent="0.3">
      <c r="B3" s="126"/>
    </row>
    <row r="4" spans="1:8" ht="27" customHeight="1" x14ac:dyDescent="0.3">
      <c r="H4" s="141" t="s">
        <v>10</v>
      </c>
    </row>
    <row r="6" spans="1:8" x14ac:dyDescent="0.3">
      <c r="C6" s="120" t="s">
        <v>685</v>
      </c>
      <c r="G6" s="58" t="s">
        <v>652</v>
      </c>
      <c r="H6" s="58"/>
    </row>
    <row r="7" spans="1:8" x14ac:dyDescent="0.3">
      <c r="C7" s="120" t="s">
        <v>665</v>
      </c>
      <c r="G7" s="58" t="s">
        <v>653</v>
      </c>
      <c r="H7" s="58"/>
    </row>
    <row r="8" spans="1:8" x14ac:dyDescent="0.3">
      <c r="C8" s="120" t="s">
        <v>686</v>
      </c>
      <c r="G8" s="58" t="s">
        <v>654</v>
      </c>
      <c r="H8" s="58"/>
    </row>
    <row r="9" spans="1:8" x14ac:dyDescent="0.3">
      <c r="C9" s="120" t="s">
        <v>689</v>
      </c>
      <c r="G9" s="58" t="s">
        <v>655</v>
      </c>
      <c r="H9" s="58"/>
    </row>
    <row r="13" spans="1:8" ht="29.95" customHeight="1" x14ac:dyDescent="0.3">
      <c r="A13" s="160" t="s">
        <v>65</v>
      </c>
      <c r="B13" s="151"/>
      <c r="C13" s="151"/>
      <c r="D13" s="151"/>
      <c r="E13" s="151"/>
      <c r="F13" s="151"/>
    </row>
    <row r="15" spans="1:8" ht="24.9" customHeight="1" x14ac:dyDescent="0.3">
      <c r="A15" s="173" t="s">
        <v>70</v>
      </c>
      <c r="B15" s="151"/>
      <c r="C15" s="151"/>
      <c r="D15" s="151"/>
      <c r="E15" s="151"/>
      <c r="F15" s="151"/>
    </row>
    <row r="16" spans="1:8" x14ac:dyDescent="0.3">
      <c r="A16" s="179" t="s">
        <v>71</v>
      </c>
      <c r="B16" s="180"/>
      <c r="C16" s="180"/>
      <c r="D16" s="180"/>
      <c r="E16" s="180"/>
      <c r="F16" s="181"/>
    </row>
    <row r="17" spans="1:6" x14ac:dyDescent="0.3">
      <c r="A17" s="182"/>
      <c r="B17" s="151"/>
      <c r="C17" s="151"/>
      <c r="D17" s="151"/>
      <c r="E17" s="151"/>
      <c r="F17" s="183"/>
    </row>
    <row r="18" spans="1:6" x14ac:dyDescent="0.3">
      <c r="A18" s="182"/>
      <c r="B18" s="151"/>
      <c r="C18" s="151"/>
      <c r="D18" s="151"/>
      <c r="E18" s="151"/>
      <c r="F18" s="183"/>
    </row>
    <row r="19" spans="1:6" x14ac:dyDescent="0.3">
      <c r="A19" s="182"/>
      <c r="B19" s="151"/>
      <c r="C19" s="151"/>
      <c r="D19" s="151"/>
      <c r="E19" s="151"/>
      <c r="F19" s="183"/>
    </row>
    <row r="20" spans="1:6" x14ac:dyDescent="0.3">
      <c r="A20" s="182"/>
      <c r="B20" s="151"/>
      <c r="C20" s="151"/>
      <c r="D20" s="151"/>
      <c r="E20" s="151"/>
      <c r="F20" s="183"/>
    </row>
    <row r="21" spans="1:6" x14ac:dyDescent="0.3">
      <c r="A21" s="182"/>
      <c r="B21" s="151"/>
      <c r="C21" s="151"/>
      <c r="D21" s="151"/>
      <c r="E21" s="151"/>
      <c r="F21" s="183"/>
    </row>
    <row r="22" spans="1:6" x14ac:dyDescent="0.3">
      <c r="A22" s="182"/>
      <c r="B22" s="151"/>
      <c r="C22" s="151"/>
      <c r="D22" s="151"/>
      <c r="E22" s="151"/>
      <c r="F22" s="183"/>
    </row>
    <row r="23" spans="1:6" x14ac:dyDescent="0.3">
      <c r="A23" s="182"/>
      <c r="B23" s="151"/>
      <c r="C23" s="151"/>
      <c r="D23" s="151"/>
      <c r="E23" s="151"/>
      <c r="F23" s="183"/>
    </row>
    <row r="24" spans="1:6" x14ac:dyDescent="0.3">
      <c r="A24" s="182"/>
      <c r="B24" s="151"/>
      <c r="C24" s="151"/>
      <c r="D24" s="151"/>
      <c r="E24" s="151"/>
      <c r="F24" s="183"/>
    </row>
    <row r="25" spans="1:6" x14ac:dyDescent="0.3">
      <c r="A25" s="182"/>
      <c r="B25" s="151"/>
      <c r="C25" s="151"/>
      <c r="D25" s="151"/>
      <c r="E25" s="151"/>
      <c r="F25" s="183"/>
    </row>
    <row r="26" spans="1:6" x14ac:dyDescent="0.3">
      <c r="A26" s="182"/>
      <c r="B26" s="151"/>
      <c r="C26" s="151"/>
      <c r="D26" s="151"/>
      <c r="E26" s="151"/>
      <c r="F26" s="183"/>
    </row>
    <row r="27" spans="1:6" x14ac:dyDescent="0.3">
      <c r="A27" s="182"/>
      <c r="B27" s="151"/>
      <c r="C27" s="151"/>
      <c r="D27" s="151"/>
      <c r="E27" s="151"/>
      <c r="F27" s="183"/>
    </row>
    <row r="28" spans="1:6" x14ac:dyDescent="0.3">
      <c r="A28" s="182"/>
      <c r="B28" s="151"/>
      <c r="C28" s="151"/>
      <c r="D28" s="151"/>
      <c r="E28" s="151"/>
      <c r="F28" s="183"/>
    </row>
    <row r="29" spans="1:6" x14ac:dyDescent="0.3">
      <c r="A29" s="182"/>
      <c r="B29" s="151"/>
      <c r="C29" s="151"/>
      <c r="D29" s="151"/>
      <c r="E29" s="151"/>
      <c r="F29" s="183"/>
    </row>
    <row r="30" spans="1:6" x14ac:dyDescent="0.3">
      <c r="A30" s="182"/>
      <c r="B30" s="151"/>
      <c r="C30" s="151"/>
      <c r="D30" s="151"/>
      <c r="E30" s="151"/>
      <c r="F30" s="183"/>
    </row>
    <row r="31" spans="1:6" x14ac:dyDescent="0.3">
      <c r="A31" s="184"/>
      <c r="B31" s="185"/>
      <c r="C31" s="185"/>
      <c r="D31" s="185"/>
      <c r="E31" s="185"/>
      <c r="F31" s="186"/>
    </row>
    <row r="33" spans="1:6" ht="24.9" customHeight="1" x14ac:dyDescent="0.3">
      <c r="A33" s="157" t="s">
        <v>72</v>
      </c>
      <c r="B33" s="151"/>
      <c r="C33" s="151"/>
      <c r="D33" s="151"/>
      <c r="E33" s="151"/>
      <c r="F33" s="151"/>
    </row>
    <row r="34" spans="1:6" x14ac:dyDescent="0.3">
      <c r="A34" s="11" t="s">
        <v>73</v>
      </c>
      <c r="B34" s="11" t="s">
        <v>74</v>
      </c>
      <c r="C34" s="11" t="s">
        <v>75</v>
      </c>
      <c r="D34" s="188" t="s">
        <v>76</v>
      </c>
      <c r="E34" s="177"/>
      <c r="F34" s="178"/>
    </row>
    <row r="35" spans="1:6" x14ac:dyDescent="0.3">
      <c r="A35" s="12" t="s">
        <v>77</v>
      </c>
      <c r="B35" s="9"/>
      <c r="C35" s="13">
        <v>8</v>
      </c>
      <c r="D35" s="176"/>
      <c r="E35" s="177"/>
      <c r="F35" s="178"/>
    </row>
    <row r="36" spans="1:6" x14ac:dyDescent="0.3">
      <c r="A36" s="12" t="s">
        <v>78</v>
      </c>
      <c r="B36" s="9"/>
      <c r="C36" s="13"/>
      <c r="D36" s="176"/>
      <c r="E36" s="177"/>
      <c r="F36" s="178"/>
    </row>
    <row r="37" spans="1:6" x14ac:dyDescent="0.3">
      <c r="A37" s="12" t="s">
        <v>79</v>
      </c>
      <c r="B37" s="9"/>
      <c r="C37" s="13"/>
      <c r="D37" s="176"/>
      <c r="E37" s="177"/>
      <c r="F37" s="178"/>
    </row>
    <row r="38" spans="1:6" x14ac:dyDescent="0.3">
      <c r="A38" s="12" t="s">
        <v>80</v>
      </c>
      <c r="B38" s="9"/>
      <c r="C38" s="13"/>
      <c r="D38" s="176"/>
      <c r="E38" s="177"/>
      <c r="F38" s="178"/>
    </row>
    <row r="39" spans="1:6" x14ac:dyDescent="0.3">
      <c r="A39" s="12" t="s">
        <v>81</v>
      </c>
      <c r="B39" s="9"/>
      <c r="C39" s="13"/>
      <c r="D39" s="176"/>
      <c r="E39" s="177"/>
      <c r="F39" s="178"/>
    </row>
    <row r="40" spans="1:6" x14ac:dyDescent="0.3">
      <c r="A40" s="12" t="s">
        <v>82</v>
      </c>
      <c r="B40" s="9"/>
      <c r="C40" s="13"/>
      <c r="D40" s="176"/>
      <c r="E40" s="177"/>
      <c r="F40" s="178"/>
    </row>
    <row r="41" spans="1:6" x14ac:dyDescent="0.3">
      <c r="A41" s="12" t="s">
        <v>83</v>
      </c>
      <c r="B41" s="9"/>
      <c r="C41" s="13"/>
      <c r="D41" s="176"/>
      <c r="E41" s="177"/>
      <c r="F41" s="178"/>
    </row>
    <row r="42" spans="1:6" x14ac:dyDescent="0.3">
      <c r="A42" s="12" t="s">
        <v>84</v>
      </c>
      <c r="B42" s="9"/>
      <c r="C42" s="13"/>
      <c r="D42" s="176"/>
      <c r="E42" s="177"/>
      <c r="F42" s="178"/>
    </row>
    <row r="43" spans="1:6" ht="18.850000000000001" customHeight="1" x14ac:dyDescent="0.3">
      <c r="A43" s="187" t="s">
        <v>85</v>
      </c>
      <c r="B43" s="178"/>
      <c r="C43" s="14">
        <f>SUM(C35:C42)</f>
        <v>8</v>
      </c>
    </row>
    <row r="51" spans="1:8" x14ac:dyDescent="0.3">
      <c r="A51" s="138" t="s">
        <v>662</v>
      </c>
      <c r="B51" s="131"/>
      <c r="E51" s="139" t="s">
        <v>663</v>
      </c>
      <c r="F51" s="131"/>
      <c r="H51" s="138"/>
    </row>
    <row r="52" spans="1:8" x14ac:dyDescent="0.3">
      <c r="A52" s="140" t="s">
        <v>664</v>
      </c>
      <c r="E52" s="140" t="s">
        <v>664</v>
      </c>
    </row>
    <row r="74" spans="1:1" x14ac:dyDescent="0.3">
      <c r="A74" s="15" t="str">
        <f>HYPERLINK("#'INDICE'!A4","&lt;&lt; Volver al Indice")</f>
        <v>&lt;&lt; Volver al Indice</v>
      </c>
    </row>
    <row r="105" spans="1:1" x14ac:dyDescent="0.3">
      <c r="A105" s="15" t="str">
        <f>HYPERLINK("#'INDICE'!A5","&lt;&lt; Volver al Indice")</f>
        <v>&lt;&lt; Volver al Indice</v>
      </c>
    </row>
  </sheetData>
  <mergeCells count="14">
    <mergeCell ref="A43:B43"/>
    <mergeCell ref="D36:F36"/>
    <mergeCell ref="D40:F40"/>
    <mergeCell ref="D35:F35"/>
    <mergeCell ref="D34:F34"/>
    <mergeCell ref="D41:F41"/>
    <mergeCell ref="A13:F13"/>
    <mergeCell ref="A15:F15"/>
    <mergeCell ref="A33:F33"/>
    <mergeCell ref="D42:F42"/>
    <mergeCell ref="A16:F31"/>
    <mergeCell ref="D38:F38"/>
    <mergeCell ref="D39:F39"/>
    <mergeCell ref="D37:F3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H108"/>
  <sheetViews>
    <sheetView workbookViewId="0">
      <selection activeCell="C8" sqref="C8"/>
    </sheetView>
  </sheetViews>
  <sheetFormatPr baseColWidth="10" defaultColWidth="9.109375" defaultRowHeight="15.05" x14ac:dyDescent="0.3"/>
  <cols>
    <col min="1" max="1" width="32" customWidth="1"/>
    <col min="2" max="6" width="20" customWidth="1"/>
    <col min="7" max="7" width="17.33203125" bestFit="1" customWidth="1"/>
    <col min="8" max="8" width="12.6640625" customWidth="1"/>
  </cols>
  <sheetData>
    <row r="3" spans="1:8" x14ac:dyDescent="0.3">
      <c r="C3" s="121"/>
    </row>
    <row r="4" spans="1:8" ht="27" customHeight="1" x14ac:dyDescent="0.3">
      <c r="H4" s="137" t="s">
        <v>12</v>
      </c>
    </row>
    <row r="5" spans="1:8" x14ac:dyDescent="0.3">
      <c r="C5" s="120" t="s">
        <v>685</v>
      </c>
    </row>
    <row r="6" spans="1:8" x14ac:dyDescent="0.3">
      <c r="C6" s="125" t="s">
        <v>656</v>
      </c>
      <c r="G6" s="58" t="s">
        <v>652</v>
      </c>
      <c r="H6" s="58"/>
    </row>
    <row r="7" spans="1:8" x14ac:dyDescent="0.3">
      <c r="C7" s="120" t="s">
        <v>686</v>
      </c>
      <c r="G7" s="58" t="s">
        <v>653</v>
      </c>
      <c r="H7" s="58"/>
    </row>
    <row r="8" spans="1:8" x14ac:dyDescent="0.3">
      <c r="C8" s="120" t="s">
        <v>689</v>
      </c>
      <c r="G8" s="58" t="s">
        <v>654</v>
      </c>
      <c r="H8" s="58"/>
    </row>
    <row r="9" spans="1:8" x14ac:dyDescent="0.3">
      <c r="G9" s="58" t="s">
        <v>655</v>
      </c>
      <c r="H9" s="58"/>
    </row>
    <row r="11" spans="1:8" ht="29.95" customHeight="1" x14ac:dyDescent="0.3">
      <c r="A11" s="160" t="s">
        <v>86</v>
      </c>
      <c r="B11" s="151"/>
      <c r="C11" s="151"/>
      <c r="D11" s="151"/>
      <c r="E11" s="151"/>
      <c r="F11" s="151"/>
    </row>
    <row r="13" spans="1:8" x14ac:dyDescent="0.3">
      <c r="A13" s="157" t="s">
        <v>87</v>
      </c>
      <c r="B13" s="151"/>
      <c r="C13" s="151"/>
      <c r="D13" s="151"/>
      <c r="E13" s="151"/>
      <c r="F13" s="151"/>
    </row>
    <row r="14" spans="1:8" x14ac:dyDescent="0.3">
      <c r="A14" s="16" t="s">
        <v>88</v>
      </c>
      <c r="B14" s="176"/>
      <c r="C14" s="177"/>
      <c r="D14" s="177"/>
      <c r="E14" s="177"/>
      <c r="F14" s="178"/>
    </row>
    <row r="15" spans="1:8" x14ac:dyDescent="0.3">
      <c r="A15" s="16" t="s">
        <v>89</v>
      </c>
      <c r="B15" s="176"/>
      <c r="C15" s="177"/>
      <c r="D15" s="177"/>
      <c r="E15" s="177"/>
      <c r="F15" s="178"/>
    </row>
    <row r="16" spans="1:8" x14ac:dyDescent="0.3">
      <c r="A16" s="16" t="s">
        <v>90</v>
      </c>
      <c r="B16" s="176"/>
      <c r="C16" s="177"/>
      <c r="D16" s="177"/>
      <c r="E16" s="177"/>
      <c r="F16" s="178"/>
    </row>
    <row r="17" spans="1:6" x14ac:dyDescent="0.3">
      <c r="A17" s="16" t="s">
        <v>91</v>
      </c>
      <c r="B17" s="176"/>
      <c r="C17" s="177"/>
      <c r="D17" s="177"/>
      <c r="E17" s="177"/>
      <c r="F17" s="178"/>
    </row>
    <row r="19" spans="1:6" x14ac:dyDescent="0.3">
      <c r="A19" s="173" t="s">
        <v>92</v>
      </c>
      <c r="B19" s="151"/>
      <c r="C19" s="151"/>
      <c r="D19" s="151"/>
      <c r="E19" s="151"/>
      <c r="F19" s="151"/>
    </row>
    <row r="20" spans="1:6" x14ac:dyDescent="0.3">
      <c r="A20" s="11" t="s">
        <v>93</v>
      </c>
      <c r="B20" s="11" t="s">
        <v>94</v>
      </c>
      <c r="C20" s="11" t="s">
        <v>95</v>
      </c>
      <c r="D20" s="11" t="s">
        <v>96</v>
      </c>
      <c r="E20" s="11" t="s">
        <v>97</v>
      </c>
      <c r="F20" s="11" t="s">
        <v>98</v>
      </c>
    </row>
    <row r="21" spans="1:6" x14ac:dyDescent="0.3">
      <c r="A21" s="12" t="s">
        <v>99</v>
      </c>
      <c r="B21" s="9"/>
      <c r="C21" s="9"/>
      <c r="D21" s="9"/>
      <c r="E21" s="9"/>
      <c r="F21" s="9"/>
    </row>
    <row r="22" spans="1:6" x14ac:dyDescent="0.3">
      <c r="A22" s="12" t="s">
        <v>100</v>
      </c>
      <c r="B22" s="9"/>
      <c r="C22" s="9"/>
      <c r="D22" s="9"/>
      <c r="E22" s="9"/>
      <c r="F22" s="9"/>
    </row>
    <row r="23" spans="1:6" x14ac:dyDescent="0.3">
      <c r="A23" s="12" t="s">
        <v>101</v>
      </c>
      <c r="B23" s="9"/>
      <c r="C23" s="9"/>
      <c r="D23" s="9"/>
      <c r="E23" s="9"/>
      <c r="F23" s="9"/>
    </row>
    <row r="24" spans="1:6" x14ac:dyDescent="0.3">
      <c r="A24" s="12" t="s">
        <v>102</v>
      </c>
      <c r="B24" s="9"/>
      <c r="C24" s="9"/>
      <c r="D24" s="9"/>
      <c r="E24" s="9"/>
      <c r="F24" s="9"/>
    </row>
    <row r="25" spans="1:6" x14ac:dyDescent="0.3">
      <c r="A25" s="12" t="s">
        <v>103</v>
      </c>
      <c r="B25" s="9"/>
      <c r="C25" s="9"/>
      <c r="D25" s="9"/>
      <c r="E25" s="9"/>
      <c r="F25" s="9"/>
    </row>
    <row r="35" spans="1:8" x14ac:dyDescent="0.3">
      <c r="A35" s="139" t="s">
        <v>662</v>
      </c>
      <c r="B35" s="131"/>
      <c r="E35" s="139" t="s">
        <v>663</v>
      </c>
      <c r="F35" s="131"/>
      <c r="H35" s="138"/>
    </row>
    <row r="36" spans="1:8" x14ac:dyDescent="0.3">
      <c r="A36" s="140" t="s">
        <v>664</v>
      </c>
      <c r="E36" s="140" t="s">
        <v>664</v>
      </c>
    </row>
    <row r="52" spans="1:1" x14ac:dyDescent="0.3">
      <c r="A52" s="127" t="str">
        <f>HYPERLINK("#'INDICE'!A4","&lt;&lt; Volver al Indice")</f>
        <v>&lt;&lt; Volver al Indice</v>
      </c>
    </row>
    <row r="108" spans="1:1" x14ac:dyDescent="0.3">
      <c r="A108" s="15" t="str">
        <f>HYPERLINK("#'INDICE'!A6","&lt;&lt; Volver al Indice")</f>
        <v>&lt;&lt; Volver al Indice</v>
      </c>
    </row>
  </sheetData>
  <mergeCells count="7">
    <mergeCell ref="A19:F19"/>
    <mergeCell ref="B15:F15"/>
    <mergeCell ref="B14:F14"/>
    <mergeCell ref="A11:F11"/>
    <mergeCell ref="A13:F13"/>
    <mergeCell ref="B16:F16"/>
    <mergeCell ref="B17:F17"/>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G108"/>
  <sheetViews>
    <sheetView zoomScaleNormal="100" workbookViewId="0">
      <selection activeCell="D9" sqref="D9"/>
    </sheetView>
  </sheetViews>
  <sheetFormatPr baseColWidth="10" defaultColWidth="9.109375" defaultRowHeight="15.05" x14ac:dyDescent="0.3"/>
  <cols>
    <col min="1" max="1" width="25" customWidth="1"/>
    <col min="2" max="3" width="20" customWidth="1"/>
    <col min="4" max="4" width="45.44140625" customWidth="1"/>
    <col min="5" max="5" width="38" customWidth="1"/>
    <col min="6" max="6" width="18" customWidth="1"/>
    <col min="7" max="7" width="15.109375" customWidth="1"/>
  </cols>
  <sheetData>
    <row r="3" spans="1:7" x14ac:dyDescent="0.3">
      <c r="D3" s="121"/>
    </row>
    <row r="5" spans="1:7" ht="24.75" customHeight="1" x14ac:dyDescent="0.3">
      <c r="G5" s="141" t="s">
        <v>14</v>
      </c>
    </row>
    <row r="6" spans="1:7" x14ac:dyDescent="0.3">
      <c r="D6" s="120" t="s">
        <v>685</v>
      </c>
    </row>
    <row r="7" spans="1:7" x14ac:dyDescent="0.3">
      <c r="D7" s="125" t="s">
        <v>656</v>
      </c>
      <c r="F7" s="58" t="s">
        <v>652</v>
      </c>
      <c r="G7" s="58"/>
    </row>
    <row r="8" spans="1:7" x14ac:dyDescent="0.3">
      <c r="D8" s="120" t="s">
        <v>686</v>
      </c>
      <c r="F8" s="58" t="s">
        <v>653</v>
      </c>
      <c r="G8" s="58"/>
    </row>
    <row r="9" spans="1:7" x14ac:dyDescent="0.3">
      <c r="D9" s="120" t="s">
        <v>689</v>
      </c>
      <c r="F9" s="58" t="s">
        <v>654</v>
      </c>
      <c r="G9" s="58"/>
    </row>
    <row r="10" spans="1:7" x14ac:dyDescent="0.3">
      <c r="F10" s="58" t="s">
        <v>655</v>
      </c>
      <c r="G10" s="58"/>
    </row>
    <row r="11" spans="1:7" ht="29.95" customHeight="1" x14ac:dyDescent="0.3">
      <c r="A11" s="158" t="s">
        <v>666</v>
      </c>
      <c r="B11" s="151"/>
      <c r="C11" s="151"/>
      <c r="D11" s="151"/>
      <c r="E11" s="151"/>
    </row>
    <row r="13" spans="1:7" ht="24.05" customHeight="1" x14ac:dyDescent="0.3">
      <c r="A13" s="157" t="s">
        <v>104</v>
      </c>
      <c r="B13" s="151"/>
      <c r="C13" s="151"/>
      <c r="D13" s="151"/>
      <c r="E13" s="151"/>
    </row>
    <row r="14" spans="1:7" ht="22.6" customHeight="1" x14ac:dyDescent="0.3">
      <c r="A14" s="11" t="s">
        <v>105</v>
      </c>
      <c r="B14" s="188" t="s">
        <v>106</v>
      </c>
      <c r="C14" s="178"/>
      <c r="D14" s="11" t="s">
        <v>98</v>
      </c>
      <c r="E14" s="11"/>
    </row>
    <row r="15" spans="1:7" x14ac:dyDescent="0.3">
      <c r="A15" s="12" t="s">
        <v>107</v>
      </c>
      <c r="B15" s="176"/>
      <c r="C15" s="178"/>
      <c r="D15" s="9"/>
      <c r="E15" s="9"/>
    </row>
    <row r="16" spans="1:7" x14ac:dyDescent="0.3">
      <c r="A16" s="12" t="s">
        <v>108</v>
      </c>
      <c r="B16" s="176"/>
      <c r="C16" s="178"/>
      <c r="D16" s="9"/>
      <c r="E16" s="9"/>
    </row>
    <row r="17" spans="1:5" x14ac:dyDescent="0.3">
      <c r="A17" s="12" t="s">
        <v>109</v>
      </c>
      <c r="B17" s="176"/>
      <c r="C17" s="178"/>
      <c r="D17" s="9"/>
      <c r="E17" s="9"/>
    </row>
    <row r="18" spans="1:5" x14ac:dyDescent="0.3">
      <c r="A18" s="12" t="s">
        <v>110</v>
      </c>
      <c r="B18" s="176"/>
      <c r="C18" s="178"/>
      <c r="D18" s="9"/>
      <c r="E18" s="9"/>
    </row>
    <row r="19" spans="1:5" x14ac:dyDescent="0.3">
      <c r="A19" s="12" t="s">
        <v>111</v>
      </c>
      <c r="B19" s="176"/>
      <c r="C19" s="178"/>
      <c r="D19" s="9"/>
      <c r="E19" s="9"/>
    </row>
    <row r="20" spans="1:5" x14ac:dyDescent="0.3">
      <c r="A20" s="12" t="s">
        <v>112</v>
      </c>
      <c r="B20" s="176"/>
      <c r="C20" s="178"/>
      <c r="D20" s="9"/>
      <c r="E20" s="9"/>
    </row>
    <row r="21" spans="1:5" x14ac:dyDescent="0.3">
      <c r="A21" s="12" t="s">
        <v>113</v>
      </c>
      <c r="B21" s="176"/>
      <c r="C21" s="178"/>
      <c r="D21" s="9"/>
      <c r="E21" s="9"/>
    </row>
    <row r="22" spans="1:5" x14ac:dyDescent="0.3">
      <c r="A22" s="12" t="s">
        <v>114</v>
      </c>
      <c r="B22" s="176"/>
      <c r="C22" s="178"/>
      <c r="D22" s="9"/>
      <c r="E22" s="9"/>
    </row>
    <row r="23" spans="1:5" x14ac:dyDescent="0.3">
      <c r="A23" s="12" t="s">
        <v>115</v>
      </c>
      <c r="B23" s="176"/>
      <c r="C23" s="178"/>
      <c r="D23" s="9"/>
      <c r="E23" s="9"/>
    </row>
    <row r="35" spans="1:7" x14ac:dyDescent="0.3">
      <c r="A35" s="139" t="s">
        <v>662</v>
      </c>
      <c r="B35" s="131"/>
      <c r="C35" s="131"/>
      <c r="E35" s="139" t="s">
        <v>663</v>
      </c>
      <c r="G35" s="138"/>
    </row>
    <row r="36" spans="1:7" x14ac:dyDescent="0.3">
      <c r="A36" s="140" t="s">
        <v>664</v>
      </c>
      <c r="E36" s="140" t="s">
        <v>664</v>
      </c>
    </row>
    <row r="52" spans="1:1" x14ac:dyDescent="0.3">
      <c r="A52" s="127" t="str">
        <f>HYPERLINK("#'INDICE'!A4","&lt;&lt; Volver al Indice")</f>
        <v>&lt;&lt; Volver al Indice</v>
      </c>
    </row>
    <row r="108" spans="1:1" x14ac:dyDescent="0.3">
      <c r="A108" s="15" t="str">
        <f>HYPERLINK("#'INDICE'!A7","&lt;&lt; Volver al Indice")</f>
        <v>&lt;&lt; Volver al Indice</v>
      </c>
    </row>
  </sheetData>
  <mergeCells count="12">
    <mergeCell ref="B23:C23"/>
    <mergeCell ref="A11:E11"/>
    <mergeCell ref="B18:C18"/>
    <mergeCell ref="B17:C17"/>
    <mergeCell ref="B14:C14"/>
    <mergeCell ref="A13:E13"/>
    <mergeCell ref="B22:C22"/>
    <mergeCell ref="B16:C16"/>
    <mergeCell ref="B21:C21"/>
    <mergeCell ref="B15:C15"/>
    <mergeCell ref="B20:C20"/>
    <mergeCell ref="B19:C1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H110"/>
  <sheetViews>
    <sheetView zoomScaleNormal="100" workbookViewId="0">
      <selection activeCell="C9" sqref="C9"/>
    </sheetView>
  </sheetViews>
  <sheetFormatPr baseColWidth="10" defaultColWidth="9.109375" defaultRowHeight="15.05" x14ac:dyDescent="0.3"/>
  <cols>
    <col min="1" max="1" width="18" customWidth="1"/>
    <col min="2" max="2" width="20" customWidth="1"/>
    <col min="3" max="3" width="33.5546875" bestFit="1" customWidth="1"/>
    <col min="4" max="4" width="16.5546875" customWidth="1"/>
    <col min="5" max="5" width="16.33203125" customWidth="1"/>
    <col min="6" max="6" width="20" customWidth="1"/>
    <col min="7" max="7" width="18.44140625" customWidth="1"/>
    <col min="8" max="8" width="11.6640625" customWidth="1"/>
  </cols>
  <sheetData>
    <row r="3" spans="1:8" x14ac:dyDescent="0.3">
      <c r="C3" s="121"/>
    </row>
    <row r="4" spans="1:8" ht="24.05" customHeight="1" x14ac:dyDescent="0.3">
      <c r="H4" s="137" t="s">
        <v>16</v>
      </c>
    </row>
    <row r="6" spans="1:8" x14ac:dyDescent="0.3">
      <c r="C6" s="120" t="s">
        <v>685</v>
      </c>
      <c r="G6" s="58" t="s">
        <v>652</v>
      </c>
      <c r="H6" s="58"/>
    </row>
    <row r="7" spans="1:8" x14ac:dyDescent="0.3">
      <c r="C7" s="125" t="s">
        <v>682</v>
      </c>
      <c r="G7" s="58" t="s">
        <v>653</v>
      </c>
      <c r="H7" s="58"/>
    </row>
    <row r="8" spans="1:8" x14ac:dyDescent="0.3">
      <c r="C8" s="120" t="s">
        <v>686</v>
      </c>
      <c r="G8" s="58" t="s">
        <v>654</v>
      </c>
      <c r="H8" s="58"/>
    </row>
    <row r="9" spans="1:8" x14ac:dyDescent="0.3">
      <c r="C9" s="120" t="s">
        <v>689</v>
      </c>
      <c r="G9" s="58" t="s">
        <v>655</v>
      </c>
      <c r="H9" s="58"/>
    </row>
    <row r="11" spans="1:8" ht="29.95" customHeight="1" x14ac:dyDescent="0.3">
      <c r="A11" s="158" t="s">
        <v>17</v>
      </c>
      <c r="B11" s="151"/>
      <c r="C11" s="151"/>
      <c r="D11" s="151"/>
      <c r="E11" s="151"/>
      <c r="F11" s="151"/>
    </row>
    <row r="12" spans="1:8" x14ac:dyDescent="0.3">
      <c r="A12" s="8" t="s">
        <v>66</v>
      </c>
      <c r="B12" s="176"/>
      <c r="C12" s="177"/>
      <c r="D12" s="178"/>
      <c r="E12" s="8" t="s">
        <v>67</v>
      </c>
      <c r="F12" s="10">
        <f ca="1">TODAY()</f>
        <v>45999</v>
      </c>
    </row>
    <row r="13" spans="1:8" x14ac:dyDescent="0.3">
      <c r="A13" s="8" t="s">
        <v>68</v>
      </c>
      <c r="B13" s="176"/>
      <c r="C13" s="177"/>
      <c r="D13" s="178"/>
      <c r="E13" s="8" t="s">
        <v>69</v>
      </c>
      <c r="F13" s="9"/>
    </row>
    <row r="15" spans="1:8" x14ac:dyDescent="0.3">
      <c r="A15" s="157" t="s">
        <v>116</v>
      </c>
      <c r="B15" s="151"/>
      <c r="C15" s="151"/>
      <c r="D15" s="151"/>
      <c r="E15" s="151"/>
      <c r="F15" s="151"/>
    </row>
    <row r="16" spans="1:8" x14ac:dyDescent="0.3">
      <c r="A16" s="11" t="s">
        <v>117</v>
      </c>
      <c r="B16" s="11" t="s">
        <v>118</v>
      </c>
      <c r="C16" s="11" t="s">
        <v>119</v>
      </c>
      <c r="D16" s="11" t="s">
        <v>120</v>
      </c>
      <c r="E16" s="11" t="s">
        <v>121</v>
      </c>
      <c r="F16" s="11" t="s">
        <v>122</v>
      </c>
    </row>
    <row r="17" spans="1:6" x14ac:dyDescent="0.3">
      <c r="A17" s="12" t="s">
        <v>123</v>
      </c>
      <c r="B17" s="9"/>
      <c r="C17" s="9"/>
      <c r="D17" s="9"/>
      <c r="E17" s="9"/>
      <c r="F17" s="9"/>
    </row>
    <row r="18" spans="1:6" x14ac:dyDescent="0.3">
      <c r="A18" s="12" t="s">
        <v>124</v>
      </c>
      <c r="B18" s="9"/>
      <c r="C18" s="9"/>
      <c r="D18" s="9"/>
      <c r="E18" s="9"/>
      <c r="F18" s="9"/>
    </row>
    <row r="19" spans="1:6" x14ac:dyDescent="0.3">
      <c r="A19" s="12" t="s">
        <v>110</v>
      </c>
      <c r="B19" s="9"/>
      <c r="C19" s="9"/>
      <c r="D19" s="9"/>
      <c r="E19" s="9"/>
      <c r="F19" s="9"/>
    </row>
    <row r="20" spans="1:6" x14ac:dyDescent="0.3">
      <c r="A20" s="12" t="s">
        <v>125</v>
      </c>
      <c r="B20" s="9"/>
      <c r="C20" s="9"/>
      <c r="D20" s="9"/>
      <c r="E20" s="9"/>
      <c r="F20" s="9"/>
    </row>
    <row r="21" spans="1:6" x14ac:dyDescent="0.3">
      <c r="A21" s="12" t="s">
        <v>126</v>
      </c>
      <c r="B21" s="9"/>
      <c r="C21" s="9"/>
      <c r="D21" s="9"/>
      <c r="E21" s="9"/>
      <c r="F21" s="9"/>
    </row>
    <row r="22" spans="1:6" x14ac:dyDescent="0.3">
      <c r="A22" s="12" t="s">
        <v>127</v>
      </c>
      <c r="B22" s="9"/>
      <c r="C22" s="9"/>
      <c r="D22" s="9"/>
      <c r="E22" s="9"/>
      <c r="F22" s="9"/>
    </row>
    <row r="24" spans="1:6" x14ac:dyDescent="0.3">
      <c r="A24" s="157" t="s">
        <v>128</v>
      </c>
      <c r="B24" s="151"/>
      <c r="C24" s="151"/>
      <c r="D24" s="151"/>
      <c r="E24" s="151"/>
      <c r="F24" s="151"/>
    </row>
    <row r="25" spans="1:6" x14ac:dyDescent="0.3">
      <c r="A25" s="189" t="s">
        <v>129</v>
      </c>
      <c r="B25" s="178"/>
      <c r="C25" s="176"/>
      <c r="D25" s="177"/>
      <c r="E25" s="177"/>
      <c r="F25" s="178"/>
    </row>
    <row r="26" spans="1:6" x14ac:dyDescent="0.3">
      <c r="A26" s="189" t="s">
        <v>130</v>
      </c>
      <c r="B26" s="178"/>
      <c r="C26" s="176"/>
      <c r="D26" s="177"/>
      <c r="E26" s="177"/>
      <c r="F26" s="178"/>
    </row>
    <row r="27" spans="1:6" x14ac:dyDescent="0.3">
      <c r="A27" s="189" t="s">
        <v>131</v>
      </c>
      <c r="B27" s="178"/>
      <c r="C27" s="176"/>
      <c r="D27" s="177"/>
      <c r="E27" s="177"/>
      <c r="F27" s="178"/>
    </row>
    <row r="28" spans="1:6" x14ac:dyDescent="0.3">
      <c r="A28" s="189" t="s">
        <v>132</v>
      </c>
      <c r="B28" s="178"/>
      <c r="C28" s="176"/>
      <c r="D28" s="177"/>
      <c r="E28" s="177"/>
      <c r="F28" s="178"/>
    </row>
    <row r="36" spans="1:8" x14ac:dyDescent="0.3">
      <c r="A36" s="138" t="s">
        <v>662</v>
      </c>
      <c r="B36" s="131"/>
      <c r="C36" s="131"/>
      <c r="E36" s="138" t="s">
        <v>663</v>
      </c>
      <c r="F36" s="131"/>
      <c r="G36" s="131"/>
      <c r="H36" s="138"/>
    </row>
    <row r="37" spans="1:8" x14ac:dyDescent="0.3">
      <c r="A37" s="140" t="s">
        <v>664</v>
      </c>
      <c r="E37" s="140" t="s">
        <v>664</v>
      </c>
    </row>
    <row r="57" spans="1:1" x14ac:dyDescent="0.3">
      <c r="A57" s="127" t="str">
        <f>HYPERLINK("#'INDICE'!A4","&lt;&lt; Volver al Indice")</f>
        <v>&lt;&lt; Volver al Indice</v>
      </c>
    </row>
    <row r="110" spans="1:1" x14ac:dyDescent="0.3">
      <c r="A110" s="15" t="str">
        <f>HYPERLINK("#'INDICE'!A8","&lt;&lt; Volver al Indice")</f>
        <v>&lt;&lt; Volver al Indice</v>
      </c>
    </row>
  </sheetData>
  <mergeCells count="13">
    <mergeCell ref="A11:F11"/>
    <mergeCell ref="A15:F15"/>
    <mergeCell ref="C26:F26"/>
    <mergeCell ref="C25:F25"/>
    <mergeCell ref="A27:B27"/>
    <mergeCell ref="B12:D12"/>
    <mergeCell ref="C28:F28"/>
    <mergeCell ref="B13:D13"/>
    <mergeCell ref="A26:B26"/>
    <mergeCell ref="C27:F27"/>
    <mergeCell ref="A25:B25"/>
    <mergeCell ref="A24:F24"/>
    <mergeCell ref="A28:B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I108"/>
  <sheetViews>
    <sheetView workbookViewId="0">
      <selection activeCell="D8" sqref="D8"/>
    </sheetView>
  </sheetViews>
  <sheetFormatPr baseColWidth="10" defaultColWidth="9.109375" defaultRowHeight="15.05" x14ac:dyDescent="0.3"/>
  <cols>
    <col min="1" max="6" width="20" customWidth="1"/>
    <col min="7" max="7" width="13.5546875" customWidth="1"/>
    <col min="8" max="8" width="17.33203125" customWidth="1"/>
    <col min="9" max="9" width="14.5546875" customWidth="1"/>
  </cols>
  <sheetData>
    <row r="3" spans="1:9" x14ac:dyDescent="0.3">
      <c r="D3" s="121"/>
    </row>
    <row r="4" spans="1:9" ht="26.2" customHeight="1" x14ac:dyDescent="0.3">
      <c r="I4" s="141" t="s">
        <v>18</v>
      </c>
    </row>
    <row r="5" spans="1:9" x14ac:dyDescent="0.3">
      <c r="D5" s="120" t="s">
        <v>685</v>
      </c>
    </row>
    <row r="6" spans="1:9" x14ac:dyDescent="0.3">
      <c r="D6" s="125" t="s">
        <v>656</v>
      </c>
    </row>
    <row r="7" spans="1:9" x14ac:dyDescent="0.3">
      <c r="D7" s="120" t="s">
        <v>686</v>
      </c>
      <c r="H7" s="58" t="s">
        <v>652</v>
      </c>
      <c r="I7" s="58"/>
    </row>
    <row r="8" spans="1:9" x14ac:dyDescent="0.3">
      <c r="D8" s="120" t="s">
        <v>689</v>
      </c>
      <c r="H8" s="58" t="s">
        <v>653</v>
      </c>
      <c r="I8" s="58"/>
    </row>
    <row r="9" spans="1:9" x14ac:dyDescent="0.3">
      <c r="H9" s="58" t="s">
        <v>654</v>
      </c>
      <c r="I9" s="58"/>
    </row>
    <row r="10" spans="1:9" x14ac:dyDescent="0.3">
      <c r="H10" s="58" t="s">
        <v>655</v>
      </c>
      <c r="I10" s="58"/>
    </row>
    <row r="11" spans="1:9" ht="29.95" customHeight="1" x14ac:dyDescent="0.3">
      <c r="A11" s="160" t="s">
        <v>133</v>
      </c>
      <c r="B11" s="151"/>
      <c r="C11" s="151"/>
      <c r="D11" s="151"/>
      <c r="E11" s="151"/>
      <c r="F11" s="151"/>
      <c r="G11" s="151"/>
    </row>
    <row r="13" spans="1:9" x14ac:dyDescent="0.3">
      <c r="A13" s="157" t="s">
        <v>134</v>
      </c>
      <c r="B13" s="151"/>
      <c r="C13" s="151"/>
      <c r="D13" s="151"/>
      <c r="E13" s="151"/>
      <c r="F13" s="151"/>
      <c r="G13" s="151"/>
    </row>
    <row r="14" spans="1:9" x14ac:dyDescent="0.3">
      <c r="A14" s="22" t="s">
        <v>135</v>
      </c>
      <c r="B14" s="22" t="s">
        <v>136</v>
      </c>
      <c r="C14" s="22" t="s">
        <v>137</v>
      </c>
      <c r="D14" s="22" t="s">
        <v>138</v>
      </c>
      <c r="E14" s="22" t="s">
        <v>139</v>
      </c>
      <c r="F14" s="22" t="s">
        <v>382</v>
      </c>
      <c r="G14" s="22" t="s">
        <v>97</v>
      </c>
    </row>
    <row r="15" spans="1:9" x14ac:dyDescent="0.3">
      <c r="A15" s="17"/>
      <c r="B15" s="17"/>
      <c r="C15" s="45"/>
      <c r="D15" s="45"/>
      <c r="E15" s="24">
        <v>100</v>
      </c>
      <c r="F15" s="46" t="str">
        <f t="shared" ref="F15:F29" ca="1" si="0">IF(D15="","",D15-TODAY())</f>
        <v/>
      </c>
      <c r="G15" s="31" t="str">
        <f t="shared" ref="G15:G29" si="1">IF(D15="","",
    IF(F15&lt;0,"VENCIDO",
    IF(F15&lt;=30,"POR VENCER",
    IF(F15&lt;=90,"PRÓXIMO VENC.",
    "VIGENTE"))))</f>
        <v/>
      </c>
    </row>
    <row r="16" spans="1:9" x14ac:dyDescent="0.3">
      <c r="A16" s="17"/>
      <c r="B16" s="17"/>
      <c r="C16" s="45"/>
      <c r="D16" s="45"/>
      <c r="E16" s="24"/>
      <c r="F16" s="46" t="str">
        <f t="shared" ca="1" si="0"/>
        <v/>
      </c>
      <c r="G16" s="31" t="str">
        <f t="shared" si="1"/>
        <v/>
      </c>
    </row>
    <row r="17" spans="1:7" x14ac:dyDescent="0.3">
      <c r="A17" s="17"/>
      <c r="B17" s="17"/>
      <c r="C17" s="45"/>
      <c r="D17" s="45"/>
      <c r="E17" s="24"/>
      <c r="F17" s="46" t="str">
        <f t="shared" ca="1" si="0"/>
        <v/>
      </c>
      <c r="G17" s="31" t="str">
        <f t="shared" si="1"/>
        <v/>
      </c>
    </row>
    <row r="18" spans="1:7" x14ac:dyDescent="0.3">
      <c r="A18" s="17"/>
      <c r="B18" s="17"/>
      <c r="C18" s="45"/>
      <c r="D18" s="45"/>
      <c r="E18" s="24"/>
      <c r="F18" s="46" t="str">
        <f t="shared" ca="1" si="0"/>
        <v/>
      </c>
      <c r="G18" s="31" t="str">
        <f t="shared" si="1"/>
        <v/>
      </c>
    </row>
    <row r="19" spans="1:7" x14ac:dyDescent="0.3">
      <c r="A19" s="17"/>
      <c r="B19" s="17"/>
      <c r="C19" s="45"/>
      <c r="D19" s="45"/>
      <c r="E19" s="24"/>
      <c r="F19" s="46" t="str">
        <f t="shared" ca="1" si="0"/>
        <v/>
      </c>
      <c r="G19" s="31" t="str">
        <f t="shared" si="1"/>
        <v/>
      </c>
    </row>
    <row r="20" spans="1:7" x14ac:dyDescent="0.3">
      <c r="A20" s="17"/>
      <c r="B20" s="17"/>
      <c r="C20" s="45"/>
      <c r="D20" s="45"/>
      <c r="E20" s="24"/>
      <c r="F20" s="46" t="str">
        <f t="shared" ca="1" si="0"/>
        <v/>
      </c>
      <c r="G20" s="31" t="str">
        <f t="shared" si="1"/>
        <v/>
      </c>
    </row>
    <row r="21" spans="1:7" x14ac:dyDescent="0.3">
      <c r="A21" s="17"/>
      <c r="B21" s="17"/>
      <c r="C21" s="45"/>
      <c r="D21" s="45"/>
      <c r="E21" s="24"/>
      <c r="F21" s="46" t="str">
        <f t="shared" ca="1" si="0"/>
        <v/>
      </c>
      <c r="G21" s="31" t="str">
        <f t="shared" si="1"/>
        <v/>
      </c>
    </row>
    <row r="22" spans="1:7" x14ac:dyDescent="0.3">
      <c r="A22" s="17"/>
      <c r="B22" s="17"/>
      <c r="C22" s="45"/>
      <c r="D22" s="45"/>
      <c r="E22" s="24"/>
      <c r="F22" s="46" t="str">
        <f t="shared" ca="1" si="0"/>
        <v/>
      </c>
      <c r="G22" s="31" t="str">
        <f t="shared" si="1"/>
        <v/>
      </c>
    </row>
    <row r="23" spans="1:7" x14ac:dyDescent="0.3">
      <c r="A23" s="17"/>
      <c r="B23" s="17"/>
      <c r="C23" s="45"/>
      <c r="D23" s="45"/>
      <c r="E23" s="24"/>
      <c r="F23" s="46" t="str">
        <f t="shared" ca="1" si="0"/>
        <v/>
      </c>
      <c r="G23" s="31" t="str">
        <f t="shared" si="1"/>
        <v/>
      </c>
    </row>
    <row r="24" spans="1:7" x14ac:dyDescent="0.3">
      <c r="A24" s="17"/>
      <c r="B24" s="17"/>
      <c r="C24" s="45"/>
      <c r="D24" s="45"/>
      <c r="E24" s="24"/>
      <c r="F24" s="46" t="str">
        <f t="shared" ca="1" si="0"/>
        <v/>
      </c>
      <c r="G24" s="31" t="str">
        <f t="shared" si="1"/>
        <v/>
      </c>
    </row>
    <row r="25" spans="1:7" x14ac:dyDescent="0.3">
      <c r="A25" s="17"/>
      <c r="B25" s="17"/>
      <c r="C25" s="45"/>
      <c r="D25" s="45"/>
      <c r="E25" s="24"/>
      <c r="F25" s="46" t="str">
        <f t="shared" ca="1" si="0"/>
        <v/>
      </c>
      <c r="G25" s="31" t="str">
        <f t="shared" si="1"/>
        <v/>
      </c>
    </row>
    <row r="26" spans="1:7" x14ac:dyDescent="0.3">
      <c r="A26" s="17"/>
      <c r="B26" s="17"/>
      <c r="C26" s="45"/>
      <c r="D26" s="45"/>
      <c r="E26" s="24"/>
      <c r="F26" s="46" t="str">
        <f t="shared" ca="1" si="0"/>
        <v/>
      </c>
      <c r="G26" s="31" t="str">
        <f t="shared" si="1"/>
        <v/>
      </c>
    </row>
    <row r="27" spans="1:7" x14ac:dyDescent="0.3">
      <c r="A27" s="17"/>
      <c r="B27" s="17"/>
      <c r="C27" s="45"/>
      <c r="D27" s="45"/>
      <c r="E27" s="24"/>
      <c r="F27" s="46" t="str">
        <f t="shared" ca="1" si="0"/>
        <v/>
      </c>
      <c r="G27" s="31" t="str">
        <f t="shared" si="1"/>
        <v/>
      </c>
    </row>
    <row r="28" spans="1:7" x14ac:dyDescent="0.3">
      <c r="A28" s="17"/>
      <c r="B28" s="17"/>
      <c r="C28" s="45"/>
      <c r="D28" s="45"/>
      <c r="E28" s="24"/>
      <c r="F28" s="46" t="str">
        <f t="shared" ca="1" si="0"/>
        <v/>
      </c>
      <c r="G28" s="31" t="str">
        <f t="shared" si="1"/>
        <v/>
      </c>
    </row>
    <row r="29" spans="1:7" x14ac:dyDescent="0.3">
      <c r="A29" s="17"/>
      <c r="B29" s="17"/>
      <c r="C29" s="45"/>
      <c r="D29" s="45"/>
      <c r="E29" s="24"/>
      <c r="F29" s="46" t="str">
        <f t="shared" ca="1" si="0"/>
        <v/>
      </c>
      <c r="G29" s="31" t="str">
        <f t="shared" si="1"/>
        <v/>
      </c>
    </row>
    <row r="31" spans="1:7" x14ac:dyDescent="0.3">
      <c r="A31" s="157" t="s">
        <v>383</v>
      </c>
      <c r="B31" s="151"/>
      <c r="C31" s="151"/>
      <c r="D31" s="151"/>
      <c r="E31" s="151"/>
      <c r="F31" s="151"/>
      <c r="G31" s="151"/>
    </row>
    <row r="32" spans="1:7" x14ac:dyDescent="0.3">
      <c r="A32" s="190" t="s">
        <v>97</v>
      </c>
      <c r="B32" s="151"/>
      <c r="C32" s="191" t="s">
        <v>384</v>
      </c>
      <c r="D32" s="151"/>
      <c r="E32" s="191" t="s">
        <v>385</v>
      </c>
      <c r="F32" s="151"/>
      <c r="G32" s="151"/>
    </row>
    <row r="33" spans="1:7" x14ac:dyDescent="0.3">
      <c r="A33" s="192" t="s">
        <v>386</v>
      </c>
      <c r="B33" s="151"/>
      <c r="C33" s="193" t="s">
        <v>387</v>
      </c>
      <c r="D33" s="194"/>
      <c r="E33" s="154" t="s">
        <v>388</v>
      </c>
      <c r="F33" s="155"/>
      <c r="G33" s="156"/>
    </row>
    <row r="34" spans="1:7" x14ac:dyDescent="0.3">
      <c r="A34" s="195" t="s">
        <v>389</v>
      </c>
      <c r="B34" s="151"/>
      <c r="C34" s="193" t="s">
        <v>390</v>
      </c>
      <c r="D34" s="194"/>
      <c r="E34" s="154" t="s">
        <v>391</v>
      </c>
      <c r="F34" s="155"/>
      <c r="G34" s="156"/>
    </row>
    <row r="35" spans="1:7" x14ac:dyDescent="0.3">
      <c r="A35" s="196" t="s">
        <v>392</v>
      </c>
      <c r="B35" s="151"/>
      <c r="C35" s="193" t="s">
        <v>393</v>
      </c>
      <c r="D35" s="156"/>
      <c r="E35" s="154" t="s">
        <v>394</v>
      </c>
      <c r="F35" s="155"/>
      <c r="G35" s="156"/>
    </row>
    <row r="36" spans="1:7" x14ac:dyDescent="0.3">
      <c r="A36" s="197" t="s">
        <v>395</v>
      </c>
      <c r="B36" s="151"/>
      <c r="C36" s="193" t="s">
        <v>396</v>
      </c>
      <c r="D36" s="156"/>
      <c r="E36" s="154" t="s">
        <v>397</v>
      </c>
      <c r="F36" s="155"/>
      <c r="G36" s="156"/>
    </row>
    <row r="38" spans="1:7" x14ac:dyDescent="0.3">
      <c r="A38" s="157" t="s">
        <v>398</v>
      </c>
      <c r="B38" s="151"/>
      <c r="C38" s="151"/>
      <c r="D38" s="151"/>
      <c r="E38" s="151"/>
      <c r="F38" s="151"/>
      <c r="G38" s="151"/>
    </row>
    <row r="39" spans="1:7" x14ac:dyDescent="0.3">
      <c r="A39" s="190" t="s">
        <v>97</v>
      </c>
      <c r="B39" s="155"/>
      <c r="C39" s="156"/>
      <c r="D39" s="198" t="s">
        <v>265</v>
      </c>
      <c r="E39" s="156"/>
      <c r="F39" s="198" t="s">
        <v>399</v>
      </c>
      <c r="G39" s="156"/>
    </row>
    <row r="40" spans="1:7" x14ac:dyDescent="0.3">
      <c r="A40" s="199" t="s">
        <v>386</v>
      </c>
      <c r="B40" s="151"/>
      <c r="C40" s="151"/>
      <c r="D40" s="200">
        <v>8</v>
      </c>
      <c r="E40" s="156"/>
      <c r="F40" s="201">
        <f>IF(SUM(D40:D43)=0,0,D40/SUM(D$40:D$43)*100)</f>
        <v>38.095238095238095</v>
      </c>
      <c r="G40" s="156"/>
    </row>
    <row r="41" spans="1:7" x14ac:dyDescent="0.3">
      <c r="A41" s="202" t="s">
        <v>389</v>
      </c>
      <c r="B41" s="155"/>
      <c r="C41" s="156"/>
      <c r="D41" s="200">
        <v>1</v>
      </c>
      <c r="E41" s="156"/>
      <c r="F41" s="201">
        <f>IF(SUM(D40:D43)=0,0,D41/SUM(D$40:D$43)*100)</f>
        <v>4.7619047619047619</v>
      </c>
      <c r="G41" s="156"/>
    </row>
    <row r="42" spans="1:7" x14ac:dyDescent="0.3">
      <c r="A42" s="196" t="s">
        <v>392</v>
      </c>
      <c r="B42" s="155"/>
      <c r="C42" s="156"/>
      <c r="D42" s="200">
        <v>5</v>
      </c>
      <c r="E42" s="156"/>
      <c r="F42" s="201">
        <f>IF(SUM(D40:D43)=0,0,D42/SUM(D$40:D$43)*100)</f>
        <v>23.809523809523807</v>
      </c>
      <c r="G42" s="156"/>
    </row>
    <row r="43" spans="1:7" x14ac:dyDescent="0.3">
      <c r="A43" s="204" t="s">
        <v>395</v>
      </c>
      <c r="B43" s="151"/>
      <c r="C43" s="151"/>
      <c r="D43" s="200">
        <v>7</v>
      </c>
      <c r="E43" s="156"/>
      <c r="F43" s="201">
        <f>IF(SUM(D40:D43)=0,0,D43/SUM(D$40:D$43)*100)</f>
        <v>33.333333333333329</v>
      </c>
      <c r="G43" s="156"/>
    </row>
    <row r="44" spans="1:7" x14ac:dyDescent="0.3">
      <c r="A44" s="205" t="s">
        <v>400</v>
      </c>
      <c r="B44" s="151"/>
      <c r="C44" s="151"/>
      <c r="D44" s="206">
        <f>SUM(D40:D43)</f>
        <v>21</v>
      </c>
      <c r="E44" s="151"/>
      <c r="F44" s="207" t="s">
        <v>268</v>
      </c>
      <c r="G44" s="151"/>
    </row>
    <row r="46" spans="1:7" x14ac:dyDescent="0.3">
      <c r="A46" s="157" t="s">
        <v>401</v>
      </c>
      <c r="B46" s="151"/>
      <c r="C46" s="151"/>
      <c r="D46" s="151"/>
      <c r="E46" s="151"/>
      <c r="F46" s="151"/>
      <c r="G46" s="151"/>
    </row>
    <row r="47" spans="1:7" x14ac:dyDescent="0.3">
      <c r="A47" s="203"/>
      <c r="B47" s="151"/>
      <c r="C47" s="151"/>
      <c r="D47" s="151"/>
      <c r="E47" s="151"/>
      <c r="F47" s="151"/>
      <c r="G47" s="151"/>
    </row>
    <row r="48" spans="1:7" x14ac:dyDescent="0.3">
      <c r="A48" s="151"/>
      <c r="B48" s="151"/>
      <c r="C48" s="151"/>
      <c r="D48" s="151"/>
      <c r="E48" s="151"/>
      <c r="F48" s="151"/>
      <c r="G48" s="151"/>
    </row>
    <row r="49" spans="1:8" x14ac:dyDescent="0.3">
      <c r="A49" s="151"/>
      <c r="B49" s="151"/>
      <c r="C49" s="151"/>
      <c r="D49" s="151"/>
      <c r="E49" s="151"/>
      <c r="F49" s="151"/>
      <c r="G49" s="151"/>
    </row>
    <row r="50" spans="1:8" x14ac:dyDescent="0.3">
      <c r="A50" s="151"/>
      <c r="B50" s="151"/>
      <c r="C50" s="151"/>
      <c r="D50" s="151"/>
      <c r="E50" s="151"/>
      <c r="F50" s="151"/>
      <c r="G50" s="151"/>
    </row>
    <row r="51" spans="1:8" x14ac:dyDescent="0.3">
      <c r="A51" s="151"/>
      <c r="B51" s="151"/>
      <c r="C51" s="151"/>
      <c r="D51" s="151"/>
      <c r="E51" s="151"/>
      <c r="F51" s="151"/>
      <c r="G51" s="151"/>
    </row>
    <row r="52" spans="1:8" x14ac:dyDescent="0.3">
      <c r="A52" s="151"/>
      <c r="B52" s="151"/>
      <c r="C52" s="151"/>
      <c r="D52" s="151"/>
      <c r="E52" s="151"/>
      <c r="F52" s="151"/>
      <c r="G52" s="151"/>
    </row>
    <row r="57" spans="1:8" x14ac:dyDescent="0.3">
      <c r="A57" s="138" t="s">
        <v>662</v>
      </c>
      <c r="B57" s="131"/>
      <c r="C57" s="131"/>
      <c r="E57" s="138" t="s">
        <v>663</v>
      </c>
      <c r="F57" s="131"/>
      <c r="G57" s="131"/>
      <c r="H57" s="138"/>
    </row>
    <row r="58" spans="1:8" x14ac:dyDescent="0.3">
      <c r="A58" s="140" t="s">
        <v>664</v>
      </c>
      <c r="E58" s="140" t="s">
        <v>664</v>
      </c>
    </row>
    <row r="79" spans="1:1" x14ac:dyDescent="0.3">
      <c r="A79" s="127" t="str">
        <f>HYPERLINK("#'INDICE'!A4","&lt;&lt; Volver al Indice")</f>
        <v>&lt;&lt; Volver al Indice</v>
      </c>
    </row>
    <row r="108" spans="1:1" x14ac:dyDescent="0.3">
      <c r="A108" s="15" t="str">
        <f>HYPERLINK("#'INDICE'!A9","&lt;&lt; Volver al Indice")</f>
        <v>&lt;&lt; Volver al Indice</v>
      </c>
    </row>
  </sheetData>
  <mergeCells count="39">
    <mergeCell ref="A46:G46"/>
    <mergeCell ref="A47:G52"/>
    <mergeCell ref="A43:C43"/>
    <mergeCell ref="D43:E43"/>
    <mergeCell ref="F43:G43"/>
    <mergeCell ref="A44:C44"/>
    <mergeCell ref="D44:E44"/>
    <mergeCell ref="F44:G44"/>
    <mergeCell ref="A41:C41"/>
    <mergeCell ref="D41:E41"/>
    <mergeCell ref="F41:G41"/>
    <mergeCell ref="A42:C42"/>
    <mergeCell ref="D42:E42"/>
    <mergeCell ref="F42:G42"/>
    <mergeCell ref="A38:G38"/>
    <mergeCell ref="A39:C39"/>
    <mergeCell ref="D39:E39"/>
    <mergeCell ref="F39:G39"/>
    <mergeCell ref="A40:C40"/>
    <mergeCell ref="D40:E40"/>
    <mergeCell ref="F40:G40"/>
    <mergeCell ref="A35:B35"/>
    <mergeCell ref="C35:D35"/>
    <mergeCell ref="E35:G35"/>
    <mergeCell ref="A36:B36"/>
    <mergeCell ref="C36:D36"/>
    <mergeCell ref="E36:G36"/>
    <mergeCell ref="A33:B33"/>
    <mergeCell ref="C33:D33"/>
    <mergeCell ref="E33:G33"/>
    <mergeCell ref="A34:B34"/>
    <mergeCell ref="C34:D34"/>
    <mergeCell ref="E34:G34"/>
    <mergeCell ref="A13:G13"/>
    <mergeCell ref="A11:G11"/>
    <mergeCell ref="A31:G31"/>
    <mergeCell ref="A32:B32"/>
    <mergeCell ref="C32:D32"/>
    <mergeCell ref="E32:G32"/>
  </mergeCells>
  <conditionalFormatting sqref="F15:F29">
    <cfRule type="cellIs" dxfId="68" priority="5" operator="lessThan">
      <formula>0</formula>
    </cfRule>
    <cfRule type="cellIs" dxfId="67" priority="6" operator="between">
      <formula>0</formula>
      <formula>30</formula>
    </cfRule>
    <cfRule type="cellIs" dxfId="66" priority="7" operator="between">
      <formula>31</formula>
      <formula>90</formula>
    </cfRule>
  </conditionalFormatting>
  <conditionalFormatting sqref="G15:G29">
    <cfRule type="cellIs" dxfId="65" priority="1" operator="equal">
      <formula>"VENCIDO"</formula>
    </cfRule>
    <cfRule type="cellIs" dxfId="64" priority="2" operator="equal">
      <formula>"POR VENCER"</formula>
    </cfRule>
    <cfRule type="cellIs" dxfId="63" priority="3" operator="equal">
      <formula>"PRÓXIMO VENC."</formula>
    </cfRule>
    <cfRule type="cellIs" dxfId="62" priority="4" operator="equal">
      <formula>"VIGENTE"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H107"/>
  <sheetViews>
    <sheetView workbookViewId="0">
      <selection activeCell="D8" sqref="D8"/>
    </sheetView>
  </sheetViews>
  <sheetFormatPr baseColWidth="10" defaultColWidth="9.109375" defaultRowHeight="15.05" x14ac:dyDescent="0.3"/>
  <cols>
    <col min="1" max="2" width="20" customWidth="1"/>
    <col min="3" max="3" width="24.33203125" customWidth="1"/>
    <col min="4" max="4" width="37.88671875" customWidth="1"/>
    <col min="5" max="5" width="27.88671875" customWidth="1"/>
    <col min="6" max="6" width="20" customWidth="1"/>
    <col min="7" max="7" width="17.6640625" customWidth="1"/>
    <col min="8" max="8" width="11.5546875" customWidth="1"/>
  </cols>
  <sheetData>
    <row r="3" spans="1:8" x14ac:dyDescent="0.3">
      <c r="D3" s="121"/>
    </row>
    <row r="4" spans="1:8" ht="21.8" customHeight="1" x14ac:dyDescent="0.3">
      <c r="H4" s="137" t="s">
        <v>20</v>
      </c>
    </row>
    <row r="5" spans="1:8" x14ac:dyDescent="0.3">
      <c r="D5" s="120" t="s">
        <v>685</v>
      </c>
    </row>
    <row r="6" spans="1:8" x14ac:dyDescent="0.3">
      <c r="D6" s="125" t="s">
        <v>656</v>
      </c>
      <c r="G6" s="58" t="s">
        <v>652</v>
      </c>
      <c r="H6" s="58"/>
    </row>
    <row r="7" spans="1:8" x14ac:dyDescent="0.3">
      <c r="D7" s="120" t="s">
        <v>686</v>
      </c>
      <c r="G7" s="58" t="s">
        <v>653</v>
      </c>
      <c r="H7" s="58"/>
    </row>
    <row r="8" spans="1:8" x14ac:dyDescent="0.3">
      <c r="D8" s="120" t="s">
        <v>689</v>
      </c>
      <c r="G8" s="58" t="s">
        <v>654</v>
      </c>
      <c r="H8" s="58"/>
    </row>
    <row r="9" spans="1:8" x14ac:dyDescent="0.3">
      <c r="G9" s="58" t="s">
        <v>655</v>
      </c>
      <c r="H9" s="58"/>
    </row>
    <row r="10" spans="1:8" ht="29.95" customHeight="1" x14ac:dyDescent="0.3">
      <c r="A10" s="158" t="s">
        <v>667</v>
      </c>
      <c r="B10" s="151"/>
      <c r="C10" s="151"/>
      <c r="D10" s="151"/>
      <c r="E10" s="151"/>
      <c r="F10" s="151"/>
    </row>
    <row r="12" spans="1:8" x14ac:dyDescent="0.3">
      <c r="A12" s="157" t="s">
        <v>140</v>
      </c>
      <c r="B12" s="151"/>
      <c r="C12" s="151"/>
      <c r="D12" s="151"/>
      <c r="E12" s="151"/>
      <c r="F12" s="151"/>
    </row>
    <row r="13" spans="1:8" x14ac:dyDescent="0.3">
      <c r="A13" s="18" t="s">
        <v>141</v>
      </c>
      <c r="B13" s="18" t="s">
        <v>94</v>
      </c>
      <c r="C13" s="18" t="s">
        <v>142</v>
      </c>
      <c r="D13" s="18" t="s">
        <v>143</v>
      </c>
      <c r="E13" s="18" t="s">
        <v>144</v>
      </c>
      <c r="F13" s="18" t="s">
        <v>145</v>
      </c>
    </row>
    <row r="14" spans="1:8" x14ac:dyDescent="0.3">
      <c r="A14" s="17"/>
      <c r="B14" s="17"/>
      <c r="C14" s="17"/>
      <c r="D14" s="17"/>
      <c r="E14" s="17"/>
      <c r="F14" s="17"/>
    </row>
    <row r="15" spans="1:8" x14ac:dyDescent="0.3">
      <c r="A15" s="17"/>
      <c r="B15" s="17"/>
      <c r="C15" s="17"/>
      <c r="D15" s="17"/>
      <c r="E15" s="17"/>
      <c r="F15" s="17"/>
    </row>
    <row r="16" spans="1:8" x14ac:dyDescent="0.3">
      <c r="A16" s="17"/>
      <c r="B16" s="17"/>
      <c r="C16" s="17"/>
      <c r="D16" s="17"/>
      <c r="E16" s="17"/>
      <c r="F16" s="17"/>
    </row>
    <row r="17" spans="1:6" x14ac:dyDescent="0.3">
      <c r="A17" s="17"/>
      <c r="B17" s="17"/>
      <c r="C17" s="17"/>
      <c r="D17" s="17"/>
      <c r="E17" s="17"/>
      <c r="F17" s="17"/>
    </row>
    <row r="18" spans="1:6" x14ac:dyDescent="0.3">
      <c r="A18" s="17"/>
      <c r="B18" s="17"/>
      <c r="C18" s="17"/>
      <c r="D18" s="17"/>
      <c r="E18" s="17"/>
      <c r="F18" s="17"/>
    </row>
    <row r="19" spans="1:6" x14ac:dyDescent="0.3">
      <c r="A19" s="17"/>
      <c r="B19" s="17"/>
      <c r="C19" s="17"/>
      <c r="D19" s="17"/>
      <c r="E19" s="17"/>
      <c r="F19" s="17"/>
    </row>
    <row r="20" spans="1:6" x14ac:dyDescent="0.3">
      <c r="A20" s="17"/>
      <c r="B20" s="17"/>
      <c r="C20" s="17"/>
      <c r="D20" s="17"/>
      <c r="E20" s="17"/>
      <c r="F20" s="17"/>
    </row>
    <row r="21" spans="1:6" x14ac:dyDescent="0.3">
      <c r="A21" s="17"/>
      <c r="B21" s="17"/>
      <c r="C21" s="17"/>
      <c r="D21" s="17"/>
      <c r="E21" s="17"/>
      <c r="F21" s="17"/>
    </row>
    <row r="22" spans="1:6" x14ac:dyDescent="0.3">
      <c r="A22" s="17"/>
      <c r="B22" s="17"/>
      <c r="C22" s="17"/>
      <c r="D22" s="17"/>
      <c r="E22" s="17"/>
      <c r="F22" s="17"/>
    </row>
    <row r="23" spans="1:6" x14ac:dyDescent="0.3">
      <c r="A23" s="17"/>
      <c r="B23" s="17"/>
      <c r="C23" s="17"/>
      <c r="D23" s="17"/>
      <c r="E23" s="17"/>
      <c r="F23" s="17"/>
    </row>
    <row r="24" spans="1:6" x14ac:dyDescent="0.3">
      <c r="A24" s="17"/>
      <c r="B24" s="17"/>
      <c r="C24" s="17"/>
      <c r="D24" s="17"/>
      <c r="E24" s="17"/>
      <c r="F24" s="17"/>
    </row>
    <row r="25" spans="1:6" x14ac:dyDescent="0.3">
      <c r="A25" s="17"/>
      <c r="B25" s="17"/>
      <c r="C25" s="17"/>
      <c r="D25" s="17"/>
      <c r="E25" s="17"/>
      <c r="F25" s="17"/>
    </row>
    <row r="26" spans="1:6" x14ac:dyDescent="0.3">
      <c r="A26" s="17"/>
      <c r="B26" s="17"/>
      <c r="C26" s="17"/>
      <c r="D26" s="17"/>
      <c r="E26" s="17"/>
      <c r="F26" s="17"/>
    </row>
    <row r="27" spans="1:6" x14ac:dyDescent="0.3">
      <c r="A27" s="17"/>
      <c r="B27" s="17"/>
      <c r="C27" s="17"/>
      <c r="D27" s="17"/>
      <c r="E27" s="17"/>
      <c r="F27" s="17"/>
    </row>
    <row r="28" spans="1:6" x14ac:dyDescent="0.3">
      <c r="A28" s="17"/>
      <c r="B28" s="17"/>
      <c r="C28" s="17"/>
      <c r="D28" s="17"/>
      <c r="E28" s="17"/>
      <c r="F28" s="17"/>
    </row>
    <row r="37" spans="1:8" x14ac:dyDescent="0.3">
      <c r="A37" s="138" t="s">
        <v>662</v>
      </c>
      <c r="B37" s="131"/>
      <c r="C37" s="131"/>
      <c r="E37" s="139" t="s">
        <v>663</v>
      </c>
      <c r="F37" s="131"/>
      <c r="H37" s="138"/>
    </row>
    <row r="38" spans="1:8" x14ac:dyDescent="0.3">
      <c r="A38" s="140" t="s">
        <v>664</v>
      </c>
      <c r="E38" s="140" t="s">
        <v>664</v>
      </c>
    </row>
    <row r="59" spans="1:1" x14ac:dyDescent="0.3">
      <c r="A59" s="127" t="str">
        <f>HYPERLINK("#'INDICE'!A4","&lt;&lt; Volver al Indice")</f>
        <v>&lt;&lt; Volver al Indice</v>
      </c>
    </row>
    <row r="107" spans="1:1" x14ac:dyDescent="0.3">
      <c r="A107" s="15" t="str">
        <f>HYPERLINK("#'INDICE'!A10","&lt;&lt; Volver al Indice")</f>
        <v>&lt;&lt; Volver al Indice</v>
      </c>
    </row>
  </sheetData>
  <mergeCells count="2">
    <mergeCell ref="A10:F10"/>
    <mergeCell ref="A12:F1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H95"/>
  <sheetViews>
    <sheetView topLeftCell="A4" workbookViewId="0">
      <selection activeCell="C9" sqref="C9"/>
    </sheetView>
  </sheetViews>
  <sheetFormatPr baseColWidth="10" defaultColWidth="9.109375" defaultRowHeight="15.05" x14ac:dyDescent="0.3"/>
  <cols>
    <col min="1" max="1" width="40" customWidth="1"/>
    <col min="2" max="5" width="20" customWidth="1"/>
    <col min="6" max="6" width="16.88671875" customWidth="1"/>
    <col min="7" max="7" width="14.6640625" customWidth="1"/>
  </cols>
  <sheetData>
    <row r="3" spans="1:7" x14ac:dyDescent="0.3">
      <c r="C3" s="121"/>
    </row>
    <row r="4" spans="1:7" ht="26.2" customHeight="1" x14ac:dyDescent="0.3">
      <c r="G4" s="137" t="s">
        <v>22</v>
      </c>
    </row>
    <row r="6" spans="1:7" x14ac:dyDescent="0.3">
      <c r="C6" s="120" t="s">
        <v>685</v>
      </c>
      <c r="F6" s="58" t="s">
        <v>652</v>
      </c>
      <c r="G6" s="58"/>
    </row>
    <row r="7" spans="1:7" x14ac:dyDescent="0.3">
      <c r="C7" s="125" t="s">
        <v>656</v>
      </c>
      <c r="F7" s="58" t="s">
        <v>653</v>
      </c>
      <c r="G7" s="58"/>
    </row>
    <row r="8" spans="1:7" x14ac:dyDescent="0.3">
      <c r="C8" s="120" t="s">
        <v>686</v>
      </c>
      <c r="F8" s="58" t="s">
        <v>654</v>
      </c>
      <c r="G8" s="58"/>
    </row>
    <row r="9" spans="1:7" x14ac:dyDescent="0.3">
      <c r="C9" s="120" t="s">
        <v>689</v>
      </c>
      <c r="F9" s="58" t="s">
        <v>655</v>
      </c>
      <c r="G9" s="58"/>
    </row>
    <row r="10" spans="1:7" x14ac:dyDescent="0.3">
      <c r="C10" s="120"/>
      <c r="F10" s="284"/>
      <c r="G10" s="284"/>
    </row>
    <row r="11" spans="1:7" ht="29.95" customHeight="1" x14ac:dyDescent="0.3">
      <c r="A11" s="158" t="s">
        <v>668</v>
      </c>
      <c r="B11" s="151"/>
      <c r="C11" s="151"/>
      <c r="D11" s="151"/>
      <c r="E11" s="151"/>
    </row>
    <row r="13" spans="1:7" x14ac:dyDescent="0.3">
      <c r="A13" s="157" t="s">
        <v>146</v>
      </c>
      <c r="B13" s="151"/>
      <c r="C13" s="151"/>
      <c r="D13" s="151"/>
      <c r="E13" s="151"/>
    </row>
    <row r="14" spans="1:7" x14ac:dyDescent="0.3">
      <c r="A14" s="18" t="s">
        <v>147</v>
      </c>
      <c r="B14" s="18" t="s">
        <v>148</v>
      </c>
      <c r="C14" s="18" t="s">
        <v>149</v>
      </c>
      <c r="D14" s="18" t="s">
        <v>150</v>
      </c>
      <c r="E14" s="18" t="s">
        <v>151</v>
      </c>
    </row>
    <row r="15" spans="1:7" x14ac:dyDescent="0.3">
      <c r="A15" s="20" t="s">
        <v>152</v>
      </c>
      <c r="B15" s="19">
        <v>100</v>
      </c>
      <c r="C15" s="19">
        <v>100</v>
      </c>
      <c r="D15" s="19">
        <v>100</v>
      </c>
      <c r="E15" s="130">
        <f t="shared" ref="E15:E22" si="0">IF(C15=0,"",((D15-C15)/C15)*100)</f>
        <v>0</v>
      </c>
    </row>
    <row r="16" spans="1:7" x14ac:dyDescent="0.3">
      <c r="A16" s="20" t="s">
        <v>153</v>
      </c>
      <c r="B16" s="19"/>
      <c r="C16" s="19"/>
      <c r="D16" s="19"/>
      <c r="E16" s="130" t="str">
        <f t="shared" si="0"/>
        <v/>
      </c>
    </row>
    <row r="17" spans="1:8" x14ac:dyDescent="0.3">
      <c r="A17" s="20" t="s">
        <v>154</v>
      </c>
      <c r="B17" s="19"/>
      <c r="C17" s="19"/>
      <c r="D17" s="19"/>
      <c r="E17" s="130" t="str">
        <f t="shared" si="0"/>
        <v/>
      </c>
    </row>
    <row r="18" spans="1:8" x14ac:dyDescent="0.3">
      <c r="A18" s="20" t="s">
        <v>113</v>
      </c>
      <c r="B18" s="19"/>
      <c r="C18" s="19"/>
      <c r="D18" s="19"/>
      <c r="E18" s="130" t="str">
        <f t="shared" si="0"/>
        <v/>
      </c>
    </row>
    <row r="19" spans="1:8" x14ac:dyDescent="0.3">
      <c r="A19" s="20" t="s">
        <v>155</v>
      </c>
      <c r="B19" s="19"/>
      <c r="C19" s="19"/>
      <c r="D19" s="19"/>
      <c r="E19" s="130" t="str">
        <f t="shared" si="0"/>
        <v/>
      </c>
    </row>
    <row r="20" spans="1:8" x14ac:dyDescent="0.3">
      <c r="A20" s="20" t="s">
        <v>156</v>
      </c>
      <c r="B20" s="19"/>
      <c r="C20" s="19"/>
      <c r="D20" s="19"/>
      <c r="E20" s="130" t="str">
        <f t="shared" si="0"/>
        <v/>
      </c>
    </row>
    <row r="21" spans="1:8" x14ac:dyDescent="0.3">
      <c r="A21" s="20" t="s">
        <v>157</v>
      </c>
      <c r="B21" s="19"/>
      <c r="C21" s="19"/>
      <c r="D21" s="19"/>
      <c r="E21" s="130" t="str">
        <f t="shared" si="0"/>
        <v/>
      </c>
    </row>
    <row r="22" spans="1:8" x14ac:dyDescent="0.3">
      <c r="A22" s="20" t="s">
        <v>158</v>
      </c>
      <c r="B22" s="19"/>
      <c r="C22" s="19"/>
      <c r="D22" s="19"/>
      <c r="E22" s="130" t="str">
        <f t="shared" si="0"/>
        <v/>
      </c>
    </row>
    <row r="25" spans="1:8" x14ac:dyDescent="0.3">
      <c r="A25" s="127"/>
    </row>
    <row r="29" spans="1:8" x14ac:dyDescent="0.3">
      <c r="A29" s="138"/>
      <c r="E29" s="138"/>
      <c r="H29" s="138"/>
    </row>
    <row r="30" spans="1:8" x14ac:dyDescent="0.3">
      <c r="A30" s="140"/>
    </row>
    <row r="35" spans="1:7" x14ac:dyDescent="0.3">
      <c r="A35" s="139" t="s">
        <v>662</v>
      </c>
      <c r="B35" s="131"/>
      <c r="D35" s="139" t="s">
        <v>663</v>
      </c>
      <c r="E35" s="131"/>
      <c r="G35" s="138"/>
    </row>
    <row r="36" spans="1:7" x14ac:dyDescent="0.3">
      <c r="A36" s="140" t="s">
        <v>664</v>
      </c>
      <c r="D36" s="140" t="s">
        <v>664</v>
      </c>
    </row>
    <row r="54" spans="1:1" x14ac:dyDescent="0.3">
      <c r="A54" s="127" t="str">
        <f>HYPERLINK("#'INDICE'!A4","&lt;&lt; Volver al Indice")</f>
        <v>&lt;&lt; Volver al Indice</v>
      </c>
    </row>
    <row r="95" spans="1:1" x14ac:dyDescent="0.3">
      <c r="A95" s="15" t="str">
        <f>HYPERLINK("#'INDICE'!A11","&lt;&lt; Volver al Indice")</f>
        <v>&lt;&lt; Volver al Indice</v>
      </c>
    </row>
  </sheetData>
  <mergeCells count="2">
    <mergeCell ref="A11:E11"/>
    <mergeCell ref="A13:E1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H107"/>
  <sheetViews>
    <sheetView workbookViewId="0">
      <selection activeCell="C8" sqref="C8"/>
    </sheetView>
  </sheetViews>
  <sheetFormatPr baseColWidth="10" defaultColWidth="9.109375" defaultRowHeight="15.05" x14ac:dyDescent="0.3"/>
  <cols>
    <col min="1" max="2" width="20" customWidth="1"/>
    <col min="3" max="3" width="28.33203125" customWidth="1"/>
    <col min="4" max="6" width="20" customWidth="1"/>
    <col min="7" max="7" width="18.33203125" customWidth="1"/>
    <col min="8" max="8" width="13.33203125" customWidth="1"/>
  </cols>
  <sheetData>
    <row r="3" spans="1:8" x14ac:dyDescent="0.3">
      <c r="C3" s="121"/>
    </row>
    <row r="4" spans="1:8" ht="23.25" customHeight="1" x14ac:dyDescent="0.3">
      <c r="H4" s="141" t="s">
        <v>24</v>
      </c>
    </row>
    <row r="5" spans="1:8" x14ac:dyDescent="0.3">
      <c r="C5" s="120" t="s">
        <v>685</v>
      </c>
    </row>
    <row r="6" spans="1:8" x14ac:dyDescent="0.3">
      <c r="C6" s="125" t="s">
        <v>682</v>
      </c>
      <c r="G6" s="58" t="s">
        <v>652</v>
      </c>
      <c r="H6" s="58"/>
    </row>
    <row r="7" spans="1:8" x14ac:dyDescent="0.3">
      <c r="C7" s="120" t="s">
        <v>686</v>
      </c>
      <c r="G7" s="58" t="s">
        <v>653</v>
      </c>
      <c r="H7" s="58"/>
    </row>
    <row r="8" spans="1:8" x14ac:dyDescent="0.3">
      <c r="C8" s="120" t="s">
        <v>689</v>
      </c>
      <c r="G8" s="58" t="s">
        <v>654</v>
      </c>
      <c r="H8" s="58"/>
    </row>
    <row r="9" spans="1:8" x14ac:dyDescent="0.3">
      <c r="G9" s="58" t="s">
        <v>655</v>
      </c>
      <c r="H9" s="58"/>
    </row>
    <row r="10" spans="1:8" ht="29.95" customHeight="1" x14ac:dyDescent="0.3">
      <c r="A10" s="209" t="s">
        <v>669</v>
      </c>
      <c r="B10" s="151"/>
      <c r="C10" s="151"/>
      <c r="D10" s="151"/>
      <c r="E10" s="151"/>
      <c r="F10" s="151"/>
    </row>
    <row r="12" spans="1:8" x14ac:dyDescent="0.3">
      <c r="A12" s="210" t="s">
        <v>159</v>
      </c>
      <c r="B12" s="151"/>
      <c r="C12" s="151"/>
      <c r="D12" s="151"/>
      <c r="E12" s="151"/>
      <c r="F12" s="151"/>
    </row>
    <row r="13" spans="1:8" x14ac:dyDescent="0.3">
      <c r="A13" s="48" t="s">
        <v>160</v>
      </c>
      <c r="B13" s="48" t="s">
        <v>161</v>
      </c>
      <c r="C13" s="48" t="s">
        <v>162</v>
      </c>
      <c r="D13" s="210" t="s">
        <v>163</v>
      </c>
      <c r="E13" s="155"/>
      <c r="F13" s="156"/>
    </row>
    <row r="14" spans="1:8" x14ac:dyDescent="0.3">
      <c r="A14" s="47"/>
      <c r="B14" s="49"/>
      <c r="C14" s="47" t="s">
        <v>404</v>
      </c>
      <c r="D14" s="211"/>
      <c r="E14" s="151"/>
      <c r="F14" s="151"/>
    </row>
    <row r="15" spans="1:8" x14ac:dyDescent="0.3">
      <c r="A15" s="47"/>
      <c r="B15" s="49"/>
      <c r="C15" s="47" t="s">
        <v>412</v>
      </c>
      <c r="D15" s="208"/>
      <c r="E15" s="155"/>
      <c r="F15" s="156"/>
    </row>
    <row r="16" spans="1:8" x14ac:dyDescent="0.3">
      <c r="A16" s="47"/>
      <c r="B16" s="49"/>
      <c r="C16" s="47" t="s">
        <v>410</v>
      </c>
      <c r="D16" s="208"/>
      <c r="E16" s="155"/>
      <c r="F16" s="156"/>
    </row>
    <row r="17" spans="1:6" x14ac:dyDescent="0.3">
      <c r="A17" s="47"/>
      <c r="B17" s="49"/>
      <c r="C17" s="47" t="s">
        <v>408</v>
      </c>
      <c r="D17" s="208"/>
      <c r="E17" s="155"/>
      <c r="F17" s="156"/>
    </row>
    <row r="18" spans="1:6" x14ac:dyDescent="0.3">
      <c r="A18" s="47"/>
      <c r="B18" s="49"/>
      <c r="C18" s="47" t="s">
        <v>404</v>
      </c>
      <c r="D18" s="208"/>
      <c r="E18" s="155"/>
      <c r="F18" s="156"/>
    </row>
    <row r="19" spans="1:6" x14ac:dyDescent="0.3">
      <c r="A19" s="47"/>
      <c r="B19" s="49"/>
      <c r="C19" s="47"/>
      <c r="D19" s="208"/>
      <c r="E19" s="155"/>
      <c r="F19" s="156"/>
    </row>
    <row r="20" spans="1:6" x14ac:dyDescent="0.3">
      <c r="A20" s="47"/>
      <c r="B20" s="49"/>
      <c r="C20" s="47"/>
      <c r="D20" s="208"/>
      <c r="E20" s="155"/>
      <c r="F20" s="156"/>
    </row>
    <row r="21" spans="1:6" x14ac:dyDescent="0.3">
      <c r="A21" s="47"/>
      <c r="B21" s="49"/>
      <c r="C21" s="47"/>
      <c r="D21" s="208"/>
      <c r="E21" s="155"/>
      <c r="F21" s="156"/>
    </row>
    <row r="22" spans="1:6" x14ac:dyDescent="0.3">
      <c r="A22" s="47"/>
      <c r="B22" s="49"/>
      <c r="C22" s="47"/>
      <c r="D22" s="208"/>
      <c r="E22" s="155"/>
      <c r="F22" s="156"/>
    </row>
    <row r="23" spans="1:6" x14ac:dyDescent="0.3">
      <c r="A23" s="47"/>
      <c r="B23" s="49"/>
      <c r="C23" s="47"/>
      <c r="D23" s="208"/>
      <c r="E23" s="155"/>
      <c r="F23" s="156"/>
    </row>
    <row r="25" spans="1:6" x14ac:dyDescent="0.3">
      <c r="A25" s="212" t="s">
        <v>403</v>
      </c>
      <c r="B25" s="151"/>
      <c r="C25" s="151"/>
      <c r="D25" s="151"/>
      <c r="E25" s="151"/>
      <c r="F25" s="151"/>
    </row>
    <row r="26" spans="1:6" x14ac:dyDescent="0.3">
      <c r="A26" s="213" t="s">
        <v>404</v>
      </c>
      <c r="B26" s="155"/>
      <c r="C26" s="156"/>
      <c r="D26" s="214" t="s">
        <v>405</v>
      </c>
      <c r="E26" s="155"/>
      <c r="F26" s="156"/>
    </row>
    <row r="27" spans="1:6" x14ac:dyDescent="0.3">
      <c r="A27" s="215" t="s">
        <v>406</v>
      </c>
      <c r="B27" s="155"/>
      <c r="C27" s="156"/>
      <c r="D27" s="214" t="s">
        <v>407</v>
      </c>
      <c r="E27" s="155"/>
      <c r="F27" s="156"/>
    </row>
    <row r="28" spans="1:6" x14ac:dyDescent="0.3">
      <c r="A28" s="216" t="s">
        <v>408</v>
      </c>
      <c r="B28" s="155"/>
      <c r="C28" s="156"/>
      <c r="D28" s="214" t="s">
        <v>409</v>
      </c>
      <c r="E28" s="155"/>
      <c r="F28" s="156"/>
    </row>
    <row r="29" spans="1:6" x14ac:dyDescent="0.3">
      <c r="A29" s="217" t="s">
        <v>410</v>
      </c>
      <c r="B29" s="155"/>
      <c r="C29" s="156"/>
      <c r="D29" s="214" t="s">
        <v>411</v>
      </c>
      <c r="E29" s="155"/>
      <c r="F29" s="156"/>
    </row>
    <row r="30" spans="1:6" x14ac:dyDescent="0.3">
      <c r="A30" s="218" t="s">
        <v>412</v>
      </c>
      <c r="B30" s="155"/>
      <c r="C30" s="156"/>
      <c r="D30" s="214" t="s">
        <v>413</v>
      </c>
      <c r="E30" s="155"/>
      <c r="F30" s="156"/>
    </row>
    <row r="32" spans="1:6" x14ac:dyDescent="0.3">
      <c r="A32" s="219" t="s">
        <v>414</v>
      </c>
      <c r="B32" s="151"/>
      <c r="C32" s="151"/>
      <c r="D32" s="151"/>
      <c r="E32" s="151"/>
      <c r="F32" s="151"/>
    </row>
    <row r="33" spans="1:8" x14ac:dyDescent="0.3">
      <c r="A33" s="214" t="s">
        <v>415</v>
      </c>
      <c r="B33" s="155"/>
      <c r="C33" s="155"/>
      <c r="D33" s="155"/>
      <c r="E33" s="155"/>
      <c r="F33" s="156"/>
    </row>
    <row r="34" spans="1:8" x14ac:dyDescent="0.3">
      <c r="A34" s="214" t="s">
        <v>416</v>
      </c>
      <c r="B34" s="155"/>
      <c r="C34" s="155"/>
      <c r="D34" s="155"/>
      <c r="E34" s="155"/>
      <c r="F34" s="156"/>
    </row>
    <row r="35" spans="1:8" x14ac:dyDescent="0.3">
      <c r="A35" s="214" t="s">
        <v>417</v>
      </c>
      <c r="B35" s="155"/>
      <c r="C35" s="155"/>
      <c r="D35" s="155"/>
      <c r="E35" s="155"/>
      <c r="F35" s="156"/>
    </row>
    <row r="36" spans="1:8" x14ac:dyDescent="0.3">
      <c r="A36" s="214" t="s">
        <v>418</v>
      </c>
      <c r="B36" s="155"/>
      <c r="C36" s="155"/>
      <c r="D36" s="155"/>
      <c r="E36" s="155"/>
      <c r="F36" s="156"/>
    </row>
    <row r="37" spans="1:8" x14ac:dyDescent="0.3">
      <c r="A37" s="214" t="s">
        <v>419</v>
      </c>
      <c r="B37" s="155"/>
      <c r="C37" s="155"/>
      <c r="D37" s="155"/>
      <c r="E37" s="155"/>
      <c r="F37" s="156"/>
    </row>
    <row r="44" spans="1:8" x14ac:dyDescent="0.3">
      <c r="A44" s="138" t="s">
        <v>662</v>
      </c>
      <c r="B44" s="131"/>
      <c r="C44" s="131"/>
      <c r="E44" s="139" t="s">
        <v>663</v>
      </c>
      <c r="F44" s="131"/>
      <c r="H44" s="138"/>
    </row>
    <row r="45" spans="1:8" x14ac:dyDescent="0.3">
      <c r="A45" s="140" t="s">
        <v>664</v>
      </c>
      <c r="E45" s="140" t="s">
        <v>664</v>
      </c>
    </row>
    <row r="59" spans="1:1" x14ac:dyDescent="0.3">
      <c r="A59" s="127" t="str">
        <f>HYPERLINK("#'INDICE'!A4","&lt;&lt; Volver al Indice")</f>
        <v>&lt;&lt; Volver al Indice</v>
      </c>
    </row>
    <row r="107" spans="1:1" x14ac:dyDescent="0.3">
      <c r="A107" s="15" t="str">
        <f>HYPERLINK("#'INDICE'!A12","&lt;&lt; Volver al Indice")</f>
        <v>&lt;&lt; Volver al Indice</v>
      </c>
    </row>
  </sheetData>
  <mergeCells count="30">
    <mergeCell ref="A37:F37"/>
    <mergeCell ref="A32:F32"/>
    <mergeCell ref="A33:F33"/>
    <mergeCell ref="A34:F34"/>
    <mergeCell ref="A35:F35"/>
    <mergeCell ref="A36:F36"/>
    <mergeCell ref="A28:C28"/>
    <mergeCell ref="D28:F28"/>
    <mergeCell ref="A29:C29"/>
    <mergeCell ref="D29:F29"/>
    <mergeCell ref="A30:C30"/>
    <mergeCell ref="D30:F30"/>
    <mergeCell ref="A25:F25"/>
    <mergeCell ref="A26:C26"/>
    <mergeCell ref="D26:F26"/>
    <mergeCell ref="A27:C27"/>
    <mergeCell ref="D27:F27"/>
    <mergeCell ref="D19:F19"/>
    <mergeCell ref="D20:F20"/>
    <mergeCell ref="D21:F21"/>
    <mergeCell ref="D22:F22"/>
    <mergeCell ref="D23:F23"/>
    <mergeCell ref="D15:F15"/>
    <mergeCell ref="D16:F16"/>
    <mergeCell ref="D17:F17"/>
    <mergeCell ref="D18:F18"/>
    <mergeCell ref="A10:F10"/>
    <mergeCell ref="A12:F12"/>
    <mergeCell ref="D13:F13"/>
    <mergeCell ref="D14:F14"/>
  </mergeCells>
  <conditionalFormatting sqref="C14:C23">
    <cfRule type="cellIs" dxfId="61" priority="1" operator="equal">
      <formula>"Limpia/Sin Salvedades"</formula>
    </cfRule>
    <cfRule type="cellIs" dxfId="60" priority="2" operator="equal">
      <formula>"Con Salvedades"</formula>
    </cfRule>
    <cfRule type="cellIs" dxfId="59" priority="3" operator="equal">
      <formula>"Adversa/Negativa"</formula>
    </cfRule>
    <cfRule type="cellIs" dxfId="58" priority="4" operator="equal">
      <formula>"Abstención de Opinión"</formula>
    </cfRule>
    <cfRule type="cellIs" dxfId="57" priority="5" operator="equal">
      <formula>"Énfasis en Asunto"</formula>
    </cfRule>
  </conditionalFormatting>
  <dataValidations count="1">
    <dataValidation type="list" errorTitle="Tipo de Opinión Inválido" error="Seleccione un tipo de opinión válido" promptTitle="Tipo de Opinión" prompt="Seleccione el tipo de opinión de auditoría" sqref="C14:C23" xr:uid="{00000000-0002-0000-0A00-000000000000}">
      <formula1>"Limpia/Sin Salvedades,Con Salvedades,Adversa/Negativa,Abstención de Opinión,Énfasis en Asunto"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H107"/>
  <sheetViews>
    <sheetView workbookViewId="0">
      <selection activeCell="D8" sqref="D8"/>
    </sheetView>
  </sheetViews>
  <sheetFormatPr baseColWidth="10" defaultColWidth="9.109375" defaultRowHeight="15.05" x14ac:dyDescent="0.3"/>
  <cols>
    <col min="1" max="1" width="15.5546875" customWidth="1"/>
    <col min="2" max="2" width="27.44140625" customWidth="1"/>
    <col min="3" max="3" width="31.6640625" customWidth="1"/>
    <col min="4" max="4" width="26.33203125" customWidth="1"/>
    <col min="5" max="5" width="35" customWidth="1"/>
    <col min="6" max="6" width="20" customWidth="1"/>
    <col min="7" max="7" width="18" customWidth="1"/>
    <col min="8" max="8" width="14.5546875" customWidth="1"/>
  </cols>
  <sheetData>
    <row r="3" spans="1:8" x14ac:dyDescent="0.3">
      <c r="C3" s="121"/>
    </row>
    <row r="4" spans="1:8" ht="27.85" customHeight="1" x14ac:dyDescent="0.3">
      <c r="H4" s="141" t="s">
        <v>26</v>
      </c>
    </row>
    <row r="5" spans="1:8" x14ac:dyDescent="0.3">
      <c r="D5" s="120" t="s">
        <v>685</v>
      </c>
    </row>
    <row r="6" spans="1:8" x14ac:dyDescent="0.3">
      <c r="D6" s="125" t="s">
        <v>656</v>
      </c>
      <c r="G6" s="58" t="s">
        <v>652</v>
      </c>
      <c r="H6" s="58"/>
    </row>
    <row r="7" spans="1:8" x14ac:dyDescent="0.3">
      <c r="D7" s="120" t="s">
        <v>686</v>
      </c>
      <c r="G7" s="58" t="s">
        <v>653</v>
      </c>
      <c r="H7" s="58"/>
    </row>
    <row r="8" spans="1:8" x14ac:dyDescent="0.3">
      <c r="D8" s="120" t="s">
        <v>689</v>
      </c>
      <c r="G8" s="58" t="s">
        <v>654</v>
      </c>
      <c r="H8" s="58"/>
    </row>
    <row r="9" spans="1:8" x14ac:dyDescent="0.3">
      <c r="G9" s="58" t="s">
        <v>655</v>
      </c>
      <c r="H9" s="58"/>
    </row>
    <row r="10" spans="1:8" ht="29.95" customHeight="1" x14ac:dyDescent="0.3">
      <c r="A10" s="158" t="s">
        <v>670</v>
      </c>
      <c r="B10" s="151"/>
      <c r="C10" s="151"/>
      <c r="D10" s="151"/>
      <c r="E10" s="151"/>
      <c r="F10" s="151"/>
    </row>
    <row r="12" spans="1:8" x14ac:dyDescent="0.3">
      <c r="A12" s="157" t="s">
        <v>164</v>
      </c>
      <c r="B12" s="151"/>
      <c r="C12" s="151"/>
      <c r="D12" s="151"/>
      <c r="E12" s="151"/>
      <c r="F12" s="151"/>
    </row>
    <row r="13" spans="1:8" x14ac:dyDescent="0.3">
      <c r="A13" s="18" t="s">
        <v>94</v>
      </c>
      <c r="B13" s="18" t="s">
        <v>165</v>
      </c>
      <c r="C13" s="18" t="s">
        <v>166</v>
      </c>
      <c r="D13" s="18" t="s">
        <v>167</v>
      </c>
      <c r="E13" s="18" t="s">
        <v>168</v>
      </c>
      <c r="F13" s="18" t="s">
        <v>97</v>
      </c>
    </row>
    <row r="14" spans="1:8" x14ac:dyDescent="0.3">
      <c r="A14" s="17"/>
      <c r="B14" s="17"/>
      <c r="C14" s="17"/>
      <c r="D14" s="17"/>
      <c r="E14" s="17"/>
      <c r="F14" s="17"/>
    </row>
    <row r="15" spans="1:8" x14ac:dyDescent="0.3">
      <c r="A15" s="17"/>
      <c r="B15" s="17"/>
      <c r="C15" s="17"/>
      <c r="D15" s="17"/>
      <c r="E15" s="17"/>
      <c r="F15" s="17"/>
    </row>
    <row r="16" spans="1:8" x14ac:dyDescent="0.3">
      <c r="A16" s="17"/>
      <c r="B16" s="17"/>
      <c r="C16" s="17"/>
      <c r="D16" s="17"/>
      <c r="E16" s="17"/>
      <c r="F16" s="17"/>
    </row>
    <row r="17" spans="1:6" x14ac:dyDescent="0.3">
      <c r="A17" s="17"/>
      <c r="B17" s="17"/>
      <c r="C17" s="17"/>
      <c r="D17" s="17"/>
      <c r="E17" s="17"/>
      <c r="F17" s="17"/>
    </row>
    <row r="18" spans="1:6" x14ac:dyDescent="0.3">
      <c r="A18" s="17"/>
      <c r="B18" s="17"/>
      <c r="C18" s="17"/>
      <c r="D18" s="17"/>
      <c r="E18" s="17"/>
      <c r="F18" s="17"/>
    </row>
    <row r="19" spans="1:6" x14ac:dyDescent="0.3">
      <c r="A19" s="17"/>
      <c r="B19" s="17"/>
      <c r="C19" s="17"/>
      <c r="D19" s="17"/>
      <c r="E19" s="17"/>
      <c r="F19" s="17"/>
    </row>
    <row r="20" spans="1:6" x14ac:dyDescent="0.3">
      <c r="A20" s="17"/>
      <c r="B20" s="17"/>
      <c r="C20" s="17"/>
      <c r="D20" s="17"/>
      <c r="E20" s="17"/>
      <c r="F20" s="17"/>
    </row>
    <row r="21" spans="1:6" x14ac:dyDescent="0.3">
      <c r="A21" s="17"/>
      <c r="B21" s="17"/>
      <c r="C21" s="17"/>
      <c r="D21" s="17"/>
      <c r="E21" s="17"/>
      <c r="F21" s="17"/>
    </row>
    <row r="22" spans="1:6" x14ac:dyDescent="0.3">
      <c r="A22" s="17"/>
      <c r="B22" s="17"/>
      <c r="C22" s="17"/>
      <c r="D22" s="17"/>
      <c r="E22" s="17"/>
      <c r="F22" s="17"/>
    </row>
    <row r="23" spans="1:6" x14ac:dyDescent="0.3">
      <c r="A23" s="17"/>
      <c r="B23" s="17"/>
      <c r="C23" s="17"/>
      <c r="D23" s="17"/>
      <c r="E23" s="17"/>
      <c r="F23" s="17"/>
    </row>
    <row r="24" spans="1:6" x14ac:dyDescent="0.3">
      <c r="A24" s="17"/>
      <c r="B24" s="17"/>
      <c r="C24" s="17"/>
      <c r="D24" s="17"/>
      <c r="E24" s="17"/>
      <c r="F24" s="17"/>
    </row>
    <row r="25" spans="1:6" x14ac:dyDescent="0.3">
      <c r="A25" s="17"/>
      <c r="B25" s="17"/>
      <c r="C25" s="17"/>
      <c r="D25" s="17"/>
      <c r="E25" s="17"/>
      <c r="F25" s="17"/>
    </row>
    <row r="26" spans="1:6" x14ac:dyDescent="0.3">
      <c r="A26" s="17"/>
      <c r="B26" s="17"/>
      <c r="C26" s="17"/>
      <c r="D26" s="17"/>
      <c r="E26" s="17"/>
      <c r="F26" s="17"/>
    </row>
    <row r="27" spans="1:6" x14ac:dyDescent="0.3">
      <c r="A27" s="17"/>
      <c r="B27" s="17"/>
      <c r="C27" s="17"/>
      <c r="D27" s="17"/>
      <c r="E27" s="17"/>
      <c r="F27" s="17"/>
    </row>
    <row r="28" spans="1:6" x14ac:dyDescent="0.3">
      <c r="A28" s="17"/>
      <c r="B28" s="17"/>
      <c r="C28" s="17"/>
      <c r="D28" s="17"/>
      <c r="E28" s="17"/>
      <c r="F28" s="17"/>
    </row>
    <row r="38" spans="1:8" x14ac:dyDescent="0.3">
      <c r="A38" s="138" t="s">
        <v>662</v>
      </c>
      <c r="B38" s="131"/>
      <c r="C38" s="131"/>
      <c r="E38" s="139" t="s">
        <v>663</v>
      </c>
      <c r="F38" s="131"/>
      <c r="H38" s="138"/>
    </row>
    <row r="39" spans="1:8" x14ac:dyDescent="0.3">
      <c r="A39" s="140" t="s">
        <v>664</v>
      </c>
      <c r="E39" s="140" t="s">
        <v>664</v>
      </c>
    </row>
    <row r="53" spans="1:1" x14ac:dyDescent="0.3">
      <c r="A53" s="127" t="str">
        <f>HYPERLINK("#'INDICE'!A4","&lt;&lt; Volver al Indice")</f>
        <v>&lt;&lt; Volver al Indice</v>
      </c>
    </row>
    <row r="107" spans="1:1" x14ac:dyDescent="0.3">
      <c r="A107" s="15" t="str">
        <f>HYPERLINK("#'INDICE'!A13","&lt;&lt; Volver al Indice")</f>
        <v>&lt;&lt; Volver al Indice</v>
      </c>
    </row>
  </sheetData>
  <mergeCells count="2">
    <mergeCell ref="A10:F10"/>
    <mergeCell ref="A12:F1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H108"/>
  <sheetViews>
    <sheetView workbookViewId="0">
      <selection activeCell="D8" sqref="D8"/>
    </sheetView>
  </sheetViews>
  <sheetFormatPr baseColWidth="10" defaultColWidth="9.109375" defaultRowHeight="15.05" x14ac:dyDescent="0.3"/>
  <cols>
    <col min="1" max="6" width="20" customWidth="1"/>
    <col min="7" max="7" width="18.33203125" customWidth="1"/>
    <col min="8" max="8" width="11" customWidth="1"/>
  </cols>
  <sheetData>
    <row r="3" spans="1:8" x14ac:dyDescent="0.3">
      <c r="C3" s="121"/>
    </row>
    <row r="4" spans="1:8" ht="20.95" customHeight="1" x14ac:dyDescent="0.3">
      <c r="H4" s="137" t="s">
        <v>28</v>
      </c>
    </row>
    <row r="5" spans="1:8" x14ac:dyDescent="0.3">
      <c r="D5" s="120" t="s">
        <v>685</v>
      </c>
    </row>
    <row r="6" spans="1:8" x14ac:dyDescent="0.3">
      <c r="D6" s="125" t="s">
        <v>656</v>
      </c>
      <c r="G6" s="58" t="s">
        <v>652</v>
      </c>
      <c r="H6" s="58"/>
    </row>
    <row r="7" spans="1:8" x14ac:dyDescent="0.3">
      <c r="D7" s="120" t="s">
        <v>686</v>
      </c>
      <c r="G7" s="58" t="s">
        <v>653</v>
      </c>
      <c r="H7" s="58"/>
    </row>
    <row r="8" spans="1:8" x14ac:dyDescent="0.3">
      <c r="D8" s="120" t="s">
        <v>689</v>
      </c>
      <c r="G8" s="58" t="s">
        <v>654</v>
      </c>
      <c r="H8" s="58"/>
    </row>
    <row r="9" spans="1:8" x14ac:dyDescent="0.3">
      <c r="G9" s="58" t="s">
        <v>655</v>
      </c>
      <c r="H9" s="58"/>
    </row>
    <row r="11" spans="1:8" ht="29.95" customHeight="1" x14ac:dyDescent="0.3">
      <c r="A11" s="158" t="s">
        <v>671</v>
      </c>
      <c r="B11" s="151"/>
      <c r="C11" s="151"/>
      <c r="D11" s="151"/>
      <c r="E11" s="151"/>
      <c r="F11" s="151"/>
    </row>
    <row r="13" spans="1:8" x14ac:dyDescent="0.3">
      <c r="A13" s="157" t="s">
        <v>169</v>
      </c>
      <c r="B13" s="151"/>
      <c r="C13" s="151"/>
      <c r="D13" s="151"/>
      <c r="E13" s="151"/>
      <c r="F13" s="151"/>
    </row>
    <row r="14" spans="1:8" x14ac:dyDescent="0.3">
      <c r="A14" s="18" t="s">
        <v>93</v>
      </c>
      <c r="B14" s="18" t="s">
        <v>170</v>
      </c>
      <c r="C14" s="18" t="s">
        <v>94</v>
      </c>
      <c r="D14" s="18" t="s">
        <v>171</v>
      </c>
      <c r="E14" s="18" t="s">
        <v>172</v>
      </c>
      <c r="F14" s="18" t="s">
        <v>97</v>
      </c>
    </row>
    <row r="15" spans="1:8" x14ac:dyDescent="0.3">
      <c r="A15" s="21" t="s">
        <v>103</v>
      </c>
      <c r="B15" s="17"/>
      <c r="C15" s="17"/>
      <c r="D15" s="17"/>
      <c r="E15" s="17"/>
      <c r="F15" s="17"/>
    </row>
    <row r="16" spans="1:8" x14ac:dyDescent="0.3">
      <c r="A16" s="21" t="s">
        <v>101</v>
      </c>
      <c r="B16" s="17"/>
      <c r="C16" s="17"/>
      <c r="D16" s="17"/>
      <c r="E16" s="17"/>
      <c r="F16" s="17"/>
    </row>
    <row r="17" spans="1:8" x14ac:dyDescent="0.3">
      <c r="A17" s="21" t="s">
        <v>173</v>
      </c>
      <c r="B17" s="17"/>
      <c r="C17" s="17"/>
      <c r="D17" s="17"/>
      <c r="E17" s="17"/>
      <c r="F17" s="17"/>
    </row>
    <row r="18" spans="1:8" x14ac:dyDescent="0.3">
      <c r="A18" s="21" t="s">
        <v>174</v>
      </c>
      <c r="B18" s="17"/>
      <c r="C18" s="17"/>
      <c r="D18" s="17"/>
      <c r="E18" s="17"/>
      <c r="F18" s="17"/>
    </row>
    <row r="19" spans="1:8" x14ac:dyDescent="0.3">
      <c r="A19" s="21" t="s">
        <v>175</v>
      </c>
      <c r="B19" s="17"/>
      <c r="C19" s="17"/>
      <c r="D19" s="17"/>
      <c r="E19" s="17"/>
      <c r="F19" s="17"/>
    </row>
    <row r="20" spans="1:8" x14ac:dyDescent="0.3">
      <c r="A20" s="21" t="s">
        <v>176</v>
      </c>
      <c r="B20" s="17"/>
      <c r="C20" s="17"/>
      <c r="D20" s="17"/>
      <c r="E20" s="17"/>
      <c r="F20" s="17"/>
    </row>
    <row r="21" spans="1:8" x14ac:dyDescent="0.3">
      <c r="A21" s="21" t="s">
        <v>177</v>
      </c>
      <c r="B21" s="17"/>
      <c r="C21" s="17"/>
      <c r="D21" s="17"/>
      <c r="E21" s="17"/>
      <c r="F21" s="17"/>
    </row>
    <row r="22" spans="1:8" x14ac:dyDescent="0.3">
      <c r="A22" s="21" t="s">
        <v>178</v>
      </c>
      <c r="B22" s="17"/>
      <c r="C22" s="17"/>
      <c r="D22" s="17"/>
      <c r="E22" s="17"/>
      <c r="F22" s="17"/>
    </row>
    <row r="29" spans="1:8" x14ac:dyDescent="0.3">
      <c r="A29" s="138" t="s">
        <v>662</v>
      </c>
      <c r="B29" s="131"/>
      <c r="C29" s="131"/>
      <c r="E29" s="139" t="s">
        <v>663</v>
      </c>
      <c r="F29" s="131"/>
      <c r="H29" s="138"/>
    </row>
    <row r="30" spans="1:8" x14ac:dyDescent="0.3">
      <c r="A30" s="140" t="s">
        <v>664</v>
      </c>
      <c r="E30" s="140" t="s">
        <v>664</v>
      </c>
    </row>
    <row r="46" spans="1:1" x14ac:dyDescent="0.3">
      <c r="A46" s="127" t="str">
        <f>HYPERLINK("#'INDICE'!A4","&lt;&lt; Volver al Indice")</f>
        <v>&lt;&lt; Volver al Indice</v>
      </c>
    </row>
    <row r="108" spans="1:1" x14ac:dyDescent="0.3">
      <c r="A108" s="15" t="str">
        <f>HYPERLINK("#'INDICE'!A14","&lt;&lt; Volver al Indice")</f>
        <v>&lt;&lt; Volver al Indice</v>
      </c>
    </row>
  </sheetData>
  <mergeCells count="2">
    <mergeCell ref="A11:F11"/>
    <mergeCell ref="A13:F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I108"/>
  <sheetViews>
    <sheetView workbookViewId="0">
      <selection activeCell="D9" sqref="D9"/>
    </sheetView>
  </sheetViews>
  <sheetFormatPr baseColWidth="10" defaultColWidth="9.109375" defaultRowHeight="15.05" x14ac:dyDescent="0.3"/>
  <cols>
    <col min="1" max="6" width="20" customWidth="1"/>
    <col min="8" max="8" width="17.33203125" customWidth="1"/>
    <col min="9" max="9" width="13.6640625" customWidth="1"/>
  </cols>
  <sheetData>
    <row r="3" spans="1:9" x14ac:dyDescent="0.3">
      <c r="C3" s="121"/>
    </row>
    <row r="5" spans="1:9" ht="26.2" customHeight="1" x14ac:dyDescent="0.3">
      <c r="I5" s="137" t="s">
        <v>30</v>
      </c>
    </row>
    <row r="6" spans="1:9" x14ac:dyDescent="0.3">
      <c r="D6" s="120" t="s">
        <v>685</v>
      </c>
    </row>
    <row r="7" spans="1:9" x14ac:dyDescent="0.3">
      <c r="D7" s="125" t="s">
        <v>656</v>
      </c>
      <c r="H7" s="58" t="s">
        <v>652</v>
      </c>
      <c r="I7" s="58"/>
    </row>
    <row r="8" spans="1:9" x14ac:dyDescent="0.3">
      <c r="C8" s="128" t="s">
        <v>660</v>
      </c>
      <c r="D8" s="120" t="s">
        <v>686</v>
      </c>
      <c r="H8" s="58" t="s">
        <v>653</v>
      </c>
      <c r="I8" s="58"/>
    </row>
    <row r="9" spans="1:9" x14ac:dyDescent="0.3">
      <c r="D9" s="120" t="s">
        <v>689</v>
      </c>
      <c r="H9" s="58" t="s">
        <v>654</v>
      </c>
      <c r="I9" s="58"/>
    </row>
    <row r="10" spans="1:9" x14ac:dyDescent="0.3">
      <c r="H10" s="58" t="s">
        <v>655</v>
      </c>
      <c r="I10" s="58"/>
    </row>
    <row r="11" spans="1:9" ht="29.95" customHeight="1" x14ac:dyDescent="0.3">
      <c r="A11" s="158" t="s">
        <v>672</v>
      </c>
      <c r="B11" s="151"/>
      <c r="C11" s="151"/>
      <c r="D11" s="151"/>
      <c r="E11" s="151"/>
      <c r="F11" s="151"/>
    </row>
    <row r="13" spans="1:9" x14ac:dyDescent="0.3">
      <c r="A13" s="157" t="s">
        <v>179</v>
      </c>
      <c r="B13" s="151"/>
      <c r="C13" s="151"/>
      <c r="D13" s="151"/>
      <c r="E13" s="151"/>
      <c r="F13" s="151"/>
    </row>
    <row r="14" spans="1:9" x14ac:dyDescent="0.3">
      <c r="A14" s="18" t="s">
        <v>180</v>
      </c>
      <c r="B14" s="18" t="s">
        <v>181</v>
      </c>
      <c r="C14" s="18" t="s">
        <v>94</v>
      </c>
      <c r="D14" s="18" t="s">
        <v>182</v>
      </c>
      <c r="E14" s="18" t="s">
        <v>172</v>
      </c>
      <c r="F14" s="18" t="s">
        <v>183</v>
      </c>
    </row>
    <row r="15" spans="1:9" x14ac:dyDescent="0.3">
      <c r="A15" s="17"/>
      <c r="B15" s="17"/>
      <c r="C15" s="17"/>
      <c r="D15" s="17"/>
      <c r="E15" s="17"/>
      <c r="F15" s="17"/>
    </row>
    <row r="16" spans="1:9" x14ac:dyDescent="0.3">
      <c r="A16" s="17"/>
      <c r="B16" s="17"/>
      <c r="C16" s="17"/>
      <c r="D16" s="17"/>
      <c r="E16" s="17"/>
      <c r="F16" s="17"/>
    </row>
    <row r="17" spans="1:6" x14ac:dyDescent="0.3">
      <c r="A17" s="17"/>
      <c r="B17" s="17"/>
      <c r="C17" s="17"/>
      <c r="D17" s="17"/>
      <c r="E17" s="17"/>
      <c r="F17" s="17"/>
    </row>
    <row r="18" spans="1:6" x14ac:dyDescent="0.3">
      <c r="A18" s="17"/>
      <c r="B18" s="17"/>
      <c r="C18" s="17"/>
      <c r="D18" s="17"/>
      <c r="E18" s="17"/>
      <c r="F18" s="17"/>
    </row>
    <row r="19" spans="1:6" x14ac:dyDescent="0.3">
      <c r="A19" s="17"/>
      <c r="B19" s="17"/>
      <c r="C19" s="17"/>
      <c r="D19" s="17"/>
      <c r="E19" s="17"/>
      <c r="F19" s="17"/>
    </row>
    <row r="20" spans="1:6" x14ac:dyDescent="0.3">
      <c r="A20" s="17"/>
      <c r="B20" s="17"/>
      <c r="C20" s="17"/>
      <c r="D20" s="17"/>
      <c r="E20" s="17"/>
      <c r="F20" s="17"/>
    </row>
    <row r="21" spans="1:6" x14ac:dyDescent="0.3">
      <c r="A21" s="17"/>
      <c r="B21" s="17"/>
      <c r="C21" s="17"/>
      <c r="D21" s="17"/>
      <c r="E21" s="17"/>
      <c r="F21" s="17"/>
    </row>
    <row r="22" spans="1:6" x14ac:dyDescent="0.3">
      <c r="A22" s="17"/>
      <c r="B22" s="17"/>
      <c r="C22" s="17"/>
      <c r="D22" s="17"/>
      <c r="E22" s="17"/>
      <c r="F22" s="17"/>
    </row>
    <row r="23" spans="1:6" x14ac:dyDescent="0.3">
      <c r="A23" s="17"/>
      <c r="B23" s="17"/>
      <c r="C23" s="17"/>
      <c r="D23" s="17"/>
      <c r="E23" s="17"/>
      <c r="F23" s="17"/>
    </row>
    <row r="24" spans="1:6" x14ac:dyDescent="0.3">
      <c r="A24" s="17"/>
      <c r="B24" s="17"/>
      <c r="C24" s="17"/>
      <c r="D24" s="17"/>
      <c r="E24" s="17"/>
      <c r="F24" s="17"/>
    </row>
    <row r="25" spans="1:6" x14ac:dyDescent="0.3">
      <c r="A25" s="17"/>
      <c r="B25" s="17"/>
      <c r="C25" s="17"/>
      <c r="D25" s="17"/>
      <c r="E25" s="17"/>
      <c r="F25" s="17"/>
    </row>
    <row r="26" spans="1:6" x14ac:dyDescent="0.3">
      <c r="A26" s="17"/>
      <c r="B26" s="17"/>
      <c r="C26" s="17"/>
      <c r="D26" s="17"/>
      <c r="E26" s="17"/>
      <c r="F26" s="17"/>
    </row>
    <row r="27" spans="1:6" x14ac:dyDescent="0.3">
      <c r="A27" s="17"/>
      <c r="B27" s="17"/>
      <c r="C27" s="17"/>
      <c r="D27" s="17"/>
      <c r="E27" s="17"/>
      <c r="F27" s="17"/>
    </row>
    <row r="28" spans="1:6" x14ac:dyDescent="0.3">
      <c r="A28" s="17"/>
      <c r="B28" s="17"/>
      <c r="C28" s="17"/>
      <c r="D28" s="17"/>
      <c r="E28" s="17"/>
      <c r="F28" s="17"/>
    </row>
    <row r="29" spans="1:6" x14ac:dyDescent="0.3">
      <c r="A29" s="17"/>
      <c r="B29" s="17"/>
      <c r="C29" s="17"/>
      <c r="D29" s="17"/>
      <c r="E29" s="17"/>
      <c r="F29" s="17"/>
    </row>
    <row r="40" spans="1:7" x14ac:dyDescent="0.3">
      <c r="A40" s="138" t="s">
        <v>662</v>
      </c>
      <c r="B40" s="131"/>
      <c r="C40" s="131"/>
      <c r="D40" s="139" t="s">
        <v>663</v>
      </c>
      <c r="E40" s="131"/>
      <c r="F40" s="131"/>
      <c r="G40" s="138"/>
    </row>
    <row r="41" spans="1:7" x14ac:dyDescent="0.3">
      <c r="A41" s="140" t="s">
        <v>664</v>
      </c>
      <c r="D41" s="140" t="s">
        <v>664</v>
      </c>
    </row>
    <row r="62" spans="1:1" x14ac:dyDescent="0.3">
      <c r="A62" s="127" t="str">
        <f>HYPERLINK("#'INDICE'!A4","&lt;&lt; Volver al Indice")</f>
        <v>&lt;&lt; Volver al Indice</v>
      </c>
    </row>
    <row r="108" spans="1:1" x14ac:dyDescent="0.3">
      <c r="A108" s="15" t="str">
        <f>HYPERLINK("#'INDICE'!A15","&lt;&lt; Volver al Indice")</f>
        <v>&lt;&lt; Volver al Indice</v>
      </c>
    </row>
  </sheetData>
  <mergeCells count="2">
    <mergeCell ref="A11:F11"/>
    <mergeCell ref="A13:F13"/>
  </mergeCells>
  <pageMargins left="0.75" right="0.75" top="1" bottom="1"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00"/>
  <sheetViews>
    <sheetView workbookViewId="0">
      <selection activeCell="D24" sqref="D24"/>
    </sheetView>
  </sheetViews>
  <sheetFormatPr baseColWidth="10" defaultColWidth="9.109375" defaultRowHeight="15.05" x14ac:dyDescent="0.3"/>
  <cols>
    <col min="1" max="6" width="20" customWidth="1"/>
  </cols>
  <sheetData>
    <row r="1" spans="1:6" ht="35.200000000000003" customHeight="1" x14ac:dyDescent="0.3">
      <c r="A1" s="160" t="s">
        <v>184</v>
      </c>
      <c r="B1" s="151"/>
      <c r="C1" s="151"/>
      <c r="D1" s="151"/>
      <c r="E1" s="151"/>
      <c r="F1" s="151"/>
    </row>
    <row r="3" spans="1:6" ht="24.9" customHeight="1" x14ac:dyDescent="0.3">
      <c r="A3" s="157" t="s">
        <v>185</v>
      </c>
      <c r="B3" s="151"/>
      <c r="C3" s="151"/>
      <c r="D3" s="151"/>
      <c r="E3" s="151"/>
      <c r="F3" s="151"/>
    </row>
    <row r="4" spans="1:6" x14ac:dyDescent="0.3">
      <c r="A4" s="152" t="s">
        <v>34</v>
      </c>
      <c r="B4" s="153"/>
      <c r="C4" s="154" t="s">
        <v>35</v>
      </c>
      <c r="D4" s="155"/>
      <c r="E4" s="156"/>
      <c r="F4" s="30" t="str">
        <f>HYPERLINK("#'AC-P01'!A1","IR &gt;&gt;")</f>
        <v>IR &gt;&gt;</v>
      </c>
    </row>
    <row r="5" spans="1:6" x14ac:dyDescent="0.3">
      <c r="A5" s="152" t="s">
        <v>36</v>
      </c>
      <c r="B5" s="153"/>
      <c r="C5" s="154" t="s">
        <v>186</v>
      </c>
      <c r="D5" s="155"/>
      <c r="E5" s="156"/>
      <c r="F5" s="30" t="str">
        <f>HYPERLINK("#'AC-P02'!A1","IR &gt;&gt;")</f>
        <v>IR &gt;&gt;</v>
      </c>
    </row>
    <row r="6" spans="1:6" x14ac:dyDescent="0.3">
      <c r="A6" s="152" t="s">
        <v>38</v>
      </c>
      <c r="B6" s="153"/>
      <c r="C6" s="154" t="s">
        <v>39</v>
      </c>
      <c r="D6" s="155"/>
      <c r="E6" s="156"/>
      <c r="F6" s="30" t="str">
        <f>HYPERLINK("#'AC-P03'!A1","IR &gt;&gt;")</f>
        <v>IR &gt;&gt;</v>
      </c>
    </row>
    <row r="7" spans="1:6" x14ac:dyDescent="0.3">
      <c r="A7" s="152" t="s">
        <v>40</v>
      </c>
      <c r="B7" s="153"/>
      <c r="C7" s="154" t="s">
        <v>187</v>
      </c>
      <c r="D7" s="155"/>
      <c r="E7" s="156"/>
      <c r="F7" s="30" t="str">
        <f>HYPERLINK("#'AC-P04'!A1","IR &gt;&gt;")</f>
        <v>IR &gt;&gt;</v>
      </c>
    </row>
    <row r="8" spans="1:6" x14ac:dyDescent="0.3">
      <c r="A8" s="152" t="s">
        <v>42</v>
      </c>
      <c r="B8" s="153"/>
      <c r="C8" s="154" t="s">
        <v>43</v>
      </c>
      <c r="D8" s="155"/>
      <c r="E8" s="156"/>
      <c r="F8" s="30" t="str">
        <f>HYPERLINK("#'AC-P05'!A1","IR &gt;&gt;")</f>
        <v>IR &gt;&gt;</v>
      </c>
    </row>
    <row r="9" spans="1:6" x14ac:dyDescent="0.3">
      <c r="A9" s="152" t="s">
        <v>44</v>
      </c>
      <c r="B9" s="153"/>
      <c r="C9" s="154" t="s">
        <v>188</v>
      </c>
      <c r="D9" s="155"/>
      <c r="E9" s="156"/>
      <c r="F9" s="30" t="str">
        <f>HYPERLINK("#'AC-P06'!A1","IR &gt;&gt;")</f>
        <v>IR &gt;&gt;</v>
      </c>
    </row>
    <row r="10" spans="1:6" x14ac:dyDescent="0.3">
      <c r="A10" s="152" t="s">
        <v>46</v>
      </c>
      <c r="B10" s="153"/>
      <c r="C10" s="154" t="s">
        <v>189</v>
      </c>
      <c r="D10" s="155"/>
      <c r="E10" s="156"/>
      <c r="F10" s="30" t="str">
        <f>HYPERLINK("#'AC-P07'!A1","IR &gt;&gt;")</f>
        <v>IR &gt;&gt;</v>
      </c>
    </row>
    <row r="11" spans="1:6" x14ac:dyDescent="0.3">
      <c r="A11" s="152" t="s">
        <v>48</v>
      </c>
      <c r="B11" s="153"/>
      <c r="C11" s="154" t="s">
        <v>190</v>
      </c>
      <c r="D11" s="155"/>
      <c r="E11" s="156"/>
      <c r="F11" s="30" t="str">
        <f>HYPERLINK("#'AC-P08'!A1","IR &gt;&gt;")</f>
        <v>IR &gt;&gt;</v>
      </c>
    </row>
    <row r="12" spans="1:6" x14ac:dyDescent="0.3">
      <c r="A12" s="152" t="s">
        <v>50</v>
      </c>
      <c r="B12" s="153"/>
      <c r="C12" s="154" t="s">
        <v>191</v>
      </c>
      <c r="D12" s="155"/>
      <c r="E12" s="156"/>
      <c r="F12" s="30" t="str">
        <f>HYPERLINK("#'AC-P09'!A1","IR &gt;&gt;")</f>
        <v>IR &gt;&gt;</v>
      </c>
    </row>
    <row r="13" spans="1:6" x14ac:dyDescent="0.3">
      <c r="A13" s="152" t="s">
        <v>52</v>
      </c>
      <c r="B13" s="153"/>
      <c r="C13" s="154" t="s">
        <v>53</v>
      </c>
      <c r="D13" s="155"/>
      <c r="E13" s="156"/>
      <c r="F13" s="30" t="str">
        <f>HYPERLINK("#'AC-P10'!A1","IR &gt;&gt;")</f>
        <v>IR &gt;&gt;</v>
      </c>
    </row>
    <row r="14" spans="1:6" x14ac:dyDescent="0.3">
      <c r="A14" s="152" t="s">
        <v>54</v>
      </c>
      <c r="B14" s="153"/>
      <c r="C14" s="154" t="s">
        <v>55</v>
      </c>
      <c r="D14" s="155"/>
      <c r="E14" s="156"/>
      <c r="F14" s="30" t="str">
        <f>HYPERLINK("#'AC-P11'!A1","IR &gt;&gt;")</f>
        <v>IR &gt;&gt;</v>
      </c>
    </row>
    <row r="15" spans="1:6" x14ac:dyDescent="0.3">
      <c r="A15" s="152" t="s">
        <v>56</v>
      </c>
      <c r="B15" s="153"/>
      <c r="C15" s="154" t="s">
        <v>192</v>
      </c>
      <c r="D15" s="155"/>
      <c r="E15" s="156"/>
      <c r="F15" s="30" t="str">
        <f>HYPERLINK("#'AC-P12'!A1","IR &gt;&gt;")</f>
        <v>IR &gt;&gt;</v>
      </c>
    </row>
    <row r="100" spans="1:1" x14ac:dyDescent="0.3">
      <c r="A100" s="15" t="str">
        <f>HYPERLINK("#'INDICE'!A16","&lt;&lt; Volver al Indice")</f>
        <v>&lt;&lt; Volver al Indice</v>
      </c>
    </row>
  </sheetData>
  <mergeCells count="26">
    <mergeCell ref="C6:E6"/>
    <mergeCell ref="A4:B4"/>
    <mergeCell ref="C14:E14"/>
    <mergeCell ref="C5:E5"/>
    <mergeCell ref="A1:F1"/>
    <mergeCell ref="A10:B10"/>
    <mergeCell ref="C4:E4"/>
    <mergeCell ref="A13:B13"/>
    <mergeCell ref="A9:B9"/>
    <mergeCell ref="C10:E10"/>
    <mergeCell ref="A15:B15"/>
    <mergeCell ref="A11:B11"/>
    <mergeCell ref="C9:E9"/>
    <mergeCell ref="A3:F3"/>
    <mergeCell ref="C12:E12"/>
    <mergeCell ref="A6:B6"/>
    <mergeCell ref="C11:E11"/>
    <mergeCell ref="A7:B7"/>
    <mergeCell ref="C8:E8"/>
    <mergeCell ref="C7:E7"/>
    <mergeCell ref="A12:B12"/>
    <mergeCell ref="C13:E13"/>
    <mergeCell ref="A5:B5"/>
    <mergeCell ref="A14:B14"/>
    <mergeCell ref="A8:B8"/>
    <mergeCell ref="C15:E1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4:H108"/>
  <sheetViews>
    <sheetView workbookViewId="0">
      <selection activeCell="D9" sqref="D9"/>
    </sheetView>
  </sheetViews>
  <sheetFormatPr baseColWidth="10" defaultColWidth="9.109375" defaultRowHeight="15.05" x14ac:dyDescent="0.3"/>
  <cols>
    <col min="1" max="1" width="26.6640625" customWidth="1"/>
    <col min="2" max="6" width="20" customWidth="1"/>
    <col min="7" max="7" width="17.88671875" customWidth="1"/>
    <col min="8" max="8" width="12.6640625" customWidth="1"/>
  </cols>
  <sheetData>
    <row r="4" spans="1:8" x14ac:dyDescent="0.3">
      <c r="C4" s="121"/>
    </row>
    <row r="5" spans="1:8" ht="21.8" customHeight="1" x14ac:dyDescent="0.3">
      <c r="H5" s="143" t="s">
        <v>34</v>
      </c>
    </row>
    <row r="6" spans="1:8" x14ac:dyDescent="0.3">
      <c r="D6" s="120" t="s">
        <v>685</v>
      </c>
    </row>
    <row r="7" spans="1:8" x14ac:dyDescent="0.3">
      <c r="D7" s="125" t="s">
        <v>682</v>
      </c>
      <c r="G7" s="58" t="s">
        <v>652</v>
      </c>
      <c r="H7" s="58"/>
    </row>
    <row r="8" spans="1:8" x14ac:dyDescent="0.3">
      <c r="D8" s="120" t="s">
        <v>686</v>
      </c>
      <c r="G8" s="58" t="s">
        <v>653</v>
      </c>
      <c r="H8" s="58"/>
    </row>
    <row r="9" spans="1:8" x14ac:dyDescent="0.3">
      <c r="D9" s="120" t="s">
        <v>689</v>
      </c>
      <c r="G9" s="58" t="s">
        <v>654</v>
      </c>
      <c r="H9" s="58"/>
    </row>
    <row r="10" spans="1:8" x14ac:dyDescent="0.3">
      <c r="G10" s="58" t="s">
        <v>655</v>
      </c>
      <c r="H10" s="58"/>
    </row>
    <row r="11" spans="1:8" ht="29.95" customHeight="1" x14ac:dyDescent="0.3">
      <c r="A11" s="158" t="s">
        <v>673</v>
      </c>
      <c r="B11" s="151"/>
      <c r="C11" s="151"/>
      <c r="D11" s="151"/>
      <c r="E11" s="151"/>
      <c r="F11" s="151"/>
    </row>
    <row r="13" spans="1:8" x14ac:dyDescent="0.3">
      <c r="A13" s="157" t="s">
        <v>193</v>
      </c>
      <c r="B13" s="151"/>
      <c r="C13" s="151"/>
      <c r="D13" s="151"/>
      <c r="E13" s="151"/>
      <c r="F13" s="151"/>
    </row>
    <row r="14" spans="1:8" x14ac:dyDescent="0.3">
      <c r="A14" s="20" t="s">
        <v>194</v>
      </c>
      <c r="B14" s="220"/>
      <c r="C14" s="155"/>
      <c r="D14" s="156"/>
    </row>
    <row r="15" spans="1:8" x14ac:dyDescent="0.3">
      <c r="A15" s="20" t="s">
        <v>195</v>
      </c>
      <c r="B15" s="220"/>
      <c r="C15" s="155"/>
      <c r="D15" s="155"/>
      <c r="E15" s="155"/>
      <c r="F15" s="156"/>
    </row>
    <row r="16" spans="1:8" x14ac:dyDescent="0.3">
      <c r="A16" s="20" t="s">
        <v>196</v>
      </c>
      <c r="B16" s="220"/>
      <c r="C16" s="155"/>
      <c r="D16" s="156"/>
    </row>
    <row r="17" spans="1:6" x14ac:dyDescent="0.3">
      <c r="A17" s="20" t="s">
        <v>197</v>
      </c>
      <c r="B17" s="220"/>
      <c r="C17" s="155"/>
      <c r="D17" s="156"/>
    </row>
    <row r="18" spans="1:6" x14ac:dyDescent="0.3">
      <c r="A18" s="20" t="s">
        <v>198</v>
      </c>
      <c r="B18" s="220"/>
      <c r="C18" s="155"/>
      <c r="D18" s="156"/>
    </row>
    <row r="20" spans="1:6" x14ac:dyDescent="0.3">
      <c r="A20" s="157" t="s">
        <v>199</v>
      </c>
      <c r="B20" s="151"/>
      <c r="C20" s="151"/>
      <c r="D20" s="151"/>
      <c r="E20" s="151"/>
      <c r="F20" s="151"/>
    </row>
    <row r="21" spans="1:6" x14ac:dyDescent="0.3">
      <c r="A21" s="221" t="s">
        <v>200</v>
      </c>
      <c r="B21" s="222"/>
      <c r="C21" s="222"/>
      <c r="D21" s="222"/>
      <c r="E21" s="222"/>
      <c r="F21" s="223"/>
    </row>
    <row r="22" spans="1:6" x14ac:dyDescent="0.3">
      <c r="A22" s="224"/>
      <c r="B22" s="151"/>
      <c r="C22" s="151"/>
      <c r="D22" s="151"/>
      <c r="E22" s="151"/>
      <c r="F22" s="225"/>
    </row>
    <row r="23" spans="1:6" x14ac:dyDescent="0.3">
      <c r="A23" s="224"/>
      <c r="B23" s="151"/>
      <c r="C23" s="151"/>
      <c r="D23" s="151"/>
      <c r="E23" s="151"/>
      <c r="F23" s="225"/>
    </row>
    <row r="24" spans="1:6" x14ac:dyDescent="0.3">
      <c r="A24" s="224"/>
      <c r="B24" s="151"/>
      <c r="C24" s="151"/>
      <c r="D24" s="151"/>
      <c r="E24" s="151"/>
      <c r="F24" s="225"/>
    </row>
    <row r="25" spans="1:6" x14ac:dyDescent="0.3">
      <c r="A25" s="224"/>
      <c r="B25" s="151"/>
      <c r="C25" s="151"/>
      <c r="D25" s="151"/>
      <c r="E25" s="151"/>
      <c r="F25" s="225"/>
    </row>
    <row r="26" spans="1:6" x14ac:dyDescent="0.3">
      <c r="A26" s="224"/>
      <c r="B26" s="151"/>
      <c r="C26" s="151"/>
      <c r="D26" s="151"/>
      <c r="E26" s="151"/>
      <c r="F26" s="225"/>
    </row>
    <row r="27" spans="1:6" x14ac:dyDescent="0.3">
      <c r="A27" s="224"/>
      <c r="B27" s="151"/>
      <c r="C27" s="151"/>
      <c r="D27" s="151"/>
      <c r="E27" s="151"/>
      <c r="F27" s="225"/>
    </row>
    <row r="28" spans="1:6" x14ac:dyDescent="0.3">
      <c r="A28" s="224"/>
      <c r="B28" s="151"/>
      <c r="C28" s="151"/>
      <c r="D28" s="151"/>
      <c r="E28" s="151"/>
      <c r="F28" s="225"/>
    </row>
    <row r="29" spans="1:6" x14ac:dyDescent="0.3">
      <c r="A29" s="226"/>
      <c r="B29" s="227"/>
      <c r="C29" s="227"/>
      <c r="D29" s="227"/>
      <c r="E29" s="227"/>
      <c r="F29" s="228"/>
    </row>
    <row r="31" spans="1:6" x14ac:dyDescent="0.3">
      <c r="A31" s="157" t="s">
        <v>201</v>
      </c>
      <c r="B31" s="151"/>
      <c r="C31" s="151"/>
      <c r="D31" s="151"/>
      <c r="E31" s="151"/>
      <c r="F31" s="151"/>
    </row>
    <row r="32" spans="1:6" x14ac:dyDescent="0.3">
      <c r="A32" s="20" t="s">
        <v>202</v>
      </c>
      <c r="B32" s="220"/>
      <c r="C32" s="155"/>
      <c r="D32" s="156"/>
    </row>
    <row r="33" spans="1:6" x14ac:dyDescent="0.3">
      <c r="A33" s="20" t="s">
        <v>203</v>
      </c>
      <c r="B33" s="220"/>
      <c r="C33" s="155"/>
      <c r="D33" s="156"/>
    </row>
    <row r="34" spans="1:6" x14ac:dyDescent="0.3">
      <c r="A34" s="20" t="s">
        <v>204</v>
      </c>
      <c r="B34" s="220"/>
      <c r="C34" s="155"/>
      <c r="D34" s="156"/>
    </row>
    <row r="45" spans="1:6" x14ac:dyDescent="0.3">
      <c r="A45" s="139" t="s">
        <v>662</v>
      </c>
      <c r="B45" s="131"/>
      <c r="D45" s="144" t="s">
        <v>663</v>
      </c>
      <c r="E45" s="131"/>
      <c r="F45" s="131"/>
    </row>
    <row r="46" spans="1:6" x14ac:dyDescent="0.3">
      <c r="A46" s="140" t="s">
        <v>664</v>
      </c>
      <c r="D46" s="145" t="s">
        <v>664</v>
      </c>
    </row>
    <row r="67" spans="1:1" x14ac:dyDescent="0.3">
      <c r="A67" s="127" t="str">
        <f>HYPERLINK("#'INDICE'!A4","&lt;&lt; Volver al Indice")</f>
        <v>&lt;&lt; Volver al Indice</v>
      </c>
    </row>
    <row r="108" spans="1:1" x14ac:dyDescent="0.3">
      <c r="A108" s="15" t="str">
        <f>HYPERLINK("#'INDICE'!A18","&lt;&lt; Volver al Indice")</f>
        <v>&lt;&lt; Volver al Indice</v>
      </c>
    </row>
  </sheetData>
  <mergeCells count="13">
    <mergeCell ref="A21:F29"/>
    <mergeCell ref="A31:F31"/>
    <mergeCell ref="B17:D17"/>
    <mergeCell ref="B34:D34"/>
    <mergeCell ref="A20:F20"/>
    <mergeCell ref="B33:D33"/>
    <mergeCell ref="B32:D32"/>
    <mergeCell ref="B18:D18"/>
    <mergeCell ref="B15:F15"/>
    <mergeCell ref="A11:F11"/>
    <mergeCell ref="A13:F13"/>
    <mergeCell ref="B16:D16"/>
    <mergeCell ref="B14:D1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I108"/>
  <sheetViews>
    <sheetView workbookViewId="0">
      <selection activeCell="D8" sqref="D8"/>
    </sheetView>
  </sheetViews>
  <sheetFormatPr baseColWidth="10" defaultColWidth="9.109375" defaultRowHeight="15.05" x14ac:dyDescent="0.3"/>
  <cols>
    <col min="1" max="3" width="20" customWidth="1"/>
    <col min="4" max="4" width="11" customWidth="1"/>
    <col min="5" max="5" width="11.6640625" customWidth="1"/>
    <col min="6" max="6" width="11.33203125" customWidth="1"/>
    <col min="7" max="7" width="54.109375" customWidth="1"/>
    <col min="8" max="8" width="17" customWidth="1"/>
    <col min="9" max="9" width="14.5546875" customWidth="1"/>
  </cols>
  <sheetData>
    <row r="3" spans="1:9" x14ac:dyDescent="0.3">
      <c r="D3" s="121"/>
    </row>
    <row r="4" spans="1:9" ht="23.25" customHeight="1" x14ac:dyDescent="0.3">
      <c r="I4" s="141" t="s">
        <v>36</v>
      </c>
    </row>
    <row r="5" spans="1:9" x14ac:dyDescent="0.3">
      <c r="D5" s="120" t="s">
        <v>685</v>
      </c>
    </row>
    <row r="6" spans="1:9" x14ac:dyDescent="0.3">
      <c r="D6" s="125" t="s">
        <v>682</v>
      </c>
      <c r="H6" s="58" t="s">
        <v>652</v>
      </c>
      <c r="I6" s="58"/>
    </row>
    <row r="7" spans="1:9" x14ac:dyDescent="0.3">
      <c r="D7" s="120" t="s">
        <v>686</v>
      </c>
      <c r="H7" s="58" t="s">
        <v>653</v>
      </c>
      <c r="I7" s="58"/>
    </row>
    <row r="8" spans="1:9" x14ac:dyDescent="0.3">
      <c r="D8" s="120" t="s">
        <v>689</v>
      </c>
      <c r="H8" s="58" t="s">
        <v>654</v>
      </c>
      <c r="I8" s="58"/>
    </row>
    <row r="9" spans="1:9" x14ac:dyDescent="0.3">
      <c r="H9" s="58" t="s">
        <v>655</v>
      </c>
      <c r="I9" s="58"/>
    </row>
    <row r="11" spans="1:9" ht="29.95" customHeight="1" x14ac:dyDescent="0.3">
      <c r="A11" s="158" t="s">
        <v>674</v>
      </c>
      <c r="B11" s="151"/>
      <c r="C11" s="151"/>
      <c r="D11" s="151"/>
      <c r="E11" s="151"/>
      <c r="F11" s="151"/>
    </row>
    <row r="13" spans="1:9" x14ac:dyDescent="0.3">
      <c r="A13" s="157" t="s">
        <v>205</v>
      </c>
      <c r="B13" s="151"/>
      <c r="C13" s="151"/>
      <c r="D13" s="151"/>
      <c r="E13" s="151"/>
      <c r="F13" s="151"/>
    </row>
    <row r="14" spans="1:9" ht="24.05" customHeight="1" x14ac:dyDescent="0.3">
      <c r="A14" s="230" t="s">
        <v>206</v>
      </c>
      <c r="B14" s="155"/>
      <c r="C14" s="156"/>
      <c r="D14" s="18" t="s">
        <v>207</v>
      </c>
      <c r="E14" s="18" t="s">
        <v>208</v>
      </c>
      <c r="F14" s="18" t="s">
        <v>209</v>
      </c>
      <c r="G14" s="18" t="s">
        <v>98</v>
      </c>
    </row>
    <row r="15" spans="1:9" x14ac:dyDescent="0.3">
      <c r="A15" s="229" t="s">
        <v>210</v>
      </c>
      <c r="B15" s="155"/>
      <c r="C15" s="156"/>
      <c r="D15" s="17"/>
      <c r="E15" s="17"/>
      <c r="F15" s="17"/>
      <c r="G15" s="58"/>
    </row>
    <row r="16" spans="1:9" x14ac:dyDescent="0.3">
      <c r="A16" s="229" t="s">
        <v>211</v>
      </c>
      <c r="B16" s="155"/>
      <c r="C16" s="156"/>
      <c r="D16" s="17"/>
      <c r="E16" s="17"/>
      <c r="F16" s="17"/>
      <c r="G16" s="58"/>
    </row>
    <row r="17" spans="1:7" x14ac:dyDescent="0.3">
      <c r="A17" s="229" t="s">
        <v>212</v>
      </c>
      <c r="B17" s="155"/>
      <c r="C17" s="156"/>
      <c r="D17" s="17"/>
      <c r="E17" s="17"/>
      <c r="F17" s="17"/>
      <c r="G17" s="58"/>
    </row>
    <row r="18" spans="1:7" x14ac:dyDescent="0.3">
      <c r="A18" s="229" t="s">
        <v>213</v>
      </c>
      <c r="B18" s="155"/>
      <c r="C18" s="156"/>
      <c r="D18" s="17"/>
      <c r="E18" s="17"/>
      <c r="F18" s="17"/>
      <c r="G18" s="58"/>
    </row>
    <row r="19" spans="1:7" x14ac:dyDescent="0.3">
      <c r="A19" s="229" t="s">
        <v>214</v>
      </c>
      <c r="B19" s="155"/>
      <c r="C19" s="156"/>
      <c r="D19" s="17"/>
      <c r="E19" s="17"/>
      <c r="F19" s="17"/>
      <c r="G19" s="58"/>
    </row>
    <row r="20" spans="1:7" x14ac:dyDescent="0.3">
      <c r="A20" s="229" t="s">
        <v>215</v>
      </c>
      <c r="B20" s="155"/>
      <c r="C20" s="156"/>
      <c r="D20" s="17"/>
      <c r="E20" s="17"/>
      <c r="F20" s="17"/>
      <c r="G20" s="58"/>
    </row>
    <row r="21" spans="1:7" x14ac:dyDescent="0.3">
      <c r="A21" s="229" t="s">
        <v>216</v>
      </c>
      <c r="B21" s="155"/>
      <c r="C21" s="156"/>
      <c r="D21" s="17"/>
      <c r="E21" s="17"/>
      <c r="F21" s="17"/>
      <c r="G21" s="58"/>
    </row>
    <row r="22" spans="1:7" x14ac:dyDescent="0.3">
      <c r="A22" s="229" t="s">
        <v>217</v>
      </c>
      <c r="B22" s="155"/>
      <c r="C22" s="156"/>
      <c r="D22" s="17"/>
      <c r="E22" s="17"/>
      <c r="F22" s="17"/>
      <c r="G22" s="58"/>
    </row>
    <row r="24" spans="1:7" x14ac:dyDescent="0.3">
      <c r="A24" s="157" t="s">
        <v>218</v>
      </c>
      <c r="B24" s="151"/>
      <c r="C24" s="151"/>
      <c r="D24" s="151"/>
      <c r="E24" s="151"/>
      <c r="F24" s="151"/>
    </row>
    <row r="25" spans="1:7" x14ac:dyDescent="0.3">
      <c r="A25" s="221"/>
      <c r="B25" s="222"/>
      <c r="C25" s="222"/>
      <c r="D25" s="222"/>
      <c r="E25" s="222"/>
      <c r="F25" s="223"/>
    </row>
    <row r="26" spans="1:7" x14ac:dyDescent="0.3">
      <c r="A26" s="224"/>
      <c r="B26" s="151"/>
      <c r="C26" s="151"/>
      <c r="D26" s="151"/>
      <c r="E26" s="151"/>
      <c r="F26" s="225"/>
    </row>
    <row r="27" spans="1:7" x14ac:dyDescent="0.3">
      <c r="A27" s="224"/>
      <c r="B27" s="151"/>
      <c r="C27" s="151"/>
      <c r="D27" s="151"/>
      <c r="E27" s="151"/>
      <c r="F27" s="225"/>
    </row>
    <row r="28" spans="1:7" x14ac:dyDescent="0.3">
      <c r="A28" s="224"/>
      <c r="B28" s="151"/>
      <c r="C28" s="151"/>
      <c r="D28" s="151"/>
      <c r="E28" s="151"/>
      <c r="F28" s="225"/>
    </row>
    <row r="29" spans="1:7" x14ac:dyDescent="0.3">
      <c r="A29" s="224"/>
      <c r="B29" s="151"/>
      <c r="C29" s="151"/>
      <c r="D29" s="151"/>
      <c r="E29" s="151"/>
      <c r="F29" s="225"/>
    </row>
    <row r="30" spans="1:7" x14ac:dyDescent="0.3">
      <c r="A30" s="226"/>
      <c r="B30" s="227"/>
      <c r="C30" s="227"/>
      <c r="D30" s="227"/>
      <c r="E30" s="227"/>
      <c r="F30" s="228"/>
    </row>
    <row r="41" spans="1:7" x14ac:dyDescent="0.3">
      <c r="A41" s="138" t="s">
        <v>662</v>
      </c>
      <c r="B41" s="131"/>
      <c r="C41" s="131"/>
      <c r="F41" s="138" t="s">
        <v>663</v>
      </c>
      <c r="G41" s="131"/>
    </row>
    <row r="42" spans="1:7" x14ac:dyDescent="0.3">
      <c r="A42" s="140" t="s">
        <v>664</v>
      </c>
      <c r="F42" s="140" t="s">
        <v>664</v>
      </c>
    </row>
    <row r="53" spans="1:1" x14ac:dyDescent="0.3">
      <c r="A53" s="127" t="str">
        <f>HYPERLINK("#'INDICE'!A4","&lt;&lt; Volver al Indice")</f>
        <v>&lt;&lt; Volver al Indice</v>
      </c>
    </row>
    <row r="108" spans="1:1" x14ac:dyDescent="0.3">
      <c r="A108" s="15" t="str">
        <f>HYPERLINK("#'INDICE'!A19","&lt;&lt; Volver al Indice")</f>
        <v>&lt;&lt; Volver al Indice</v>
      </c>
    </row>
  </sheetData>
  <mergeCells count="13">
    <mergeCell ref="A25:F30"/>
    <mergeCell ref="A20:C20"/>
    <mergeCell ref="A15:C15"/>
    <mergeCell ref="A11:F11"/>
    <mergeCell ref="A13:F13"/>
    <mergeCell ref="A14:C14"/>
    <mergeCell ref="A16:C16"/>
    <mergeCell ref="A22:C22"/>
    <mergeCell ref="A17:C17"/>
    <mergeCell ref="A18:C18"/>
    <mergeCell ref="A24:F24"/>
    <mergeCell ref="A21:C21"/>
    <mergeCell ref="A19:C1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F122"/>
  <sheetViews>
    <sheetView workbookViewId="0">
      <selection activeCell="B8" sqref="B8"/>
    </sheetView>
  </sheetViews>
  <sheetFormatPr baseColWidth="10" defaultColWidth="9.109375" defaultRowHeight="15.05" x14ac:dyDescent="0.3"/>
  <cols>
    <col min="1" max="1" width="29.109375" customWidth="1"/>
    <col min="2" max="2" width="36.88671875" customWidth="1"/>
    <col min="3" max="4" width="20" customWidth="1"/>
    <col min="5" max="5" width="17" customWidth="1"/>
    <col min="6" max="6" width="16.33203125" customWidth="1"/>
  </cols>
  <sheetData>
    <row r="3" spans="1:6" x14ac:dyDescent="0.3">
      <c r="B3" s="121"/>
    </row>
    <row r="4" spans="1:6" ht="30.8" customHeight="1" x14ac:dyDescent="0.3">
      <c r="F4" s="146" t="s">
        <v>38</v>
      </c>
    </row>
    <row r="5" spans="1:6" x14ac:dyDescent="0.3">
      <c r="B5" s="120" t="s">
        <v>685</v>
      </c>
    </row>
    <row r="6" spans="1:6" x14ac:dyDescent="0.3">
      <c r="B6" s="125" t="s">
        <v>682</v>
      </c>
      <c r="E6" s="58" t="s">
        <v>652</v>
      </c>
      <c r="F6" s="58"/>
    </row>
    <row r="7" spans="1:6" x14ac:dyDescent="0.3">
      <c r="B7" s="120" t="s">
        <v>686</v>
      </c>
      <c r="E7" s="58" t="s">
        <v>653</v>
      </c>
      <c r="F7" s="58"/>
    </row>
    <row r="8" spans="1:6" x14ac:dyDescent="0.3">
      <c r="B8" s="120" t="s">
        <v>689</v>
      </c>
      <c r="E8" s="58" t="s">
        <v>654</v>
      </c>
      <c r="F8" s="58"/>
    </row>
    <row r="9" spans="1:6" x14ac:dyDescent="0.3">
      <c r="E9" s="58" t="s">
        <v>655</v>
      </c>
      <c r="F9" s="58"/>
    </row>
    <row r="10" spans="1:6" ht="29.3" customHeight="1" x14ac:dyDescent="0.3">
      <c r="A10" s="231" t="s">
        <v>675</v>
      </c>
      <c r="B10" s="232"/>
      <c r="C10" s="232"/>
      <c r="D10" s="232"/>
    </row>
    <row r="11" spans="1:6" x14ac:dyDescent="0.3">
      <c r="A11" s="233" t="s">
        <v>219</v>
      </c>
      <c r="B11" s="151"/>
      <c r="C11" s="151"/>
      <c r="D11" s="151"/>
    </row>
    <row r="12" spans="1:6" x14ac:dyDescent="0.3">
      <c r="A12" s="50" t="s">
        <v>420</v>
      </c>
      <c r="B12" s="208"/>
      <c r="C12" s="155"/>
      <c r="D12" s="156"/>
    </row>
    <row r="13" spans="1:6" x14ac:dyDescent="0.3">
      <c r="A13" s="50" t="s">
        <v>220</v>
      </c>
      <c r="B13" s="208"/>
      <c r="C13" s="155"/>
      <c r="D13" s="156"/>
    </row>
    <row r="14" spans="1:6" x14ac:dyDescent="0.3">
      <c r="A14" s="50" t="s">
        <v>221</v>
      </c>
      <c r="B14" s="208"/>
      <c r="C14" s="155"/>
      <c r="D14" s="156"/>
    </row>
    <row r="15" spans="1:6" x14ac:dyDescent="0.3">
      <c r="A15" s="50" t="s">
        <v>222</v>
      </c>
      <c r="B15" s="208"/>
      <c r="C15" s="155"/>
      <c r="D15" s="156"/>
    </row>
    <row r="16" spans="1:6" x14ac:dyDescent="0.3">
      <c r="A16" s="50" t="s">
        <v>223</v>
      </c>
      <c r="B16" s="208"/>
      <c r="C16" s="155"/>
      <c r="D16" s="156"/>
    </row>
    <row r="17" spans="1:4" x14ac:dyDescent="0.3">
      <c r="A17" s="50" t="s">
        <v>224</v>
      </c>
      <c r="B17" s="208"/>
      <c r="C17" s="155"/>
      <c r="D17" s="156"/>
    </row>
    <row r="18" spans="1:4" x14ac:dyDescent="0.3">
      <c r="A18" s="50" t="s">
        <v>225</v>
      </c>
      <c r="B18" s="208"/>
      <c r="C18" s="155"/>
      <c r="D18" s="156"/>
    </row>
    <row r="20" spans="1:4" x14ac:dyDescent="0.3">
      <c r="A20" s="233" t="s">
        <v>226</v>
      </c>
      <c r="B20" s="151"/>
      <c r="C20" s="151"/>
      <c r="D20" s="151"/>
    </row>
    <row r="21" spans="1:4" x14ac:dyDescent="0.3">
      <c r="A21" s="129" t="s">
        <v>421</v>
      </c>
      <c r="B21" s="208"/>
      <c r="C21" s="222"/>
      <c r="D21" s="223"/>
    </row>
    <row r="22" spans="1:4" x14ac:dyDescent="0.3">
      <c r="B22" s="224"/>
      <c r="C22" s="151"/>
      <c r="D22" s="225"/>
    </row>
    <row r="23" spans="1:4" x14ac:dyDescent="0.3">
      <c r="B23" s="224"/>
      <c r="C23" s="151"/>
      <c r="D23" s="225"/>
    </row>
    <row r="24" spans="1:4" x14ac:dyDescent="0.3">
      <c r="B24" s="226"/>
      <c r="C24" s="227"/>
      <c r="D24" s="228"/>
    </row>
    <row r="26" spans="1:4" x14ac:dyDescent="0.3">
      <c r="A26" s="233" t="s">
        <v>422</v>
      </c>
      <c r="B26" s="151"/>
      <c r="C26" s="151"/>
      <c r="D26" s="151"/>
    </row>
    <row r="27" spans="1:4" x14ac:dyDescent="0.3">
      <c r="A27" s="50" t="s">
        <v>423</v>
      </c>
      <c r="B27" s="208"/>
      <c r="C27" s="155"/>
      <c r="D27" s="156"/>
    </row>
    <row r="28" spans="1:4" x14ac:dyDescent="0.3">
      <c r="A28" s="50" t="s">
        <v>424</v>
      </c>
      <c r="B28" s="208"/>
      <c r="C28" s="155"/>
      <c r="D28" s="156"/>
    </row>
    <row r="29" spans="1:4" x14ac:dyDescent="0.3">
      <c r="A29" s="50" t="s">
        <v>425</v>
      </c>
      <c r="B29" s="208"/>
      <c r="C29" s="155"/>
      <c r="D29" s="156"/>
    </row>
    <row r="30" spans="1:4" x14ac:dyDescent="0.3">
      <c r="A30" s="50" t="s">
        <v>426</v>
      </c>
      <c r="B30" s="208"/>
      <c r="C30" s="155"/>
      <c r="D30" s="156"/>
    </row>
    <row r="31" spans="1:4" x14ac:dyDescent="0.3">
      <c r="A31" s="50" t="s">
        <v>427</v>
      </c>
      <c r="B31" s="208"/>
      <c r="C31" s="155"/>
      <c r="D31" s="156"/>
    </row>
    <row r="32" spans="1:4" x14ac:dyDescent="0.3">
      <c r="A32" s="50" t="s">
        <v>428</v>
      </c>
      <c r="B32" s="234"/>
      <c r="C32" s="151"/>
      <c r="D32" s="151"/>
    </row>
    <row r="33" spans="1:4" x14ac:dyDescent="0.3">
      <c r="A33" s="50" t="s">
        <v>429</v>
      </c>
      <c r="B33" s="208"/>
      <c r="C33" s="155"/>
      <c r="D33" s="156"/>
    </row>
    <row r="35" spans="1:4" x14ac:dyDescent="0.3">
      <c r="A35" s="233" t="s">
        <v>430</v>
      </c>
      <c r="B35" s="151"/>
      <c r="C35" s="151"/>
      <c r="D35" s="151"/>
    </row>
    <row r="36" spans="1:4" x14ac:dyDescent="0.3">
      <c r="A36" s="51" t="s">
        <v>147</v>
      </c>
      <c r="B36" s="51" t="s">
        <v>366</v>
      </c>
      <c r="C36" s="51" t="s">
        <v>367</v>
      </c>
      <c r="D36" s="51" t="s">
        <v>151</v>
      </c>
    </row>
    <row r="37" spans="1:4" x14ac:dyDescent="0.3">
      <c r="A37" s="52" t="s">
        <v>431</v>
      </c>
      <c r="B37" s="53">
        <v>10000</v>
      </c>
      <c r="C37" s="53">
        <v>5000</v>
      </c>
      <c r="D37" s="54">
        <f t="shared" ref="D37:D44" si="0">IF(AND(B37&lt;&gt;0,C37&lt;&gt;0),(B37-C37)/C37,"")</f>
        <v>1</v>
      </c>
    </row>
    <row r="38" spans="1:4" x14ac:dyDescent="0.3">
      <c r="A38" s="52" t="s">
        <v>432</v>
      </c>
      <c r="B38" s="53"/>
      <c r="C38" s="53"/>
      <c r="D38" s="54" t="str">
        <f t="shared" si="0"/>
        <v/>
      </c>
    </row>
    <row r="39" spans="1:4" x14ac:dyDescent="0.3">
      <c r="A39" s="52" t="s">
        <v>433</v>
      </c>
      <c r="B39" s="53"/>
      <c r="C39" s="53"/>
      <c r="D39" s="54" t="str">
        <f t="shared" si="0"/>
        <v/>
      </c>
    </row>
    <row r="40" spans="1:4" x14ac:dyDescent="0.3">
      <c r="A40" s="52" t="s">
        <v>434</v>
      </c>
      <c r="B40" s="53"/>
      <c r="C40" s="53"/>
      <c r="D40" s="54" t="str">
        <f t="shared" si="0"/>
        <v/>
      </c>
    </row>
    <row r="41" spans="1:4" x14ac:dyDescent="0.3">
      <c r="A41" s="52" t="s">
        <v>158</v>
      </c>
      <c r="B41" s="53"/>
      <c r="C41" s="53"/>
      <c r="D41" s="54" t="str">
        <f t="shared" si="0"/>
        <v/>
      </c>
    </row>
    <row r="42" spans="1:4" x14ac:dyDescent="0.3">
      <c r="A42" s="52" t="s">
        <v>435</v>
      </c>
      <c r="B42" s="53"/>
      <c r="C42" s="53"/>
      <c r="D42" s="54" t="str">
        <f t="shared" si="0"/>
        <v/>
      </c>
    </row>
    <row r="43" spans="1:4" x14ac:dyDescent="0.3">
      <c r="A43" s="52" t="s">
        <v>436</v>
      </c>
      <c r="B43" s="53"/>
      <c r="C43" s="53"/>
      <c r="D43" s="54" t="str">
        <f t="shared" si="0"/>
        <v/>
      </c>
    </row>
    <row r="44" spans="1:4" x14ac:dyDescent="0.3">
      <c r="A44" s="52" t="s">
        <v>154</v>
      </c>
      <c r="B44" s="53"/>
      <c r="C44" s="53"/>
      <c r="D44" s="54" t="str">
        <f t="shared" si="0"/>
        <v/>
      </c>
    </row>
    <row r="46" spans="1:4" x14ac:dyDescent="0.3">
      <c r="A46" s="233" t="s">
        <v>437</v>
      </c>
      <c r="B46" s="151"/>
      <c r="C46" s="151"/>
      <c r="D46" s="151"/>
    </row>
    <row r="47" spans="1:4" x14ac:dyDescent="0.3">
      <c r="A47" s="51" t="s">
        <v>438</v>
      </c>
      <c r="B47" s="51" t="s">
        <v>139</v>
      </c>
      <c r="C47" s="51" t="s">
        <v>439</v>
      </c>
      <c r="D47" s="51" t="s">
        <v>289</v>
      </c>
    </row>
    <row r="48" spans="1:4" x14ac:dyDescent="0.3">
      <c r="A48" s="52" t="s">
        <v>440</v>
      </c>
      <c r="B48" s="55"/>
      <c r="C48" s="55"/>
      <c r="D48" s="47"/>
    </row>
    <row r="49" spans="1:4" x14ac:dyDescent="0.3">
      <c r="A49" s="52" t="s">
        <v>441</v>
      </c>
      <c r="B49" s="55"/>
      <c r="C49" s="55"/>
      <c r="D49" s="47"/>
    </row>
    <row r="50" spans="1:4" x14ac:dyDescent="0.3">
      <c r="A50" s="52" t="s">
        <v>442</v>
      </c>
      <c r="B50" s="55"/>
      <c r="C50" s="55"/>
      <c r="D50" s="47"/>
    </row>
    <row r="51" spans="1:4" x14ac:dyDescent="0.3">
      <c r="A51" s="52" t="s">
        <v>443</v>
      </c>
      <c r="B51" s="55"/>
      <c r="C51" s="55"/>
      <c r="D51" s="47"/>
    </row>
    <row r="52" spans="1:4" x14ac:dyDescent="0.3">
      <c r="A52" s="52" t="s">
        <v>444</v>
      </c>
      <c r="B52" s="55"/>
      <c r="C52" s="55"/>
      <c r="D52" s="47"/>
    </row>
    <row r="53" spans="1:4" x14ac:dyDescent="0.3">
      <c r="A53" s="52" t="s">
        <v>445</v>
      </c>
      <c r="B53" s="55"/>
      <c r="C53" s="55"/>
      <c r="D53" s="47"/>
    </row>
    <row r="54" spans="1:4" x14ac:dyDescent="0.3">
      <c r="A54" s="52" t="s">
        <v>446</v>
      </c>
      <c r="B54" s="55"/>
      <c r="C54" s="55"/>
      <c r="D54" s="47"/>
    </row>
    <row r="55" spans="1:4" x14ac:dyDescent="0.3">
      <c r="A55" s="52" t="s">
        <v>447</v>
      </c>
      <c r="B55" s="55"/>
      <c r="C55" s="55"/>
      <c r="D55" s="47"/>
    </row>
    <row r="57" spans="1:4" x14ac:dyDescent="0.3">
      <c r="A57" s="233" t="s">
        <v>448</v>
      </c>
      <c r="B57" s="151"/>
      <c r="C57" s="151"/>
      <c r="D57" s="151"/>
    </row>
    <row r="58" spans="1:4" x14ac:dyDescent="0.3">
      <c r="A58" s="50" t="s">
        <v>449</v>
      </c>
      <c r="B58" s="208"/>
      <c r="C58" s="155"/>
      <c r="D58" s="156"/>
    </row>
    <row r="59" spans="1:4" x14ac:dyDescent="0.3">
      <c r="A59" s="50" t="s">
        <v>450</v>
      </c>
      <c r="B59" s="208"/>
      <c r="C59" s="155"/>
      <c r="D59" s="156"/>
    </row>
    <row r="60" spans="1:4" x14ac:dyDescent="0.3">
      <c r="A60" s="50" t="s">
        <v>451</v>
      </c>
      <c r="B60" s="208"/>
      <c r="C60" s="155"/>
      <c r="D60" s="156"/>
    </row>
    <row r="61" spans="1:4" x14ac:dyDescent="0.3">
      <c r="A61" s="50" t="s">
        <v>452</v>
      </c>
      <c r="B61" s="208"/>
      <c r="C61" s="155"/>
      <c r="D61" s="156"/>
    </row>
    <row r="62" spans="1:4" x14ac:dyDescent="0.3">
      <c r="A62" s="50" t="s">
        <v>453</v>
      </c>
      <c r="B62" s="208"/>
      <c r="C62" s="155"/>
      <c r="D62" s="156"/>
    </row>
    <row r="63" spans="1:4" x14ac:dyDescent="0.3">
      <c r="A63" s="50" t="s">
        <v>454</v>
      </c>
      <c r="B63" s="208"/>
      <c r="C63" s="155"/>
      <c r="D63" s="156"/>
    </row>
    <row r="64" spans="1:4" x14ac:dyDescent="0.3">
      <c r="A64" s="50" t="s">
        <v>455</v>
      </c>
      <c r="B64" s="208"/>
      <c r="C64" s="155"/>
      <c r="D64" s="156"/>
    </row>
    <row r="66" spans="1:4" x14ac:dyDescent="0.3">
      <c r="A66" s="233" t="s">
        <v>456</v>
      </c>
      <c r="B66" s="151"/>
      <c r="C66" s="151"/>
      <c r="D66" s="151"/>
    </row>
    <row r="67" spans="1:4" x14ac:dyDescent="0.3">
      <c r="A67" s="51" t="s">
        <v>457</v>
      </c>
      <c r="B67" s="235" t="s">
        <v>181</v>
      </c>
      <c r="C67" s="151"/>
      <c r="D67" s="51" t="s">
        <v>292</v>
      </c>
    </row>
    <row r="68" spans="1:4" x14ac:dyDescent="0.3">
      <c r="A68" s="52" t="s">
        <v>293</v>
      </c>
      <c r="B68" s="208"/>
      <c r="C68" s="156"/>
      <c r="D68" s="47" t="s">
        <v>107</v>
      </c>
    </row>
    <row r="69" spans="1:4" x14ac:dyDescent="0.3">
      <c r="A69" s="52" t="s">
        <v>187</v>
      </c>
      <c r="B69" s="208"/>
      <c r="C69" s="156"/>
      <c r="D69" s="47"/>
    </row>
    <row r="70" spans="1:4" x14ac:dyDescent="0.3">
      <c r="A70" s="52" t="s">
        <v>294</v>
      </c>
      <c r="B70" s="208"/>
      <c r="C70" s="156"/>
      <c r="D70" s="47"/>
    </row>
    <row r="71" spans="1:4" x14ac:dyDescent="0.3">
      <c r="A71" s="52" t="s">
        <v>295</v>
      </c>
      <c r="B71" s="208"/>
      <c r="C71" s="156"/>
      <c r="D71" s="47"/>
    </row>
    <row r="72" spans="1:4" x14ac:dyDescent="0.3">
      <c r="A72" s="52" t="s">
        <v>458</v>
      </c>
      <c r="B72" s="208"/>
      <c r="C72" s="156"/>
      <c r="D72" s="47"/>
    </row>
    <row r="73" spans="1:4" x14ac:dyDescent="0.3">
      <c r="A73" s="52" t="s">
        <v>459</v>
      </c>
      <c r="B73" s="208"/>
      <c r="C73" s="156"/>
      <c r="D73" s="47"/>
    </row>
    <row r="74" spans="1:4" x14ac:dyDescent="0.3">
      <c r="A74" s="52" t="s">
        <v>460</v>
      </c>
      <c r="B74" s="208"/>
      <c r="C74" s="156"/>
      <c r="D74" s="47"/>
    </row>
    <row r="76" spans="1:4" x14ac:dyDescent="0.3">
      <c r="A76" s="233" t="s">
        <v>461</v>
      </c>
      <c r="B76" s="151"/>
      <c r="C76" s="151"/>
      <c r="D76" s="151"/>
    </row>
    <row r="77" spans="1:4" x14ac:dyDescent="0.3">
      <c r="A77" s="51" t="s">
        <v>462</v>
      </c>
      <c r="B77" s="51" t="s">
        <v>463</v>
      </c>
      <c r="C77" s="51" t="s">
        <v>241</v>
      </c>
      <c r="D77" s="51" t="s">
        <v>242</v>
      </c>
    </row>
    <row r="78" spans="1:4" x14ac:dyDescent="0.3">
      <c r="A78" s="52" t="s">
        <v>464</v>
      </c>
      <c r="B78" s="49" t="s">
        <v>475</v>
      </c>
      <c r="C78" s="47" t="s">
        <v>320</v>
      </c>
      <c r="D78" s="47" t="s">
        <v>474</v>
      </c>
    </row>
    <row r="79" spans="1:4" x14ac:dyDescent="0.3">
      <c r="A79" s="52" t="s">
        <v>465</v>
      </c>
      <c r="B79" s="49"/>
      <c r="C79" s="47"/>
      <c r="D79" s="47"/>
    </row>
    <row r="80" spans="1:4" x14ac:dyDescent="0.3">
      <c r="A80" s="52" t="s">
        <v>466</v>
      </c>
      <c r="B80" s="49"/>
      <c r="C80" s="47"/>
      <c r="D80" s="47"/>
    </row>
    <row r="81" spans="1:4" x14ac:dyDescent="0.3">
      <c r="A81" s="52" t="s">
        <v>467</v>
      </c>
      <c r="B81" s="49"/>
      <c r="C81" s="47"/>
      <c r="D81" s="47"/>
    </row>
    <row r="82" spans="1:4" x14ac:dyDescent="0.3">
      <c r="A82" s="52" t="s">
        <v>468</v>
      </c>
      <c r="B82" s="49"/>
      <c r="C82" s="47"/>
      <c r="D82" s="47"/>
    </row>
    <row r="83" spans="1:4" x14ac:dyDescent="0.3">
      <c r="A83" s="52" t="s">
        <v>469</v>
      </c>
      <c r="B83" s="49"/>
      <c r="C83" s="47"/>
      <c r="D83" s="47"/>
    </row>
    <row r="84" spans="1:4" x14ac:dyDescent="0.3">
      <c r="A84" s="52" t="s">
        <v>470</v>
      </c>
      <c r="B84" s="49"/>
      <c r="C84" s="47"/>
      <c r="D84" s="47"/>
    </row>
    <row r="86" spans="1:4" x14ac:dyDescent="0.3">
      <c r="A86" s="233" t="s">
        <v>471</v>
      </c>
      <c r="B86" s="151"/>
      <c r="C86" s="151"/>
      <c r="D86" s="151"/>
    </row>
    <row r="87" spans="1:4" x14ac:dyDescent="0.3">
      <c r="A87" s="129" t="s">
        <v>472</v>
      </c>
      <c r="B87" s="208"/>
      <c r="C87" s="222"/>
      <c r="D87" s="223"/>
    </row>
    <row r="88" spans="1:4" x14ac:dyDescent="0.3">
      <c r="B88" s="224"/>
      <c r="C88" s="151"/>
      <c r="D88" s="225"/>
    </row>
    <row r="89" spans="1:4" x14ac:dyDescent="0.3">
      <c r="B89" s="224"/>
      <c r="C89" s="151"/>
      <c r="D89" s="225"/>
    </row>
    <row r="90" spans="1:4" x14ac:dyDescent="0.3">
      <c r="B90" s="226"/>
      <c r="C90" s="227"/>
      <c r="D90" s="228"/>
    </row>
    <row r="91" spans="1:4" x14ac:dyDescent="0.3">
      <c r="A91" s="129" t="s">
        <v>473</v>
      </c>
      <c r="B91" s="208"/>
      <c r="C91" s="222"/>
      <c r="D91" s="223"/>
    </row>
    <row r="92" spans="1:4" x14ac:dyDescent="0.3">
      <c r="B92" s="224"/>
      <c r="C92" s="151"/>
      <c r="D92" s="225"/>
    </row>
    <row r="93" spans="1:4" x14ac:dyDescent="0.3">
      <c r="B93" s="224"/>
      <c r="C93" s="151"/>
      <c r="D93" s="225"/>
    </row>
    <row r="94" spans="1:4" x14ac:dyDescent="0.3">
      <c r="B94" s="226"/>
      <c r="C94" s="227"/>
      <c r="D94" s="228"/>
    </row>
    <row r="105" spans="1:6" x14ac:dyDescent="0.3">
      <c r="A105" s="139" t="s">
        <v>662</v>
      </c>
      <c r="B105" s="131"/>
      <c r="D105" s="139" t="s">
        <v>663</v>
      </c>
      <c r="E105" s="131"/>
      <c r="F105" s="131"/>
    </row>
    <row r="106" spans="1:6" x14ac:dyDescent="0.3">
      <c r="A106" s="140" t="s">
        <v>664</v>
      </c>
      <c r="D106" s="140" t="s">
        <v>664</v>
      </c>
    </row>
    <row r="122" spans="1:1" x14ac:dyDescent="0.3">
      <c r="A122" s="127" t="str">
        <f>HYPERLINK("#'INDICE'!A4","&lt;&lt; Volver al Indice")</f>
        <v>&lt;&lt; Volver al Indice</v>
      </c>
    </row>
  </sheetData>
  <mergeCells count="42">
    <mergeCell ref="B87:D90"/>
    <mergeCell ref="B91:D94"/>
    <mergeCell ref="B72:C72"/>
    <mergeCell ref="B73:C73"/>
    <mergeCell ref="B74:C74"/>
    <mergeCell ref="A76:D76"/>
    <mergeCell ref="A86:D86"/>
    <mergeCell ref="B67:C67"/>
    <mergeCell ref="B68:C68"/>
    <mergeCell ref="B69:C69"/>
    <mergeCell ref="B70:C70"/>
    <mergeCell ref="B71:C71"/>
    <mergeCell ref="B61:D61"/>
    <mergeCell ref="B62:D62"/>
    <mergeCell ref="B63:D63"/>
    <mergeCell ref="B64:D64"/>
    <mergeCell ref="A66:D66"/>
    <mergeCell ref="A46:D46"/>
    <mergeCell ref="A57:D57"/>
    <mergeCell ref="B58:D58"/>
    <mergeCell ref="B59:D59"/>
    <mergeCell ref="B60:D60"/>
    <mergeCell ref="B30:D30"/>
    <mergeCell ref="B31:D31"/>
    <mergeCell ref="B32:D32"/>
    <mergeCell ref="B33:D33"/>
    <mergeCell ref="A35:D35"/>
    <mergeCell ref="B21:D24"/>
    <mergeCell ref="A26:D26"/>
    <mergeCell ref="B27:D27"/>
    <mergeCell ref="B28:D28"/>
    <mergeCell ref="B29:D29"/>
    <mergeCell ref="B15:D15"/>
    <mergeCell ref="B16:D16"/>
    <mergeCell ref="B17:D17"/>
    <mergeCell ref="B18:D18"/>
    <mergeCell ref="A20:D20"/>
    <mergeCell ref="A10:D10"/>
    <mergeCell ref="A11:D11"/>
    <mergeCell ref="B12:D12"/>
    <mergeCell ref="B13:D13"/>
    <mergeCell ref="B14:D14"/>
  </mergeCells>
  <conditionalFormatting sqref="C78:D84">
    <cfRule type="cellIs" dxfId="56" priority="10" operator="equal">
      <formula>"Alto"</formula>
    </cfRule>
    <cfRule type="cellIs" dxfId="55" priority="11" operator="equal">
      <formula>"Medio"</formula>
    </cfRule>
    <cfRule type="cellIs" dxfId="54" priority="12" operator="equal">
      <formula>"Bajo"</formula>
    </cfRule>
  </conditionalFormatting>
  <conditionalFormatting sqref="D37:D44">
    <cfRule type="cellIs" dxfId="53" priority="1" operator="greaterThan">
      <formula>0</formula>
    </cfRule>
    <cfRule type="cellIs" dxfId="52" priority="2" operator="lessThan">
      <formula>0</formula>
    </cfRule>
  </conditionalFormatting>
  <conditionalFormatting sqref="D48:D55">
    <cfRule type="cellIs" dxfId="51" priority="3" operator="equal">
      <formula>"Satisfactorio"</formula>
    </cfRule>
    <cfRule type="cellIs" dxfId="50" priority="4" operator="equal">
      <formula>"Aceptable"</formula>
    </cfRule>
    <cfRule type="cellIs" dxfId="49" priority="5" operator="equal">
      <formula>"Requiere Atención"</formula>
    </cfRule>
    <cfRule type="cellIs" dxfId="48" priority="6" operator="equal">
      <formula>"Crítico"</formula>
    </cfRule>
  </conditionalFormatting>
  <conditionalFormatting sqref="D68:D74">
    <cfRule type="cellIs" dxfId="47" priority="7" operator="equal">
      <formula>"Efectivo"</formula>
    </cfRule>
    <cfRule type="cellIs" dxfId="46" priority="8" operator="equal">
      <formula>"Parcialmente Efectivo"</formula>
    </cfRule>
    <cfRule type="cellIs" dxfId="45" priority="9" operator="equal">
      <formula>"Inefectivo"</formula>
    </cfRule>
  </conditionalFormatting>
  <dataValidations count="3">
    <dataValidation type="list" allowBlank="1" errorTitle="Nivel Inválido" error="Seleccione un nivel válido" promptTitle="Nivel de Riesgo" prompt="Seleccione: Alto, Medio o Bajo" sqref="C78:D84" xr:uid="{00000000-0002-0000-1100-000000000000}">
      <formula1>"Alto,Medio,Bajo"</formula1>
    </dataValidation>
    <dataValidation type="list" allowBlank="1" errorTitle="Calificación Inválida" error="Seleccione una calificación válida" promptTitle="Calificación del Control" prompt="Efectivo / Parcialmente Efectivo / Inefectivo / No Aplica" sqref="D68:D74" xr:uid="{00000000-0002-0000-1100-000001000000}">
      <formula1>"Efectivo,Parcialmente Efectivo,Inefectivo,No Aplica"</formula1>
    </dataValidation>
    <dataValidation type="list" allowBlank="1" errorTitle="Evaluación Inválida" error="Seleccione una evaluación válida" promptTitle="Evaluación del Indicador" prompt="Seleccione: Satisfactorio, Aceptable, Requiere Atención o Crítico" sqref="D48:D55" xr:uid="{00000000-0002-0000-1100-000002000000}">
      <formula1>"Satisfactorio,Aceptable,Requiere Atención,Crítico"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H107"/>
  <sheetViews>
    <sheetView workbookViewId="0">
      <selection activeCell="C8" sqref="C8"/>
    </sheetView>
  </sheetViews>
  <sheetFormatPr baseColWidth="10" defaultColWidth="9.109375" defaultRowHeight="15.05" x14ac:dyDescent="0.3"/>
  <cols>
    <col min="1" max="1" width="20" customWidth="1"/>
    <col min="2" max="2" width="30" customWidth="1"/>
    <col min="3" max="3" width="33.109375" bestFit="1" customWidth="1"/>
    <col min="4" max="4" width="12" customWidth="1"/>
    <col min="5" max="5" width="15" customWidth="1"/>
    <col min="6" max="6" width="34.6640625" customWidth="1"/>
    <col min="7" max="7" width="17.33203125" customWidth="1"/>
    <col min="8" max="8" width="11.5546875" customWidth="1"/>
  </cols>
  <sheetData>
    <row r="3" spans="1:8" x14ac:dyDescent="0.3">
      <c r="C3" s="121"/>
    </row>
    <row r="4" spans="1:8" ht="21.8" customHeight="1" x14ac:dyDescent="0.3">
      <c r="H4" s="146" t="s">
        <v>40</v>
      </c>
    </row>
    <row r="5" spans="1:8" x14ac:dyDescent="0.3">
      <c r="C5" s="120" t="s">
        <v>685</v>
      </c>
    </row>
    <row r="6" spans="1:8" x14ac:dyDescent="0.3">
      <c r="C6" s="125" t="s">
        <v>682</v>
      </c>
      <c r="G6" s="58" t="s">
        <v>652</v>
      </c>
      <c r="H6" s="58"/>
    </row>
    <row r="7" spans="1:8" x14ac:dyDescent="0.3">
      <c r="C7" s="120" t="s">
        <v>686</v>
      </c>
      <c r="G7" s="58" t="s">
        <v>653</v>
      </c>
      <c r="H7" s="58"/>
    </row>
    <row r="8" spans="1:8" x14ac:dyDescent="0.3">
      <c r="C8" s="120" t="s">
        <v>689</v>
      </c>
      <c r="G8" s="58" t="s">
        <v>654</v>
      </c>
      <c r="H8" s="58"/>
    </row>
    <row r="9" spans="1:8" x14ac:dyDescent="0.3">
      <c r="G9" s="58" t="s">
        <v>655</v>
      </c>
      <c r="H9" s="58"/>
    </row>
    <row r="10" spans="1:8" ht="29.95" customHeight="1" x14ac:dyDescent="0.3">
      <c r="A10" s="160" t="s">
        <v>237</v>
      </c>
      <c r="B10" s="151"/>
      <c r="C10" s="151"/>
      <c r="D10" s="151"/>
      <c r="E10" s="151"/>
      <c r="F10" s="151"/>
    </row>
    <row r="12" spans="1:8" ht="24.9" customHeight="1" x14ac:dyDescent="0.3">
      <c r="A12" s="157" t="s">
        <v>238</v>
      </c>
      <c r="B12" s="151"/>
      <c r="C12" s="151"/>
      <c r="D12" s="151"/>
      <c r="E12" s="151"/>
      <c r="F12" s="151"/>
    </row>
    <row r="13" spans="1:8" x14ac:dyDescent="0.3">
      <c r="A13" s="22" t="s">
        <v>239</v>
      </c>
      <c r="B13" s="22" t="s">
        <v>240</v>
      </c>
      <c r="C13" s="22" t="s">
        <v>241</v>
      </c>
      <c r="D13" s="22" t="s">
        <v>242</v>
      </c>
      <c r="E13" s="22" t="s">
        <v>243</v>
      </c>
      <c r="F13" s="22" t="s">
        <v>244</v>
      </c>
    </row>
    <row r="14" spans="1:8" x14ac:dyDescent="0.3">
      <c r="A14" s="17"/>
      <c r="B14" s="17"/>
      <c r="C14" s="147" t="s">
        <v>676</v>
      </c>
      <c r="D14" s="147" t="s">
        <v>677</v>
      </c>
      <c r="E14" s="147" t="s">
        <v>661</v>
      </c>
      <c r="F14" s="17"/>
    </row>
    <row r="15" spans="1:8" x14ac:dyDescent="0.3">
      <c r="A15" s="17"/>
      <c r="B15" s="17"/>
      <c r="C15" s="17"/>
      <c r="D15" s="17"/>
      <c r="E15" s="17"/>
      <c r="F15" s="17"/>
    </row>
    <row r="16" spans="1:8" x14ac:dyDescent="0.3">
      <c r="A16" s="17"/>
      <c r="B16" s="17"/>
      <c r="C16" s="17"/>
      <c r="D16" s="17"/>
      <c r="E16" s="17"/>
      <c r="F16" s="17"/>
    </row>
    <row r="17" spans="1:6" x14ac:dyDescent="0.3">
      <c r="A17" s="17"/>
      <c r="B17" s="17"/>
      <c r="C17" s="17"/>
      <c r="D17" s="17"/>
      <c r="E17" s="17"/>
      <c r="F17" s="17"/>
    </row>
    <row r="18" spans="1:6" x14ac:dyDescent="0.3">
      <c r="A18" s="17"/>
      <c r="B18" s="17"/>
      <c r="C18" s="17"/>
      <c r="D18" s="17"/>
      <c r="E18" s="17"/>
      <c r="F18" s="17"/>
    </row>
    <row r="19" spans="1:6" x14ac:dyDescent="0.3">
      <c r="A19" s="17"/>
      <c r="B19" s="17"/>
      <c r="C19" s="17"/>
      <c r="D19" s="17"/>
      <c r="E19" s="17"/>
      <c r="F19" s="17"/>
    </row>
    <row r="20" spans="1:6" x14ac:dyDescent="0.3">
      <c r="A20" s="17"/>
      <c r="B20" s="17"/>
      <c r="C20" s="17"/>
      <c r="D20" s="17"/>
      <c r="E20" s="17"/>
      <c r="F20" s="17"/>
    </row>
    <row r="21" spans="1:6" x14ac:dyDescent="0.3">
      <c r="A21" s="17"/>
      <c r="B21" s="17"/>
      <c r="C21" s="17"/>
      <c r="D21" s="17"/>
      <c r="E21" s="17"/>
      <c r="F21" s="17"/>
    </row>
    <row r="22" spans="1:6" x14ac:dyDescent="0.3">
      <c r="A22" s="17"/>
      <c r="B22" s="17"/>
      <c r="C22" s="17"/>
      <c r="D22" s="17"/>
      <c r="E22" s="17"/>
      <c r="F22" s="17"/>
    </row>
    <row r="23" spans="1:6" x14ac:dyDescent="0.3">
      <c r="A23" s="17"/>
      <c r="B23" s="17"/>
      <c r="C23" s="17"/>
      <c r="D23" s="17"/>
      <c r="E23" s="17"/>
      <c r="F23" s="17"/>
    </row>
    <row r="24" spans="1:6" x14ac:dyDescent="0.3">
      <c r="A24" s="17"/>
      <c r="B24" s="17"/>
      <c r="C24" s="17"/>
      <c r="D24" s="17"/>
      <c r="E24" s="17"/>
      <c r="F24" s="17"/>
    </row>
    <row r="25" spans="1:6" x14ac:dyDescent="0.3">
      <c r="A25" s="17"/>
      <c r="B25" s="17"/>
      <c r="C25" s="17"/>
      <c r="D25" s="17"/>
      <c r="E25" s="17"/>
      <c r="F25" s="17"/>
    </row>
    <row r="26" spans="1:6" x14ac:dyDescent="0.3">
      <c r="A26" s="17"/>
      <c r="B26" s="17"/>
      <c r="C26" s="17"/>
      <c r="D26" s="17"/>
      <c r="E26" s="17"/>
      <c r="F26" s="17"/>
    </row>
    <row r="27" spans="1:6" x14ac:dyDescent="0.3">
      <c r="A27" s="17"/>
      <c r="B27" s="17"/>
      <c r="C27" s="17"/>
      <c r="D27" s="17"/>
      <c r="E27" s="17"/>
      <c r="F27" s="17"/>
    </row>
    <row r="28" spans="1:6" x14ac:dyDescent="0.3">
      <c r="A28" s="17"/>
      <c r="B28" s="17"/>
      <c r="C28" s="17"/>
      <c r="D28" s="17"/>
      <c r="E28" s="17"/>
      <c r="F28" s="17"/>
    </row>
    <row r="29" spans="1:6" x14ac:dyDescent="0.3">
      <c r="A29" s="17"/>
      <c r="B29" s="17"/>
      <c r="C29" s="17"/>
      <c r="D29" s="17"/>
      <c r="E29" s="17"/>
      <c r="F29" s="17"/>
    </row>
    <row r="30" spans="1:6" x14ac:dyDescent="0.3">
      <c r="A30" s="17"/>
      <c r="B30" s="17"/>
      <c r="C30" s="17"/>
      <c r="D30" s="17"/>
      <c r="E30" s="17"/>
      <c r="F30" s="17"/>
    </row>
    <row r="31" spans="1:6" x14ac:dyDescent="0.3">
      <c r="A31" s="17"/>
      <c r="B31" s="17"/>
      <c r="C31" s="17"/>
      <c r="D31" s="17"/>
      <c r="E31" s="17"/>
      <c r="F31" s="17"/>
    </row>
    <row r="32" spans="1:6" x14ac:dyDescent="0.3">
      <c r="A32" s="17"/>
      <c r="B32" s="17"/>
      <c r="C32" s="17"/>
      <c r="D32" s="17"/>
      <c r="E32" s="17"/>
      <c r="F32" s="17"/>
    </row>
    <row r="33" spans="1:6" x14ac:dyDescent="0.3">
      <c r="A33" s="17"/>
      <c r="B33" s="17"/>
      <c r="C33" s="17"/>
      <c r="D33" s="17"/>
      <c r="E33" s="17"/>
      <c r="F33" s="17"/>
    </row>
    <row r="35" spans="1:6" ht="24.9" customHeight="1" x14ac:dyDescent="0.3">
      <c r="A35" s="157" t="s">
        <v>245</v>
      </c>
      <c r="B35" s="151"/>
      <c r="C35" s="151"/>
      <c r="D35" s="151"/>
      <c r="E35" s="151"/>
      <c r="F35" s="151"/>
    </row>
    <row r="36" spans="1:6" x14ac:dyDescent="0.3">
      <c r="A36" s="236" t="s">
        <v>246</v>
      </c>
      <c r="B36" s="194"/>
      <c r="C36" s="236" t="s">
        <v>247</v>
      </c>
      <c r="D36" s="194"/>
      <c r="E36" s="236" t="s">
        <v>248</v>
      </c>
      <c r="F36" s="194"/>
    </row>
    <row r="37" spans="1:6" ht="29.95" customHeight="1" x14ac:dyDescent="0.3">
      <c r="A37" s="214" t="s">
        <v>249</v>
      </c>
      <c r="B37" s="194"/>
      <c r="C37" s="214" t="s">
        <v>250</v>
      </c>
      <c r="D37" s="194"/>
      <c r="E37" s="58">
        <v>5</v>
      </c>
      <c r="F37" s="58"/>
    </row>
    <row r="38" spans="1:6" ht="29.95" customHeight="1" x14ac:dyDescent="0.3">
      <c r="A38" s="214" t="s">
        <v>251</v>
      </c>
      <c r="B38" s="194"/>
      <c r="C38" s="214" t="s">
        <v>252</v>
      </c>
      <c r="D38" s="194"/>
      <c r="E38" s="58"/>
      <c r="F38" s="58"/>
    </row>
    <row r="39" spans="1:6" ht="29.95" customHeight="1" x14ac:dyDescent="0.3">
      <c r="A39" s="214" t="s">
        <v>253</v>
      </c>
      <c r="B39" s="194"/>
      <c r="C39" s="214" t="s">
        <v>254</v>
      </c>
      <c r="D39" s="194"/>
      <c r="E39" s="58"/>
      <c r="F39" s="58"/>
    </row>
    <row r="41" spans="1:6" x14ac:dyDescent="0.3">
      <c r="E41" s="32" t="s">
        <v>255</v>
      </c>
      <c r="F41" s="29" t="s">
        <v>256</v>
      </c>
    </row>
    <row r="42" spans="1:6" x14ac:dyDescent="0.3">
      <c r="E42" s="33" t="s">
        <v>257</v>
      </c>
      <c r="F42" s="29" t="s">
        <v>258</v>
      </c>
    </row>
    <row r="43" spans="1:6" x14ac:dyDescent="0.3">
      <c r="E43" s="34" t="s">
        <v>259</v>
      </c>
      <c r="F43" s="29" t="s">
        <v>260</v>
      </c>
    </row>
    <row r="44" spans="1:6" x14ac:dyDescent="0.3">
      <c r="E44" s="35" t="s">
        <v>261</v>
      </c>
      <c r="F44" s="29" t="s">
        <v>262</v>
      </c>
    </row>
    <row r="46" spans="1:6" ht="24.9" customHeight="1" x14ac:dyDescent="0.3">
      <c r="A46" s="157" t="s">
        <v>263</v>
      </c>
      <c r="B46" s="151"/>
      <c r="C46" s="151"/>
      <c r="D46" s="151"/>
      <c r="E46" s="151"/>
      <c r="F46" s="151"/>
    </row>
    <row r="47" spans="1:6" x14ac:dyDescent="0.3">
      <c r="A47" s="190" t="s">
        <v>264</v>
      </c>
      <c r="B47" s="194"/>
      <c r="C47" s="194"/>
      <c r="D47" s="190" t="s">
        <v>265</v>
      </c>
      <c r="E47" s="194"/>
      <c r="F47" s="23" t="s">
        <v>266</v>
      </c>
    </row>
    <row r="48" spans="1:6" x14ac:dyDescent="0.3">
      <c r="A48" s="192" t="s">
        <v>255</v>
      </c>
      <c r="B48" s="194"/>
      <c r="C48" s="194"/>
      <c r="D48" s="200">
        <v>5</v>
      </c>
      <c r="E48" s="194"/>
      <c r="F48" s="36"/>
    </row>
    <row r="49" spans="1:6" x14ac:dyDescent="0.3">
      <c r="A49" s="195" t="s">
        <v>257</v>
      </c>
      <c r="B49" s="194"/>
      <c r="C49" s="194"/>
      <c r="D49" s="200">
        <f>COUNTIF(E14:E33,"ALTO")</f>
        <v>0</v>
      </c>
      <c r="E49" s="194"/>
      <c r="F49" s="36"/>
    </row>
    <row r="50" spans="1:6" x14ac:dyDescent="0.3">
      <c r="A50" s="239" t="s">
        <v>259</v>
      </c>
      <c r="B50" s="151"/>
      <c r="C50" s="151"/>
      <c r="D50" s="200">
        <f>COUNTIF(E14:E33,"MEDIO")</f>
        <v>0</v>
      </c>
      <c r="E50" s="194"/>
      <c r="F50" s="36"/>
    </row>
    <row r="51" spans="1:6" x14ac:dyDescent="0.3">
      <c r="A51" s="197" t="s">
        <v>261</v>
      </c>
      <c r="B51" s="194"/>
      <c r="C51" s="194"/>
      <c r="D51" s="238">
        <f>COUNTIF(E14:E33,"BAJO")</f>
        <v>0</v>
      </c>
      <c r="E51" s="151"/>
      <c r="F51" s="36"/>
    </row>
    <row r="52" spans="1:6" x14ac:dyDescent="0.3">
      <c r="A52" s="207" t="s">
        <v>267</v>
      </c>
      <c r="B52" s="151"/>
      <c r="C52" s="151"/>
      <c r="D52" s="237">
        <f>SUM(D48:D51)</f>
        <v>5</v>
      </c>
      <c r="E52" s="151"/>
      <c r="F52" s="37" t="s">
        <v>268</v>
      </c>
    </row>
    <row r="62" spans="1:6" x14ac:dyDescent="0.3">
      <c r="A62" s="138" t="s">
        <v>662</v>
      </c>
      <c r="B62" s="131"/>
      <c r="C62" s="131"/>
      <c r="D62" s="138" t="s">
        <v>663</v>
      </c>
      <c r="E62" s="131"/>
      <c r="F62" s="131"/>
    </row>
    <row r="63" spans="1:6" x14ac:dyDescent="0.3">
      <c r="A63" s="140" t="s">
        <v>664</v>
      </c>
      <c r="D63" s="140" t="s">
        <v>664</v>
      </c>
    </row>
    <row r="82" spans="1:1" x14ac:dyDescent="0.3">
      <c r="A82" s="127" t="str">
        <f>HYPERLINK("#'INDICE'!A4","&lt;&lt; Volver al Indice")</f>
        <v>&lt;&lt; Volver al Indice</v>
      </c>
    </row>
    <row r="107" spans="1:1" x14ac:dyDescent="0.3">
      <c r="A107" s="15" t="str">
        <f>HYPERLINK("#'INDICE'!A21","&lt;&lt; Volver al Indice")</f>
        <v>&lt;&lt; Volver al Indice</v>
      </c>
    </row>
  </sheetData>
  <mergeCells count="25">
    <mergeCell ref="A10:F10"/>
    <mergeCell ref="A38:B38"/>
    <mergeCell ref="D51:E51"/>
    <mergeCell ref="C39:D39"/>
    <mergeCell ref="A36:B36"/>
    <mergeCell ref="D49:E49"/>
    <mergeCell ref="A50:C50"/>
    <mergeCell ref="A51:C51"/>
    <mergeCell ref="D50:E50"/>
    <mergeCell ref="A52:C52"/>
    <mergeCell ref="C36:D36"/>
    <mergeCell ref="E36:F36"/>
    <mergeCell ref="A12:F12"/>
    <mergeCell ref="D48:E48"/>
    <mergeCell ref="C38:D38"/>
    <mergeCell ref="A35:F35"/>
    <mergeCell ref="A47:C47"/>
    <mergeCell ref="A39:B39"/>
    <mergeCell ref="A46:F46"/>
    <mergeCell ref="A37:B37"/>
    <mergeCell ref="A48:C48"/>
    <mergeCell ref="C37:D37"/>
    <mergeCell ref="D47:E47"/>
    <mergeCell ref="D52:E52"/>
    <mergeCell ref="A49:C49"/>
  </mergeCells>
  <dataValidations count="2">
    <dataValidation type="list" allowBlank="1" errorTitle="Entrada incorrecta" error="Valor no válido" promptTitle="Probabilidad" prompt="Seleccione: Alta, Media o Baja" sqref="C14:C33 E14:E33" xr:uid="{00000000-0002-0000-1200-000000000000}">
      <formula1>"Alta,Media,Baja"</formula1>
    </dataValidation>
    <dataValidation type="list" allowBlank="1" errorTitle="Entrada incorrecta" error="Valor no válido" promptTitle="Impacto" prompt="Seleccione: Alto, Medio o Bajo" sqref="D14:D33" xr:uid="{00000000-0002-0000-1200-000001000000}">
      <formula1>"Alto,Medio,Bajo"</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sheetPr>
  <dimension ref="A3:F88"/>
  <sheetViews>
    <sheetView workbookViewId="0">
      <selection activeCell="C8" sqref="C8"/>
    </sheetView>
  </sheetViews>
  <sheetFormatPr baseColWidth="10" defaultColWidth="9.109375" defaultRowHeight="15.05" x14ac:dyDescent="0.3"/>
  <cols>
    <col min="1" max="1" width="31.44140625" customWidth="1"/>
    <col min="2" max="4" width="20" customWidth="1"/>
    <col min="5" max="5" width="16.6640625" customWidth="1"/>
    <col min="6" max="6" width="15.33203125" customWidth="1"/>
  </cols>
  <sheetData>
    <row r="3" spans="1:6" x14ac:dyDescent="0.3">
      <c r="C3" s="121"/>
    </row>
    <row r="4" spans="1:6" ht="27" customHeight="1" x14ac:dyDescent="0.3">
      <c r="F4" s="146" t="s">
        <v>42</v>
      </c>
    </row>
    <row r="5" spans="1:6" x14ac:dyDescent="0.3">
      <c r="C5" s="120" t="s">
        <v>685</v>
      </c>
    </row>
    <row r="6" spans="1:6" x14ac:dyDescent="0.3">
      <c r="C6" s="125" t="s">
        <v>682</v>
      </c>
      <c r="E6" s="58" t="s">
        <v>652</v>
      </c>
      <c r="F6" s="58"/>
    </row>
    <row r="7" spans="1:6" x14ac:dyDescent="0.3">
      <c r="C7" s="120" t="s">
        <v>686</v>
      </c>
      <c r="E7" s="58" t="s">
        <v>653</v>
      </c>
      <c r="F7" s="58"/>
    </row>
    <row r="8" spans="1:6" x14ac:dyDescent="0.3">
      <c r="C8" s="120" t="s">
        <v>689</v>
      </c>
      <c r="E8" s="58" t="s">
        <v>654</v>
      </c>
      <c r="F8" s="58"/>
    </row>
    <row r="9" spans="1:6" x14ac:dyDescent="0.3">
      <c r="E9" s="58" t="s">
        <v>655</v>
      </c>
      <c r="F9" s="58"/>
    </row>
    <row r="11" spans="1:6" ht="29.95" customHeight="1" x14ac:dyDescent="0.3">
      <c r="A11" s="243"/>
      <c r="B11" s="243"/>
      <c r="C11" s="243"/>
      <c r="D11" s="243"/>
    </row>
    <row r="13" spans="1:6" x14ac:dyDescent="0.3">
      <c r="A13" s="243" t="s">
        <v>227</v>
      </c>
      <c r="B13" s="243"/>
      <c r="C13" s="243"/>
      <c r="D13" s="243"/>
    </row>
    <row r="14" spans="1:6" x14ac:dyDescent="0.3">
      <c r="A14" s="56" t="s">
        <v>228</v>
      </c>
      <c r="B14" s="57" t="s">
        <v>229</v>
      </c>
      <c r="C14" s="57" t="s">
        <v>230</v>
      </c>
      <c r="D14" s="57" t="s">
        <v>43</v>
      </c>
    </row>
    <row r="15" spans="1:6" x14ac:dyDescent="0.3">
      <c r="A15" s="58" t="s">
        <v>231</v>
      </c>
      <c r="B15" s="59">
        <v>10000</v>
      </c>
      <c r="C15" s="60">
        <v>0.05</v>
      </c>
      <c r="D15" s="61">
        <f>B15*C15</f>
        <v>500</v>
      </c>
    </row>
    <row r="16" spans="1:6" x14ac:dyDescent="0.3">
      <c r="A16" s="58" t="s">
        <v>113</v>
      </c>
      <c r="B16" s="59">
        <v>50000</v>
      </c>
      <c r="C16" s="60">
        <v>0.01</v>
      </c>
      <c r="D16" s="61">
        <f>B16*C16</f>
        <v>500</v>
      </c>
    </row>
    <row r="17" spans="1:4" x14ac:dyDescent="0.3">
      <c r="A17" s="58" t="s">
        <v>232</v>
      </c>
      <c r="B17" s="59">
        <v>1500000</v>
      </c>
      <c r="C17" s="60">
        <v>0.05</v>
      </c>
      <c r="D17" s="61">
        <f>B17*C17</f>
        <v>75000</v>
      </c>
    </row>
    <row r="19" spans="1:4" ht="15.75" x14ac:dyDescent="0.3">
      <c r="A19" s="244" t="s">
        <v>233</v>
      </c>
      <c r="B19" s="244"/>
      <c r="C19" s="62">
        <v>25</v>
      </c>
    </row>
    <row r="20" spans="1:4" x14ac:dyDescent="0.3">
      <c r="A20" s="245" t="s">
        <v>476</v>
      </c>
      <c r="B20" s="245"/>
      <c r="C20" s="245"/>
      <c r="D20" s="245"/>
    </row>
    <row r="22" spans="1:4" x14ac:dyDescent="0.3">
      <c r="A22" s="243" t="s">
        <v>234</v>
      </c>
      <c r="B22" s="243"/>
      <c r="C22" s="243"/>
      <c r="D22" s="243"/>
    </row>
    <row r="23" spans="1:4" x14ac:dyDescent="0.3">
      <c r="A23" s="56" t="s">
        <v>147</v>
      </c>
      <c r="B23" s="57" t="s">
        <v>399</v>
      </c>
      <c r="C23" s="57" t="s">
        <v>229</v>
      </c>
    </row>
    <row r="24" spans="1:4" x14ac:dyDescent="0.3">
      <c r="A24" s="58" t="s">
        <v>235</v>
      </c>
      <c r="B24" s="63">
        <v>0.75</v>
      </c>
      <c r="C24" s="61">
        <v>500</v>
      </c>
    </row>
    <row r="25" spans="1:4" x14ac:dyDescent="0.3">
      <c r="A25" s="58" t="s">
        <v>236</v>
      </c>
      <c r="B25" s="63">
        <v>0.5</v>
      </c>
      <c r="C25" s="61">
        <v>750000</v>
      </c>
    </row>
    <row r="27" spans="1:4" x14ac:dyDescent="0.3">
      <c r="A27" s="240" t="s">
        <v>477</v>
      </c>
      <c r="B27" s="240"/>
      <c r="C27" s="240"/>
      <c r="D27" s="240"/>
    </row>
    <row r="28" spans="1:4" x14ac:dyDescent="0.3">
      <c r="A28" s="64" t="s">
        <v>478</v>
      </c>
      <c r="B28" s="65">
        <v>840000</v>
      </c>
    </row>
    <row r="29" spans="1:4" x14ac:dyDescent="0.3">
      <c r="A29" s="64" t="s">
        <v>479</v>
      </c>
      <c r="B29" s="65">
        <f>C24</f>
        <v>500</v>
      </c>
    </row>
    <row r="30" spans="1:4" x14ac:dyDescent="0.3">
      <c r="A30" s="64" t="s">
        <v>480</v>
      </c>
      <c r="B30" s="65">
        <f>C25</f>
        <v>750000</v>
      </c>
    </row>
    <row r="32" spans="1:4" x14ac:dyDescent="0.3">
      <c r="A32" s="241" t="s">
        <v>481</v>
      </c>
      <c r="B32" s="241"/>
      <c r="C32" s="241"/>
      <c r="D32" s="241"/>
    </row>
    <row r="33" spans="1:6" x14ac:dyDescent="0.3">
      <c r="A33" s="242" t="s">
        <v>482</v>
      </c>
      <c r="B33" s="242"/>
      <c r="C33" s="242"/>
      <c r="D33" s="242"/>
    </row>
    <row r="34" spans="1:6" x14ac:dyDescent="0.3">
      <c r="A34" s="242"/>
      <c r="B34" s="242"/>
      <c r="C34" s="242"/>
      <c r="D34" s="242"/>
    </row>
    <row r="35" spans="1:6" x14ac:dyDescent="0.3">
      <c r="A35" s="242"/>
      <c r="B35" s="242"/>
      <c r="C35" s="242"/>
      <c r="D35" s="242"/>
    </row>
    <row r="36" spans="1:6" x14ac:dyDescent="0.3">
      <c r="A36" s="242"/>
      <c r="B36" s="242"/>
      <c r="C36" s="242"/>
      <c r="D36" s="242"/>
    </row>
    <row r="45" spans="1:6" x14ac:dyDescent="0.3">
      <c r="A45" s="139" t="s">
        <v>662</v>
      </c>
      <c r="B45" s="131"/>
      <c r="C45" s="131"/>
      <c r="D45" s="144" t="s">
        <v>663</v>
      </c>
      <c r="E45" s="131"/>
      <c r="F45" s="131"/>
    </row>
    <row r="46" spans="1:6" x14ac:dyDescent="0.3">
      <c r="A46" s="140" t="s">
        <v>664</v>
      </c>
      <c r="D46" s="145" t="s">
        <v>664</v>
      </c>
    </row>
    <row r="63" spans="1:1" x14ac:dyDescent="0.3">
      <c r="A63" s="127" t="str">
        <f>HYPERLINK("#'INDICE'!A4","&lt;&lt; Volver al Indice")</f>
        <v>&lt;&lt; Volver al Indice</v>
      </c>
    </row>
    <row r="88" spans="1:1" x14ac:dyDescent="0.3">
      <c r="A88" s="15" t="str">
        <f>HYPERLINK("#'INDICE'!A22","&lt;&lt; Volver al Indice")</f>
        <v>&lt;&lt; Volver al Indice</v>
      </c>
    </row>
  </sheetData>
  <mergeCells count="8">
    <mergeCell ref="A27:D27"/>
    <mergeCell ref="A32:D32"/>
    <mergeCell ref="A33:D36"/>
    <mergeCell ref="A11:D11"/>
    <mergeCell ref="A13:D13"/>
    <mergeCell ref="A19:B19"/>
    <mergeCell ref="A20:D20"/>
    <mergeCell ref="A22:D2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H108"/>
  <sheetViews>
    <sheetView workbookViewId="0">
      <selection activeCell="D8" sqref="D8"/>
    </sheetView>
  </sheetViews>
  <sheetFormatPr baseColWidth="10" defaultColWidth="9.109375" defaultRowHeight="15.05" x14ac:dyDescent="0.3"/>
  <cols>
    <col min="1" max="1" width="23.5546875" customWidth="1"/>
    <col min="2" max="6" width="20" customWidth="1"/>
    <col min="7" max="7" width="19.109375" customWidth="1"/>
    <col min="8" max="8" width="14" customWidth="1"/>
  </cols>
  <sheetData>
    <row r="3" spans="1:8" x14ac:dyDescent="0.3">
      <c r="C3" s="121"/>
    </row>
    <row r="4" spans="1:8" ht="25.55" customHeight="1" x14ac:dyDescent="0.3">
      <c r="H4" s="146" t="s">
        <v>44</v>
      </c>
    </row>
    <row r="5" spans="1:8" x14ac:dyDescent="0.3">
      <c r="D5" s="120" t="s">
        <v>685</v>
      </c>
    </row>
    <row r="6" spans="1:8" x14ac:dyDescent="0.3">
      <c r="D6" s="125" t="s">
        <v>682</v>
      </c>
      <c r="G6" s="58" t="s">
        <v>652</v>
      </c>
      <c r="H6" s="58"/>
    </row>
    <row r="7" spans="1:8" x14ac:dyDescent="0.3">
      <c r="D7" s="120" t="s">
        <v>686</v>
      </c>
      <c r="G7" s="58" t="s">
        <v>653</v>
      </c>
      <c r="H7" s="58"/>
    </row>
    <row r="8" spans="1:8" x14ac:dyDescent="0.3">
      <c r="D8" s="120" t="s">
        <v>689</v>
      </c>
      <c r="G8" s="58" t="s">
        <v>654</v>
      </c>
      <c r="H8" s="58"/>
    </row>
    <row r="9" spans="1:8" x14ac:dyDescent="0.3">
      <c r="G9" s="58" t="s">
        <v>655</v>
      </c>
      <c r="H9" s="58"/>
    </row>
    <row r="11" spans="1:8" ht="29.95" customHeight="1" x14ac:dyDescent="0.3">
      <c r="A11" s="158" t="s">
        <v>678</v>
      </c>
      <c r="B11" s="151"/>
      <c r="C11" s="151"/>
      <c r="D11" s="151"/>
      <c r="E11" s="151"/>
      <c r="F11" s="151"/>
    </row>
    <row r="13" spans="1:8" x14ac:dyDescent="0.3">
      <c r="A13" s="157" t="s">
        <v>269</v>
      </c>
      <c r="B13" s="151"/>
      <c r="C13" s="151"/>
      <c r="D13" s="151"/>
      <c r="E13" s="151"/>
      <c r="F13" s="151"/>
    </row>
    <row r="14" spans="1:8" ht="20.3" customHeight="1" x14ac:dyDescent="0.3">
      <c r="A14" s="23" t="s">
        <v>270</v>
      </c>
      <c r="B14" s="190" t="s">
        <v>271</v>
      </c>
      <c r="C14" s="156"/>
      <c r="D14" s="23" t="s">
        <v>272</v>
      </c>
      <c r="E14" s="190" t="s">
        <v>273</v>
      </c>
      <c r="F14" s="156"/>
    </row>
    <row r="15" spans="1:8" x14ac:dyDescent="0.3">
      <c r="A15" s="21" t="s">
        <v>107</v>
      </c>
      <c r="B15" s="220"/>
      <c r="C15" s="156"/>
      <c r="D15" s="17"/>
      <c r="E15" s="220"/>
      <c r="F15" s="156"/>
    </row>
    <row r="16" spans="1:8" x14ac:dyDescent="0.3">
      <c r="A16" s="21" t="s">
        <v>109</v>
      </c>
      <c r="B16" s="220"/>
      <c r="C16" s="156"/>
      <c r="D16" s="17"/>
      <c r="E16" s="220"/>
      <c r="F16" s="156"/>
    </row>
    <row r="17" spans="1:6" x14ac:dyDescent="0.3">
      <c r="A17" s="21" t="s">
        <v>110</v>
      </c>
      <c r="B17" s="220"/>
      <c r="C17" s="156"/>
      <c r="D17" s="17"/>
      <c r="E17" s="220"/>
      <c r="F17" s="156"/>
    </row>
    <row r="18" spans="1:6" x14ac:dyDescent="0.3">
      <c r="A18" s="21" t="s">
        <v>274</v>
      </c>
      <c r="B18" s="220"/>
      <c r="C18" s="156"/>
      <c r="D18" s="17"/>
      <c r="E18" s="220"/>
      <c r="F18" s="156"/>
    </row>
    <row r="19" spans="1:6" x14ac:dyDescent="0.3">
      <c r="A19" s="21" t="s">
        <v>112</v>
      </c>
      <c r="B19" s="220"/>
      <c r="C19" s="156"/>
      <c r="D19" s="17"/>
      <c r="E19" s="220"/>
      <c r="F19" s="156"/>
    </row>
    <row r="20" spans="1:6" x14ac:dyDescent="0.3">
      <c r="A20" s="21" t="s">
        <v>154</v>
      </c>
      <c r="B20" s="220"/>
      <c r="C20" s="156"/>
      <c r="D20" s="17"/>
      <c r="E20" s="220"/>
      <c r="F20" s="156"/>
    </row>
    <row r="21" spans="1:6" x14ac:dyDescent="0.3">
      <c r="A21" s="21" t="s">
        <v>113</v>
      </c>
      <c r="B21" s="220"/>
      <c r="C21" s="156"/>
      <c r="D21" s="17"/>
      <c r="E21" s="220"/>
      <c r="F21" s="156"/>
    </row>
    <row r="22" spans="1:6" x14ac:dyDescent="0.3">
      <c r="A22" s="21" t="s">
        <v>114</v>
      </c>
      <c r="B22" s="220"/>
      <c r="C22" s="156"/>
      <c r="D22" s="17"/>
      <c r="E22" s="220"/>
      <c r="F22" s="156"/>
    </row>
    <row r="35" spans="1:6" x14ac:dyDescent="0.3">
      <c r="A35" s="138" t="s">
        <v>662</v>
      </c>
      <c r="B35" s="131"/>
      <c r="C35" s="131"/>
      <c r="D35" s="138" t="s">
        <v>663</v>
      </c>
      <c r="E35" s="131"/>
      <c r="F35" s="131"/>
    </row>
    <row r="36" spans="1:6" x14ac:dyDescent="0.3">
      <c r="A36" s="140" t="s">
        <v>664</v>
      </c>
      <c r="D36" s="140" t="s">
        <v>664</v>
      </c>
    </row>
    <row r="53" spans="1:1" x14ac:dyDescent="0.3">
      <c r="A53" s="127" t="str">
        <f>HYPERLINK("#'INDICE'!A4","&lt;&lt; Volver al Indice")</f>
        <v>&lt;&lt; Volver al Indice</v>
      </c>
    </row>
    <row r="108" spans="1:1" x14ac:dyDescent="0.3">
      <c r="A108" s="15" t="str">
        <f>HYPERLINK("#'INDICE'!A23","&lt;&lt; Volver al Indice")</f>
        <v>&lt;&lt; Volver al Indice</v>
      </c>
    </row>
  </sheetData>
  <mergeCells count="20">
    <mergeCell ref="E15:F15"/>
    <mergeCell ref="A11:F11"/>
    <mergeCell ref="A13:F13"/>
    <mergeCell ref="E14:F14"/>
    <mergeCell ref="B14:C14"/>
    <mergeCell ref="B15:C15"/>
    <mergeCell ref="B22:C22"/>
    <mergeCell ref="E21:F21"/>
    <mergeCell ref="E17:F17"/>
    <mergeCell ref="B16:C16"/>
    <mergeCell ref="B21:C21"/>
    <mergeCell ref="B18:C18"/>
    <mergeCell ref="E19:F19"/>
    <mergeCell ref="B17:C17"/>
    <mergeCell ref="E20:F20"/>
    <mergeCell ref="E22:F22"/>
    <mergeCell ref="E16:F16"/>
    <mergeCell ref="B20:C20"/>
    <mergeCell ref="B19:C19"/>
    <mergeCell ref="E18:F18"/>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3:J83"/>
  <sheetViews>
    <sheetView workbookViewId="0">
      <selection activeCell="D8" sqref="D8"/>
    </sheetView>
  </sheetViews>
  <sheetFormatPr baseColWidth="10" defaultColWidth="9.109375" defaultRowHeight="15.05" x14ac:dyDescent="0.3"/>
  <cols>
    <col min="1" max="1" width="30.109375" customWidth="1"/>
    <col min="2" max="2" width="33.6640625" customWidth="1"/>
    <col min="3" max="3" width="14.33203125" customWidth="1"/>
    <col min="4" max="4" width="13.88671875" customWidth="1"/>
    <col min="5" max="6" width="11.109375" customWidth="1"/>
    <col min="7" max="7" width="16" customWidth="1"/>
    <col min="8" max="8" width="13.44140625" customWidth="1"/>
    <col min="9" max="9" width="17.6640625" customWidth="1"/>
    <col min="10" max="10" width="12.33203125" customWidth="1"/>
  </cols>
  <sheetData>
    <row r="3" spans="1:10" x14ac:dyDescent="0.3">
      <c r="D3" s="121"/>
    </row>
    <row r="4" spans="1:10" ht="23.25" customHeight="1" x14ac:dyDescent="0.3">
      <c r="J4" s="146" t="s">
        <v>46</v>
      </c>
    </row>
    <row r="5" spans="1:10" x14ac:dyDescent="0.3">
      <c r="D5" s="120" t="s">
        <v>685</v>
      </c>
    </row>
    <row r="6" spans="1:10" x14ac:dyDescent="0.3">
      <c r="D6" s="125" t="s">
        <v>682</v>
      </c>
      <c r="I6" s="58" t="s">
        <v>652</v>
      </c>
      <c r="J6" s="58"/>
    </row>
    <row r="7" spans="1:10" x14ac:dyDescent="0.3">
      <c r="D7" s="120" t="s">
        <v>686</v>
      </c>
      <c r="I7" s="58" t="s">
        <v>653</v>
      </c>
      <c r="J7" s="58"/>
    </row>
    <row r="8" spans="1:10" x14ac:dyDescent="0.3">
      <c r="D8" s="120" t="s">
        <v>689</v>
      </c>
      <c r="I8" s="58" t="s">
        <v>654</v>
      </c>
      <c r="J8" s="58"/>
    </row>
    <row r="9" spans="1:10" x14ac:dyDescent="0.3">
      <c r="I9" s="58" t="s">
        <v>655</v>
      </c>
      <c r="J9" s="58"/>
    </row>
    <row r="11" spans="1:10" ht="25.55" customHeight="1" x14ac:dyDescent="0.3">
      <c r="A11" s="246" t="s">
        <v>483</v>
      </c>
      <c r="B11" s="246"/>
      <c r="C11" s="246"/>
      <c r="D11" s="246"/>
      <c r="E11" s="246"/>
      <c r="F11" s="246"/>
      <c r="G11" s="246"/>
      <c r="H11" s="246"/>
    </row>
    <row r="13" spans="1:10" x14ac:dyDescent="0.3">
      <c r="A13" s="246" t="s">
        <v>275</v>
      </c>
      <c r="B13" s="246"/>
      <c r="C13" s="246"/>
      <c r="D13" s="246"/>
      <c r="E13" s="246"/>
      <c r="F13" s="246"/>
      <c r="G13" s="246"/>
      <c r="H13" s="246"/>
    </row>
    <row r="14" spans="1:10" ht="28.8" x14ac:dyDescent="0.3">
      <c r="A14" s="66" t="s">
        <v>276</v>
      </c>
      <c r="B14" s="66" t="s">
        <v>74</v>
      </c>
      <c r="C14" s="66" t="s">
        <v>484</v>
      </c>
      <c r="D14" s="66" t="s">
        <v>138</v>
      </c>
      <c r="E14" s="66" t="s">
        <v>485</v>
      </c>
      <c r="F14" s="66" t="s">
        <v>486</v>
      </c>
      <c r="G14" s="66" t="s">
        <v>97</v>
      </c>
      <c r="H14" s="66" t="s">
        <v>487</v>
      </c>
    </row>
    <row r="15" spans="1:10" x14ac:dyDescent="0.3">
      <c r="A15" s="67" t="s">
        <v>277</v>
      </c>
      <c r="B15" s="68"/>
      <c r="C15" s="69"/>
      <c r="D15" s="69"/>
      <c r="E15" s="70">
        <v>8</v>
      </c>
      <c r="F15" s="71">
        <v>15</v>
      </c>
      <c r="G15" s="72" t="s">
        <v>679</v>
      </c>
      <c r="H15" s="73">
        <v>1</v>
      </c>
    </row>
    <row r="16" spans="1:10" x14ac:dyDescent="0.3">
      <c r="A16" s="67" t="s">
        <v>278</v>
      </c>
      <c r="B16" s="68"/>
      <c r="C16" s="69"/>
      <c r="D16" s="69"/>
      <c r="E16" s="70" t="str">
        <f t="shared" ref="E16:E27" si="0">IF(AND(C16&lt;&gt;"",D16&lt;&gt;""),D16-C16+1,"")</f>
        <v/>
      </c>
      <c r="F16" s="71"/>
      <c r="G16" s="72" t="str">
        <f>IF(OR(C16="",D16=""),"-",
IF(D16&lt;#REF!,"Completado",
IF(AND(C16&lt;=#REF!,D16&gt;=#REF!),"En Proceso",
IF(C16&gt;#REF!,"Pendiente","-"))))</f>
        <v>-</v>
      </c>
      <c r="H16" s="73"/>
    </row>
    <row r="17" spans="1:8" x14ac:dyDescent="0.3">
      <c r="A17" s="67" t="s">
        <v>279</v>
      </c>
      <c r="B17" s="68"/>
      <c r="C17" s="69"/>
      <c r="D17" s="69"/>
      <c r="E17" s="70" t="str">
        <f t="shared" si="0"/>
        <v/>
      </c>
      <c r="F17" s="71"/>
      <c r="G17" s="72" t="str">
        <f>IF(OR(C17="",D17=""),"-",
IF(D17&lt;#REF!,"Completado",
IF(AND(C17&lt;=#REF!,D17&gt;=#REF!),"En Proceso",
IF(C17&gt;#REF!,"Pendiente","-"))))</f>
        <v>-</v>
      </c>
      <c r="H17" s="73"/>
    </row>
    <row r="18" spans="1:8" x14ac:dyDescent="0.3">
      <c r="A18" s="67" t="s">
        <v>280</v>
      </c>
      <c r="B18" s="68"/>
      <c r="C18" s="69"/>
      <c r="D18" s="69"/>
      <c r="E18" s="70" t="str">
        <f t="shared" si="0"/>
        <v/>
      </c>
      <c r="F18" s="71"/>
      <c r="G18" s="72" t="str">
        <f>IF(OR(C18="",D18=""),"-",
IF(D18&lt;#REF!,"Completado",
IF(AND(C18&lt;=#REF!,D18&gt;=#REF!),"En Proceso",
IF(C18&gt;#REF!,"Pendiente","-"))))</f>
        <v>-</v>
      </c>
      <c r="H18" s="73"/>
    </row>
    <row r="19" spans="1:8" x14ac:dyDescent="0.3">
      <c r="A19" s="67" t="s">
        <v>109</v>
      </c>
      <c r="B19" s="68"/>
      <c r="C19" s="69"/>
      <c r="D19" s="69"/>
      <c r="E19" s="70" t="str">
        <f t="shared" si="0"/>
        <v/>
      </c>
      <c r="F19" s="71"/>
      <c r="G19" s="72" t="str">
        <f>IF(OR(C19="",D19=""),"-",
IF(D19&lt;#REF!,"Completado",
IF(AND(C19&lt;=#REF!,D19&gt;=#REF!),"En Proceso",
IF(C19&gt;#REF!,"Pendiente","-"))))</f>
        <v>-</v>
      </c>
      <c r="H19" s="73"/>
    </row>
    <row r="20" spans="1:8" x14ac:dyDescent="0.3">
      <c r="A20" s="67" t="s">
        <v>110</v>
      </c>
      <c r="B20" s="68"/>
      <c r="C20" s="69"/>
      <c r="D20" s="69"/>
      <c r="E20" s="70" t="str">
        <f t="shared" si="0"/>
        <v/>
      </c>
      <c r="F20" s="71"/>
      <c r="G20" s="72" t="str">
        <f>IF(OR(C20="",D20=""),"-",
IF(D20&lt;#REF!,"Completado",
IF(AND(C20&lt;=#REF!,D20&gt;=#REF!),"En Proceso",
IF(C20&gt;#REF!,"Pendiente","-"))))</f>
        <v>-</v>
      </c>
      <c r="H20" s="73"/>
    </row>
    <row r="21" spans="1:8" x14ac:dyDescent="0.3">
      <c r="A21" s="67" t="s">
        <v>274</v>
      </c>
      <c r="B21" s="68"/>
      <c r="C21" s="69"/>
      <c r="D21" s="69"/>
      <c r="E21" s="70" t="str">
        <f t="shared" si="0"/>
        <v/>
      </c>
      <c r="F21" s="71"/>
      <c r="G21" s="72" t="str">
        <f>IF(OR(C21="",D21=""),"-",
IF(D21&lt;#REF!,"Completado",
IF(AND(C21&lt;=#REF!,D21&gt;=#REF!),"En Proceso",
IF(C21&gt;#REF!,"Pendiente","-"))))</f>
        <v>-</v>
      </c>
      <c r="H21" s="73"/>
    </row>
    <row r="22" spans="1:8" x14ac:dyDescent="0.3">
      <c r="A22" s="67" t="s">
        <v>112</v>
      </c>
      <c r="B22" s="68"/>
      <c r="C22" s="69"/>
      <c r="D22" s="69"/>
      <c r="E22" s="70" t="str">
        <f t="shared" si="0"/>
        <v/>
      </c>
      <c r="F22" s="71"/>
      <c r="G22" s="72" t="str">
        <f>IF(OR(C22="",D22=""),"-",
IF(D22&lt;#REF!,"Completado",
IF(AND(C22&lt;=#REF!,D22&gt;=#REF!),"En Proceso",
IF(C22&gt;#REF!,"Pendiente","-"))))</f>
        <v>-</v>
      </c>
      <c r="H22" s="73"/>
    </row>
    <row r="23" spans="1:8" x14ac:dyDescent="0.3">
      <c r="A23" s="67" t="s">
        <v>154</v>
      </c>
      <c r="B23" s="68"/>
      <c r="C23" s="69"/>
      <c r="D23" s="69"/>
      <c r="E23" s="70" t="str">
        <f t="shared" si="0"/>
        <v/>
      </c>
      <c r="F23" s="71"/>
      <c r="G23" s="72" t="str">
        <f>IF(OR(C23="",D23=""),"-",
IF(D23&lt;#REF!,"Completado",
IF(AND(C23&lt;=#REF!,D23&gt;=#REF!),"En Proceso",
IF(C23&gt;#REF!,"Pendiente","-"))))</f>
        <v>-</v>
      </c>
      <c r="H23" s="73"/>
    </row>
    <row r="24" spans="1:8" x14ac:dyDescent="0.3">
      <c r="A24" s="67" t="s">
        <v>113</v>
      </c>
      <c r="B24" s="68"/>
      <c r="C24" s="69"/>
      <c r="D24" s="69"/>
      <c r="E24" s="70" t="str">
        <f t="shared" si="0"/>
        <v/>
      </c>
      <c r="F24" s="71"/>
      <c r="G24" s="72" t="str">
        <f>IF(OR(C24="",D24=""),"-",
IF(D24&lt;#REF!,"Completado",
IF(AND(C24&lt;=#REF!,D24&gt;=#REF!),"En Proceso",
IF(C24&gt;#REF!,"Pendiente","-"))))</f>
        <v>-</v>
      </c>
      <c r="H24" s="73"/>
    </row>
    <row r="25" spans="1:8" x14ac:dyDescent="0.3">
      <c r="A25" s="67" t="s">
        <v>114</v>
      </c>
      <c r="B25" s="68"/>
      <c r="C25" s="69"/>
      <c r="D25" s="69"/>
      <c r="E25" s="70" t="str">
        <f t="shared" si="0"/>
        <v/>
      </c>
      <c r="F25" s="71"/>
      <c r="G25" s="72" t="str">
        <f>IF(OR(C25="",D25=""),"-",
IF(D25&lt;#REF!,"Completado",
IF(AND(C25&lt;=#REF!,D25&gt;=#REF!),"En Proceso",
IF(C25&gt;#REF!,"Pendiente","-"))))</f>
        <v>-</v>
      </c>
      <c r="H25" s="73"/>
    </row>
    <row r="26" spans="1:8" x14ac:dyDescent="0.3">
      <c r="A26" s="67" t="s">
        <v>115</v>
      </c>
      <c r="B26" s="68"/>
      <c r="C26" s="69"/>
      <c r="D26" s="69"/>
      <c r="E26" s="70" t="str">
        <f t="shared" si="0"/>
        <v/>
      </c>
      <c r="F26" s="71"/>
      <c r="G26" s="72" t="str">
        <f>IF(OR(C26="",D26=""),"-",
IF(D26&lt;#REF!,"Completado",
IF(AND(C26&lt;=#REF!,D26&gt;=#REF!),"En Proceso",
IF(C26&gt;#REF!,"Pendiente","-"))))</f>
        <v>-</v>
      </c>
      <c r="H26" s="73"/>
    </row>
    <row r="27" spans="1:8" x14ac:dyDescent="0.3">
      <c r="A27" s="67" t="s">
        <v>281</v>
      </c>
      <c r="B27" s="68"/>
      <c r="C27" s="69"/>
      <c r="D27" s="69"/>
      <c r="E27" s="70" t="str">
        <f t="shared" si="0"/>
        <v/>
      </c>
      <c r="F27" s="71"/>
      <c r="G27" s="72" t="str">
        <f>IF(OR(C27="",D27=""),"-",
IF(D27&lt;#REF!,"Completado",
IF(AND(C27&lt;=#REF!,D27&gt;=#REF!),"En Proceso",
IF(C27&gt;#REF!,"Pendiente","-"))))</f>
        <v>-</v>
      </c>
      <c r="H27" s="73"/>
    </row>
    <row r="28" spans="1:8" x14ac:dyDescent="0.3">
      <c r="A28" s="74" t="s">
        <v>282</v>
      </c>
      <c r="B28" s="247"/>
      <c r="C28" s="247"/>
      <c r="D28" s="247"/>
      <c r="E28" s="247"/>
      <c r="F28" s="75">
        <f>SUM(F15:F27)</f>
        <v>15</v>
      </c>
      <c r="G28" s="76"/>
      <c r="H28" s="77">
        <f>IFERROR(AVERAGE(H15:H27),0)</f>
        <v>1</v>
      </c>
    </row>
    <row r="30" spans="1:8" x14ac:dyDescent="0.3">
      <c r="A30" s="246" t="s">
        <v>488</v>
      </c>
      <c r="B30" s="246"/>
      <c r="C30" s="246"/>
      <c r="D30" s="246"/>
      <c r="E30" s="246"/>
      <c r="F30" s="246"/>
      <c r="G30" s="246"/>
      <c r="H30" s="246"/>
    </row>
    <row r="31" spans="1:8" x14ac:dyDescent="0.3">
      <c r="A31" s="78" t="s">
        <v>438</v>
      </c>
      <c r="B31" s="248" t="s">
        <v>139</v>
      </c>
      <c r="C31" s="248"/>
      <c r="D31" s="248"/>
      <c r="E31" s="248"/>
      <c r="F31" s="248"/>
      <c r="G31" s="248"/>
      <c r="H31" s="248"/>
    </row>
    <row r="32" spans="1:8" x14ac:dyDescent="0.3">
      <c r="A32" s="79" t="s">
        <v>489</v>
      </c>
      <c r="B32" s="249">
        <f>COUNTA(A15:A27)</f>
        <v>13</v>
      </c>
      <c r="C32" s="249"/>
      <c r="D32" s="249"/>
      <c r="E32" s="249"/>
      <c r="F32" s="249"/>
      <c r="G32" s="249"/>
      <c r="H32" s="249"/>
    </row>
    <row r="33" spans="1:8" x14ac:dyDescent="0.3">
      <c r="A33" s="79" t="s">
        <v>490</v>
      </c>
      <c r="B33" s="249">
        <f>COUNTIF(G15:G27,"Completado")</f>
        <v>0</v>
      </c>
      <c r="C33" s="249"/>
      <c r="D33" s="249"/>
      <c r="E33" s="249"/>
      <c r="F33" s="249"/>
      <c r="G33" s="249"/>
      <c r="H33" s="249"/>
    </row>
    <row r="34" spans="1:8" x14ac:dyDescent="0.3">
      <c r="A34" s="79" t="s">
        <v>491</v>
      </c>
      <c r="B34" s="249">
        <f>COUNTIF(G15:G27,"En Proceso")</f>
        <v>0</v>
      </c>
      <c r="C34" s="249"/>
      <c r="D34" s="249"/>
      <c r="E34" s="249"/>
      <c r="F34" s="249"/>
      <c r="G34" s="249"/>
      <c r="H34" s="249"/>
    </row>
    <row r="35" spans="1:8" x14ac:dyDescent="0.3">
      <c r="A35" s="79" t="s">
        <v>492</v>
      </c>
      <c r="B35" s="249">
        <f>COUNTIF(G15:G27,"Pendiente")</f>
        <v>0</v>
      </c>
      <c r="C35" s="249"/>
      <c r="D35" s="249"/>
      <c r="E35" s="249"/>
      <c r="F35" s="249"/>
      <c r="G35" s="249"/>
      <c r="H35" s="249"/>
    </row>
    <row r="36" spans="1:8" x14ac:dyDescent="0.3">
      <c r="A36" s="79" t="s">
        <v>493</v>
      </c>
      <c r="B36" s="249">
        <f>COUNTIF(G15:G27,"Atrasado")</f>
        <v>0</v>
      </c>
      <c r="C36" s="249"/>
      <c r="D36" s="249"/>
      <c r="E36" s="249"/>
      <c r="F36" s="249"/>
      <c r="G36" s="249"/>
      <c r="H36" s="249"/>
    </row>
    <row r="37" spans="1:8" x14ac:dyDescent="0.3">
      <c r="A37" s="79" t="s">
        <v>494</v>
      </c>
      <c r="B37" s="250">
        <f>F28</f>
        <v>15</v>
      </c>
      <c r="C37" s="250"/>
      <c r="D37" s="250"/>
      <c r="E37" s="250"/>
      <c r="F37" s="250"/>
      <c r="G37" s="250"/>
      <c r="H37" s="250"/>
    </row>
    <row r="38" spans="1:8" x14ac:dyDescent="0.3">
      <c r="A38" s="79" t="s">
        <v>495</v>
      </c>
      <c r="B38" s="251">
        <f>H28</f>
        <v>1</v>
      </c>
      <c r="C38" s="251"/>
      <c r="D38" s="251"/>
      <c r="E38" s="251"/>
      <c r="F38" s="251"/>
      <c r="G38" s="251"/>
      <c r="H38" s="251"/>
    </row>
    <row r="40" spans="1:8" x14ac:dyDescent="0.3">
      <c r="A40" s="252" t="s">
        <v>496</v>
      </c>
      <c r="B40" s="252"/>
      <c r="C40" s="252"/>
      <c r="D40" s="252"/>
      <c r="E40" s="252"/>
      <c r="F40" s="252"/>
      <c r="G40" s="252"/>
      <c r="H40" s="252"/>
    </row>
    <row r="41" spans="1:8" x14ac:dyDescent="0.3">
      <c r="A41" s="80" t="s">
        <v>497</v>
      </c>
      <c r="B41" s="248" t="s">
        <v>181</v>
      </c>
      <c r="C41" s="248"/>
      <c r="D41" s="248"/>
      <c r="E41" s="248"/>
      <c r="F41" s="248"/>
      <c r="G41" s="248"/>
      <c r="H41" s="248"/>
    </row>
    <row r="42" spans="1:8" x14ac:dyDescent="0.3">
      <c r="A42" s="81" t="s">
        <v>498</v>
      </c>
      <c r="B42" s="253" t="str">
        <f>IF(COUNTIF(G15:G27,"Atrasado")&gt;0,COUNTIF(G15:G27,"Atrasado")&amp;" actividades están atrasadas. Revisar inmediatamente.","Ninguna actividad atrasada")</f>
        <v>Ninguna actividad atrasada</v>
      </c>
      <c r="C42" s="253"/>
      <c r="D42" s="253"/>
      <c r="E42" s="253"/>
      <c r="F42" s="253"/>
      <c r="G42" s="253"/>
      <c r="H42" s="253"/>
    </row>
    <row r="43" spans="1:8" x14ac:dyDescent="0.3">
      <c r="A43" s="82" t="s">
        <v>499</v>
      </c>
      <c r="B43" s="257" t="str">
        <f>IF(COUNTIF(G15:G27,"En Proceso")&gt;0,COUNTIF(G15:G27,"En Proceso")&amp;" actividades en proceso. Monitorear progreso.","Sin actividades en proceso")</f>
        <v>Sin actividades en proceso</v>
      </c>
      <c r="C43" s="257"/>
      <c r="D43" s="257"/>
      <c r="E43" s="257"/>
      <c r="F43" s="257"/>
      <c r="G43" s="257"/>
      <c r="H43" s="257"/>
    </row>
    <row r="44" spans="1:8" x14ac:dyDescent="0.3">
      <c r="A44" s="83" t="s">
        <v>500</v>
      </c>
      <c r="B44" s="258" t="str">
        <f>COUNTIF(G15:G27,"Completado")&amp;" actividades completadas de "&amp;COUNTA(A15:A27)&amp;" totales"</f>
        <v>0 actividades completadas de 13 totales</v>
      </c>
      <c r="C44" s="258"/>
      <c r="D44" s="258"/>
      <c r="E44" s="258"/>
      <c r="F44" s="258"/>
      <c r="G44" s="258"/>
      <c r="H44" s="258"/>
    </row>
    <row r="46" spans="1:8" x14ac:dyDescent="0.3">
      <c r="A46" s="259" t="s">
        <v>501</v>
      </c>
      <c r="B46" s="259"/>
      <c r="C46" s="259"/>
      <c r="D46" s="259"/>
      <c r="E46" s="259"/>
      <c r="F46" s="259"/>
      <c r="G46" s="259"/>
      <c r="H46" s="259"/>
    </row>
    <row r="47" spans="1:8" x14ac:dyDescent="0.3">
      <c r="A47" s="84" t="s">
        <v>502</v>
      </c>
      <c r="B47" s="254" t="s">
        <v>503</v>
      </c>
      <c r="C47" s="254"/>
      <c r="D47" s="254"/>
      <c r="E47" s="254"/>
      <c r="F47" s="254"/>
      <c r="G47" s="254"/>
      <c r="H47" s="254"/>
    </row>
    <row r="48" spans="1:8" x14ac:dyDescent="0.3">
      <c r="A48" s="85" t="s">
        <v>504</v>
      </c>
      <c r="B48" s="254" t="s">
        <v>505</v>
      </c>
      <c r="C48" s="254"/>
      <c r="D48" s="254"/>
      <c r="E48" s="254"/>
      <c r="F48" s="254"/>
      <c r="G48" s="254"/>
      <c r="H48" s="254"/>
    </row>
    <row r="49" spans="1:8" x14ac:dyDescent="0.3">
      <c r="A49" s="86" t="s">
        <v>506</v>
      </c>
      <c r="B49" s="254" t="s">
        <v>507</v>
      </c>
      <c r="C49" s="254"/>
      <c r="D49" s="254"/>
      <c r="E49" s="254"/>
      <c r="F49" s="254"/>
      <c r="G49" s="254"/>
      <c r="H49" s="254"/>
    </row>
    <row r="50" spans="1:8" x14ac:dyDescent="0.3">
      <c r="A50" s="87" t="s">
        <v>508</v>
      </c>
      <c r="B50" s="254" t="s">
        <v>509</v>
      </c>
      <c r="C50" s="254"/>
      <c r="D50" s="254"/>
      <c r="E50" s="254"/>
      <c r="F50" s="254"/>
      <c r="G50" s="254"/>
      <c r="H50" s="254"/>
    </row>
    <row r="52" spans="1:8" x14ac:dyDescent="0.3">
      <c r="A52" s="255" t="s">
        <v>510</v>
      </c>
      <c r="B52" s="255"/>
      <c r="C52" s="255"/>
      <c r="D52" s="255"/>
      <c r="E52" s="255"/>
      <c r="F52" s="255"/>
      <c r="G52" s="255"/>
      <c r="H52" s="255"/>
    </row>
    <row r="53" spans="1:8" x14ac:dyDescent="0.3">
      <c r="A53" s="256" t="s">
        <v>511</v>
      </c>
      <c r="B53" s="256"/>
      <c r="C53" s="256"/>
      <c r="D53" s="256"/>
      <c r="E53" s="256"/>
      <c r="F53" s="256"/>
      <c r="G53" s="256"/>
      <c r="H53" s="256"/>
    </row>
    <row r="54" spans="1:8" x14ac:dyDescent="0.3">
      <c r="A54" s="256"/>
      <c r="B54" s="256"/>
      <c r="C54" s="256"/>
      <c r="D54" s="256"/>
      <c r="E54" s="256"/>
      <c r="F54" s="256"/>
      <c r="G54" s="256"/>
      <c r="H54" s="256"/>
    </row>
    <row r="55" spans="1:8" x14ac:dyDescent="0.3">
      <c r="A55" s="256"/>
      <c r="B55" s="256"/>
      <c r="C55" s="256"/>
      <c r="D55" s="256"/>
      <c r="E55" s="256"/>
      <c r="F55" s="256"/>
      <c r="G55" s="256"/>
      <c r="H55" s="256"/>
    </row>
    <row r="56" spans="1:8" x14ac:dyDescent="0.3">
      <c r="A56" s="256"/>
      <c r="B56" s="256"/>
      <c r="C56" s="256"/>
      <c r="D56" s="256"/>
      <c r="E56" s="256"/>
      <c r="F56" s="256"/>
      <c r="G56" s="256"/>
      <c r="H56" s="256"/>
    </row>
    <row r="57" spans="1:8" x14ac:dyDescent="0.3">
      <c r="A57" s="256"/>
      <c r="B57" s="256"/>
      <c r="C57" s="256"/>
      <c r="D57" s="256"/>
      <c r="E57" s="256"/>
      <c r="F57" s="256"/>
      <c r="G57" s="256"/>
      <c r="H57" s="256"/>
    </row>
    <row r="58" spans="1:8" x14ac:dyDescent="0.3">
      <c r="A58" s="256"/>
      <c r="B58" s="256"/>
      <c r="C58" s="256"/>
      <c r="D58" s="256"/>
      <c r="E58" s="256"/>
      <c r="F58" s="256"/>
      <c r="G58" s="256"/>
      <c r="H58" s="256"/>
    </row>
    <row r="59" spans="1:8" x14ac:dyDescent="0.3">
      <c r="A59" s="256"/>
      <c r="B59" s="256"/>
      <c r="C59" s="256"/>
      <c r="D59" s="256"/>
      <c r="E59" s="256"/>
      <c r="F59" s="256"/>
      <c r="G59" s="256"/>
      <c r="H59" s="256"/>
    </row>
    <row r="65" spans="1:9" x14ac:dyDescent="0.3">
      <c r="A65" s="138" t="s">
        <v>662</v>
      </c>
      <c r="B65" s="131"/>
      <c r="F65" s="144" t="s">
        <v>663</v>
      </c>
      <c r="G65" s="131"/>
      <c r="H65" s="131"/>
      <c r="I65" s="131"/>
    </row>
    <row r="66" spans="1:9" x14ac:dyDescent="0.3">
      <c r="A66" s="140" t="s">
        <v>664</v>
      </c>
      <c r="F66" s="145" t="s">
        <v>664</v>
      </c>
    </row>
    <row r="72" spans="1:9" x14ac:dyDescent="0.3">
      <c r="A72" s="127"/>
    </row>
    <row r="83" spans="1:1" x14ac:dyDescent="0.3">
      <c r="A83" s="15" t="str">
        <f>HYPERLINK("#'INDICE'!A24","&lt;&lt; Volver al Indice")</f>
        <v>&lt;&lt; Volver al Indice</v>
      </c>
    </row>
  </sheetData>
  <mergeCells count="24">
    <mergeCell ref="B49:H49"/>
    <mergeCell ref="B50:H50"/>
    <mergeCell ref="A52:H52"/>
    <mergeCell ref="A53:H59"/>
    <mergeCell ref="B43:H43"/>
    <mergeCell ref="B44:H44"/>
    <mergeCell ref="A46:H46"/>
    <mergeCell ref="B47:H47"/>
    <mergeCell ref="B48:H48"/>
    <mergeCell ref="B37:H37"/>
    <mergeCell ref="B38:H38"/>
    <mergeCell ref="A40:H40"/>
    <mergeCell ref="B41:H41"/>
    <mergeCell ref="B42:H42"/>
    <mergeCell ref="B32:H32"/>
    <mergeCell ref="B33:H33"/>
    <mergeCell ref="B34:H34"/>
    <mergeCell ref="B35:H35"/>
    <mergeCell ref="B36:H36"/>
    <mergeCell ref="A11:H11"/>
    <mergeCell ref="A13:H13"/>
    <mergeCell ref="B28:E28"/>
    <mergeCell ref="A30:H30"/>
    <mergeCell ref="B31:H31"/>
  </mergeCells>
  <conditionalFormatting sqref="G15:G27">
    <cfRule type="cellIs" dxfId="44" priority="1" operator="equal">
      <formula>"Completado"</formula>
    </cfRule>
    <cfRule type="cellIs" dxfId="43" priority="2" operator="equal">
      <formula>"En Proceso"</formula>
    </cfRule>
    <cfRule type="cellIs" dxfId="42" priority="3" operator="equal">
      <formula>"Pendiente"</formula>
    </cfRule>
    <cfRule type="cellIs" dxfId="41" priority="4" operator="equal">
      <formula>"Atrasado"</formula>
    </cfRule>
  </conditionalFormatting>
  <dataValidations count="1">
    <dataValidation type="list" allowBlank="1" showInputMessage="1" showErrorMessage="1" sqref="G15:G27" xr:uid="{00000000-0002-0000-1500-000000000000}">
      <formula1>"Terminado, En proceso, No Elaborado"</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H108"/>
  <sheetViews>
    <sheetView workbookViewId="0">
      <selection activeCell="C8" sqref="C8"/>
    </sheetView>
  </sheetViews>
  <sheetFormatPr baseColWidth="10" defaultColWidth="9.109375" defaultRowHeight="15.05" x14ac:dyDescent="0.3"/>
  <cols>
    <col min="1" max="1" width="10" customWidth="1"/>
    <col min="2" max="2" width="32.5546875" customWidth="1"/>
    <col min="3" max="3" width="34.6640625" customWidth="1"/>
    <col min="4" max="4" width="14" customWidth="1"/>
    <col min="5" max="6" width="20" customWidth="1"/>
    <col min="7" max="7" width="16.6640625" customWidth="1"/>
    <col min="8" max="8" width="13.33203125" customWidth="1"/>
  </cols>
  <sheetData>
    <row r="3" spans="1:8" x14ac:dyDescent="0.3">
      <c r="C3" s="121"/>
    </row>
    <row r="4" spans="1:8" ht="27" customHeight="1" x14ac:dyDescent="0.3">
      <c r="H4" s="146" t="s">
        <v>48</v>
      </c>
    </row>
    <row r="5" spans="1:8" x14ac:dyDescent="0.3">
      <c r="C5" s="120" t="s">
        <v>685</v>
      </c>
    </row>
    <row r="6" spans="1:8" x14ac:dyDescent="0.3">
      <c r="C6" s="125" t="s">
        <v>682</v>
      </c>
      <c r="G6" s="58" t="s">
        <v>652</v>
      </c>
      <c r="H6" s="58"/>
    </row>
    <row r="7" spans="1:8" x14ac:dyDescent="0.3">
      <c r="C7" s="120" t="s">
        <v>686</v>
      </c>
      <c r="G7" s="58" t="s">
        <v>653</v>
      </c>
      <c r="H7" s="58"/>
    </row>
    <row r="8" spans="1:8" x14ac:dyDescent="0.3">
      <c r="C8" s="120" t="s">
        <v>689</v>
      </c>
      <c r="G8" s="58" t="s">
        <v>654</v>
      </c>
      <c r="H8" s="58"/>
    </row>
    <row r="9" spans="1:8" x14ac:dyDescent="0.3">
      <c r="G9" s="58" t="s">
        <v>655</v>
      </c>
      <c r="H9" s="58"/>
    </row>
    <row r="11" spans="1:8" ht="29.95" customHeight="1" x14ac:dyDescent="0.3">
      <c r="A11" s="158" t="s">
        <v>49</v>
      </c>
      <c r="B11" s="151"/>
      <c r="C11" s="151"/>
      <c r="D11" s="151"/>
      <c r="E11" s="151"/>
      <c r="F11" s="151"/>
    </row>
    <row r="13" spans="1:8" x14ac:dyDescent="0.3">
      <c r="A13" s="157" t="s">
        <v>283</v>
      </c>
      <c r="B13" s="151"/>
      <c r="C13" s="151"/>
      <c r="D13" s="151"/>
      <c r="E13" s="151"/>
      <c r="F13" s="151"/>
    </row>
    <row r="14" spans="1:8" ht="22.6" customHeight="1" x14ac:dyDescent="0.3">
      <c r="A14" s="18" t="s">
        <v>64</v>
      </c>
      <c r="B14" s="18" t="s">
        <v>284</v>
      </c>
      <c r="C14" s="18" t="s">
        <v>285</v>
      </c>
      <c r="D14" s="18" t="s">
        <v>286</v>
      </c>
      <c r="E14" s="18" t="s">
        <v>287</v>
      </c>
      <c r="F14" s="18" t="s">
        <v>94</v>
      </c>
    </row>
    <row r="15" spans="1:8" x14ac:dyDescent="0.3">
      <c r="A15" s="26">
        <v>1</v>
      </c>
      <c r="B15" s="17"/>
      <c r="C15" s="17"/>
      <c r="D15" s="17"/>
      <c r="E15" s="17"/>
      <c r="F15" s="17"/>
    </row>
    <row r="16" spans="1:8" x14ac:dyDescent="0.3">
      <c r="A16" s="26">
        <v>2</v>
      </c>
      <c r="B16" s="17"/>
      <c r="C16" s="17"/>
      <c r="D16" s="17"/>
      <c r="E16" s="17"/>
      <c r="F16" s="17"/>
    </row>
    <row r="17" spans="1:6" x14ac:dyDescent="0.3">
      <c r="A17" s="26">
        <v>3</v>
      </c>
      <c r="B17" s="17"/>
      <c r="C17" s="17"/>
      <c r="D17" s="17"/>
      <c r="E17" s="17"/>
      <c r="F17" s="17"/>
    </row>
    <row r="18" spans="1:6" x14ac:dyDescent="0.3">
      <c r="A18" s="26">
        <v>4</v>
      </c>
      <c r="B18" s="17"/>
      <c r="C18" s="17"/>
      <c r="D18" s="17"/>
      <c r="E18" s="17"/>
      <c r="F18" s="17"/>
    </row>
    <row r="19" spans="1:6" x14ac:dyDescent="0.3">
      <c r="A19" s="26">
        <v>5</v>
      </c>
      <c r="B19" s="17"/>
      <c r="C19" s="17"/>
      <c r="D19" s="17"/>
      <c r="E19" s="17"/>
      <c r="F19" s="17"/>
    </row>
    <row r="20" spans="1:6" x14ac:dyDescent="0.3">
      <c r="A20" s="26">
        <v>6</v>
      </c>
      <c r="B20" s="17"/>
      <c r="C20" s="17"/>
      <c r="D20" s="17"/>
      <c r="E20" s="17"/>
      <c r="F20" s="17"/>
    </row>
    <row r="21" spans="1:6" x14ac:dyDescent="0.3">
      <c r="A21" s="26">
        <v>7</v>
      </c>
      <c r="B21" s="17"/>
      <c r="C21" s="17"/>
      <c r="D21" s="17"/>
      <c r="E21" s="17"/>
      <c r="F21" s="17"/>
    </row>
    <row r="22" spans="1:6" x14ac:dyDescent="0.3">
      <c r="A22" s="26">
        <v>8</v>
      </c>
      <c r="B22" s="17"/>
      <c r="C22" s="17"/>
      <c r="D22" s="17"/>
      <c r="E22" s="17"/>
      <c r="F22" s="17"/>
    </row>
    <row r="23" spans="1:6" x14ac:dyDescent="0.3">
      <c r="A23" s="26">
        <v>9</v>
      </c>
      <c r="B23" s="17"/>
      <c r="C23" s="17"/>
      <c r="D23" s="17"/>
      <c r="E23" s="17"/>
      <c r="F23" s="17"/>
    </row>
    <row r="24" spans="1:6" x14ac:dyDescent="0.3">
      <c r="A24" s="26">
        <v>10</v>
      </c>
      <c r="B24" s="17"/>
      <c r="C24" s="17"/>
      <c r="D24" s="17"/>
      <c r="E24" s="17"/>
      <c r="F24" s="17"/>
    </row>
    <row r="25" spans="1:6" x14ac:dyDescent="0.3">
      <c r="A25" s="26">
        <v>11</v>
      </c>
      <c r="B25" s="17"/>
      <c r="C25" s="17"/>
      <c r="D25" s="17"/>
      <c r="E25" s="17"/>
      <c r="F25" s="17"/>
    </row>
    <row r="26" spans="1:6" x14ac:dyDescent="0.3">
      <c r="A26" s="26">
        <v>12</v>
      </c>
      <c r="B26" s="17"/>
      <c r="C26" s="17"/>
      <c r="D26" s="17"/>
      <c r="E26" s="17"/>
      <c r="F26" s="17"/>
    </row>
    <row r="27" spans="1:6" x14ac:dyDescent="0.3">
      <c r="A27" s="26">
        <v>13</v>
      </c>
      <c r="B27" s="17"/>
      <c r="C27" s="17"/>
      <c r="D27" s="17"/>
      <c r="E27" s="17"/>
      <c r="F27" s="17"/>
    </row>
    <row r="28" spans="1:6" x14ac:dyDescent="0.3">
      <c r="A28" s="26">
        <v>14</v>
      </c>
      <c r="B28" s="17"/>
      <c r="C28" s="17"/>
      <c r="D28" s="17"/>
      <c r="E28" s="17"/>
      <c r="F28" s="17"/>
    </row>
    <row r="29" spans="1:6" x14ac:dyDescent="0.3">
      <c r="A29" s="26">
        <v>15</v>
      </c>
      <c r="B29" s="17"/>
      <c r="C29" s="17"/>
      <c r="D29" s="17"/>
      <c r="E29" s="17"/>
      <c r="F29" s="17"/>
    </row>
    <row r="30" spans="1:6" x14ac:dyDescent="0.3">
      <c r="A30" s="26">
        <v>16</v>
      </c>
      <c r="B30" s="17"/>
      <c r="C30" s="17"/>
      <c r="D30" s="17"/>
      <c r="E30" s="17"/>
      <c r="F30" s="17"/>
    </row>
    <row r="31" spans="1:6" x14ac:dyDescent="0.3">
      <c r="A31" s="26">
        <v>17</v>
      </c>
      <c r="B31" s="17"/>
      <c r="C31" s="17"/>
      <c r="D31" s="17"/>
      <c r="E31" s="17"/>
      <c r="F31" s="17"/>
    </row>
    <row r="32" spans="1:6" x14ac:dyDescent="0.3">
      <c r="A32" s="26">
        <v>18</v>
      </c>
      <c r="B32" s="17"/>
      <c r="C32" s="17"/>
      <c r="D32" s="17"/>
      <c r="E32" s="17"/>
      <c r="F32" s="17"/>
    </row>
    <row r="33" spans="1:6" x14ac:dyDescent="0.3">
      <c r="A33" s="26">
        <v>19</v>
      </c>
      <c r="B33" s="17"/>
      <c r="C33" s="17"/>
      <c r="D33" s="17"/>
      <c r="E33" s="17"/>
      <c r="F33" s="17"/>
    </row>
    <row r="34" spans="1:6" x14ac:dyDescent="0.3">
      <c r="A34" s="26">
        <v>20</v>
      </c>
      <c r="B34" s="17"/>
      <c r="C34" s="17"/>
      <c r="D34" s="17"/>
      <c r="E34" s="17"/>
      <c r="F34" s="17"/>
    </row>
    <row r="41" spans="1:6" x14ac:dyDescent="0.3">
      <c r="A41" s="138" t="s">
        <v>662</v>
      </c>
      <c r="B41" s="131"/>
      <c r="D41" s="138" t="s">
        <v>663</v>
      </c>
      <c r="E41" s="131"/>
      <c r="F41" s="131"/>
    </row>
    <row r="42" spans="1:6" x14ac:dyDescent="0.3">
      <c r="A42" s="140" t="s">
        <v>664</v>
      </c>
      <c r="D42" s="140" t="s">
        <v>664</v>
      </c>
    </row>
    <row r="56" spans="1:1" x14ac:dyDescent="0.3">
      <c r="A56" s="127" t="str">
        <f>HYPERLINK("#'INDICE'!A4","&lt;&lt; Volver al Indice")</f>
        <v>&lt;&lt; Volver al Indice</v>
      </c>
    </row>
    <row r="108" spans="1:1" x14ac:dyDescent="0.3">
      <c r="A108" s="15" t="str">
        <f>HYPERLINK("#'INDICE'!A25","&lt;&lt; Volver al Indice")</f>
        <v>&lt;&lt; Volver al Indice</v>
      </c>
    </row>
  </sheetData>
  <mergeCells count="2">
    <mergeCell ref="A11:F11"/>
    <mergeCell ref="A13:F1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sheetPr>
  <dimension ref="A3:G93"/>
  <sheetViews>
    <sheetView workbookViewId="0">
      <selection activeCell="C8" sqref="C8"/>
    </sheetView>
  </sheetViews>
  <sheetFormatPr baseColWidth="10" defaultColWidth="9.109375" defaultRowHeight="15.05" x14ac:dyDescent="0.3"/>
  <cols>
    <col min="1" max="1" width="27.33203125" customWidth="1"/>
    <col min="2" max="2" width="20" customWidth="1"/>
    <col min="3" max="3" width="37.109375" customWidth="1"/>
    <col min="4" max="4" width="44.44140625" customWidth="1"/>
    <col min="5" max="5" width="20" customWidth="1"/>
    <col min="6" max="6" width="16.88671875" customWidth="1"/>
    <col min="7" max="7" width="11.5546875" customWidth="1"/>
  </cols>
  <sheetData>
    <row r="3" spans="1:7" x14ac:dyDescent="0.3">
      <c r="C3" s="121"/>
    </row>
    <row r="4" spans="1:7" ht="21.8" customHeight="1" x14ac:dyDescent="0.3">
      <c r="G4" s="146" t="s">
        <v>50</v>
      </c>
    </row>
    <row r="5" spans="1:7" x14ac:dyDescent="0.3">
      <c r="C5" s="120" t="s">
        <v>685</v>
      </c>
    </row>
    <row r="6" spans="1:7" x14ac:dyDescent="0.3">
      <c r="C6" s="125" t="s">
        <v>682</v>
      </c>
      <c r="F6" s="58" t="s">
        <v>652</v>
      </c>
      <c r="G6" s="58"/>
    </row>
    <row r="7" spans="1:7" x14ac:dyDescent="0.3">
      <c r="C7" s="120" t="s">
        <v>686</v>
      </c>
      <c r="F7" s="58" t="s">
        <v>653</v>
      </c>
      <c r="G7" s="58"/>
    </row>
    <row r="8" spans="1:7" x14ac:dyDescent="0.3">
      <c r="C8" s="120" t="s">
        <v>689</v>
      </c>
      <c r="F8" s="58" t="s">
        <v>654</v>
      </c>
      <c r="G8" s="58"/>
    </row>
    <row r="9" spans="1:7" x14ac:dyDescent="0.3">
      <c r="F9" s="58" t="s">
        <v>655</v>
      </c>
      <c r="G9" s="58"/>
    </row>
    <row r="10" spans="1:7" ht="20.95" customHeight="1" x14ac:dyDescent="0.3">
      <c r="A10" s="267" t="s">
        <v>512</v>
      </c>
      <c r="B10" s="267"/>
      <c r="C10" s="267"/>
      <c r="D10" s="267"/>
      <c r="E10" s="267"/>
    </row>
    <row r="12" spans="1:7" x14ac:dyDescent="0.3">
      <c r="A12" s="267" t="s">
        <v>516</v>
      </c>
      <c r="B12" s="267"/>
      <c r="C12" s="267"/>
      <c r="D12" s="267"/>
      <c r="E12" s="267"/>
    </row>
    <row r="13" spans="1:7" ht="28.8" x14ac:dyDescent="0.3">
      <c r="A13" s="66" t="s">
        <v>288</v>
      </c>
      <c r="B13" s="66" t="s">
        <v>517</v>
      </c>
      <c r="C13" s="66" t="s">
        <v>290</v>
      </c>
      <c r="D13" s="66" t="s">
        <v>291</v>
      </c>
      <c r="E13" s="66" t="s">
        <v>292</v>
      </c>
    </row>
    <row r="14" spans="1:7" ht="43.2" x14ac:dyDescent="0.3">
      <c r="A14" s="88" t="s">
        <v>293</v>
      </c>
      <c r="B14" s="71">
        <v>1</v>
      </c>
      <c r="C14" s="89" t="s">
        <v>518</v>
      </c>
      <c r="D14" s="89" t="s">
        <v>519</v>
      </c>
      <c r="E14" s="72" t="str">
        <f>IF(B14="","",
IF(B14&gt;=4.5,"Efectivo",
IF(B14&gt;=3.5,"Satisfactorio",
IF(B14&gt;=2.5,"Aceptable",
IF(B14&gt;=1.5,"Inadecuado","Deficiente")))))</f>
        <v>Deficiente</v>
      </c>
    </row>
    <row r="15" spans="1:7" x14ac:dyDescent="0.3">
      <c r="A15" s="265" t="s">
        <v>520</v>
      </c>
      <c r="B15" s="265"/>
      <c r="C15" s="265"/>
      <c r="D15" s="265"/>
      <c r="E15" s="265"/>
    </row>
    <row r="16" spans="1:7" ht="43.2" x14ac:dyDescent="0.3">
      <c r="A16" s="88" t="s">
        <v>187</v>
      </c>
      <c r="B16" s="71">
        <v>3</v>
      </c>
      <c r="C16" s="89" t="s">
        <v>521</v>
      </c>
      <c r="D16" s="89" t="s">
        <v>522</v>
      </c>
      <c r="E16" s="72" t="str">
        <f>IF(B16="","",
IF(B16&gt;=4.5,"Efectivo",
IF(B16&gt;=3.5,"Satisfactorio",
IF(B16&gt;=2.5,"Aceptable",
IF(B16&gt;=1.5,"Inadecuado","Deficiente")))))</f>
        <v>Aceptable</v>
      </c>
    </row>
    <row r="17" spans="1:5" x14ac:dyDescent="0.3">
      <c r="A17" s="265" t="s">
        <v>523</v>
      </c>
      <c r="B17" s="265"/>
      <c r="C17" s="265"/>
      <c r="D17" s="265"/>
      <c r="E17" s="265"/>
    </row>
    <row r="18" spans="1:5" ht="57.6" x14ac:dyDescent="0.3">
      <c r="A18" s="88" t="s">
        <v>294</v>
      </c>
      <c r="B18" s="71">
        <v>5</v>
      </c>
      <c r="C18" s="89" t="s">
        <v>524</v>
      </c>
      <c r="D18" s="89" t="s">
        <v>525</v>
      </c>
      <c r="E18" s="72" t="str">
        <f>IF(B18="","",
IF(B18&gt;=4.5,"Efectivo",
IF(B18&gt;=3.5,"Satisfactorio",
IF(B18&gt;=2.5,"Aceptable",
IF(B18&gt;=1.5,"Inadecuado","Deficiente")))))</f>
        <v>Efectivo</v>
      </c>
    </row>
    <row r="19" spans="1:5" x14ac:dyDescent="0.3">
      <c r="A19" s="265" t="s">
        <v>526</v>
      </c>
      <c r="B19" s="265"/>
      <c r="C19" s="265"/>
      <c r="D19" s="265"/>
      <c r="E19" s="265"/>
    </row>
    <row r="20" spans="1:5" ht="43.2" x14ac:dyDescent="0.3">
      <c r="A20" s="88" t="s">
        <v>295</v>
      </c>
      <c r="B20" s="71">
        <v>2</v>
      </c>
      <c r="C20" s="89" t="s">
        <v>527</v>
      </c>
      <c r="D20" s="89" t="s">
        <v>528</v>
      </c>
      <c r="E20" s="72" t="str">
        <f>IF(B20="","",
IF(B20&gt;=4.5,"Efectivo",
IF(B20&gt;=3.5,"Satisfactorio",
IF(B20&gt;=2.5,"Aceptable",
IF(B20&gt;=1.5,"Inadecuado","Deficiente")))))</f>
        <v>Inadecuado</v>
      </c>
    </row>
    <row r="21" spans="1:5" x14ac:dyDescent="0.3">
      <c r="A21" s="265" t="s">
        <v>529</v>
      </c>
      <c r="B21" s="265"/>
      <c r="C21" s="265"/>
      <c r="D21" s="265"/>
      <c r="E21" s="265"/>
    </row>
    <row r="22" spans="1:5" ht="43.2" x14ac:dyDescent="0.3">
      <c r="A22" s="88" t="s">
        <v>296</v>
      </c>
      <c r="B22" s="71">
        <v>3</v>
      </c>
      <c r="C22" s="89" t="s">
        <v>530</v>
      </c>
      <c r="D22" s="89" t="s">
        <v>531</v>
      </c>
      <c r="E22" s="72" t="str">
        <f>IF(B22="","",
IF(B22&gt;=4.5,"Efectivo",
IF(B22&gt;=3.5,"Satisfactorio",
IF(B22&gt;=2.5,"Aceptable",
IF(B22&gt;=1.5,"Inadecuado","Deficiente")))))</f>
        <v>Aceptable</v>
      </c>
    </row>
    <row r="23" spans="1:5" x14ac:dyDescent="0.3">
      <c r="A23" s="265" t="s">
        <v>532</v>
      </c>
      <c r="B23" s="265"/>
      <c r="C23" s="265"/>
      <c r="D23" s="265"/>
      <c r="E23" s="265"/>
    </row>
    <row r="25" spans="1:5" x14ac:dyDescent="0.3">
      <c r="A25" s="266" t="s">
        <v>533</v>
      </c>
      <c r="B25" s="266"/>
      <c r="C25" s="266"/>
      <c r="D25" s="266"/>
      <c r="E25" s="90">
        <f>IFERROR(AVERAGE(B14,B16,B18,B20,B22),"")</f>
        <v>2.8</v>
      </c>
    </row>
    <row r="26" spans="1:5" x14ac:dyDescent="0.3">
      <c r="A26" s="266" t="s">
        <v>534</v>
      </c>
      <c r="B26" s="266"/>
      <c r="C26" s="266"/>
      <c r="D26" s="266"/>
      <c r="E26" s="91" t="str">
        <f>IF(E25="","",
IF(E25&gt;=4.5,"Efectivo",
IF(E25&gt;=3.5,"Satisfactorio",
IF(E25&gt;=2.5,"Aceptable",
IF(E25&gt;=1.5,"Inadecuado","Deficiente")))))</f>
        <v>Aceptable</v>
      </c>
    </row>
    <row r="28" spans="1:5" x14ac:dyDescent="0.3">
      <c r="A28" s="267" t="s">
        <v>488</v>
      </c>
      <c r="B28" s="267"/>
      <c r="C28" s="267"/>
      <c r="D28" s="267"/>
      <c r="E28" s="267"/>
    </row>
    <row r="29" spans="1:5" x14ac:dyDescent="0.3">
      <c r="A29" s="78" t="s">
        <v>438</v>
      </c>
      <c r="B29" s="248" t="s">
        <v>139</v>
      </c>
      <c r="C29" s="248"/>
      <c r="D29" s="248"/>
      <c r="E29" s="248"/>
    </row>
    <row r="30" spans="1:5" x14ac:dyDescent="0.3">
      <c r="A30" s="92" t="s">
        <v>535</v>
      </c>
      <c r="B30" s="262">
        <f>COUNTIF(E14:E22,"Efectivo")</f>
        <v>1</v>
      </c>
      <c r="C30" s="262"/>
      <c r="D30" s="262"/>
      <c r="E30" s="262"/>
    </row>
    <row r="31" spans="1:5" x14ac:dyDescent="0.3">
      <c r="A31" s="92" t="s">
        <v>536</v>
      </c>
      <c r="B31" s="262">
        <f>COUNTIF(E14:E22,"Satisfactorio")</f>
        <v>0</v>
      </c>
      <c r="C31" s="262"/>
      <c r="D31" s="262"/>
      <c r="E31" s="262"/>
    </row>
    <row r="32" spans="1:5" x14ac:dyDescent="0.3">
      <c r="A32" s="92" t="s">
        <v>537</v>
      </c>
      <c r="B32" s="262">
        <f>COUNTIF(E14:E22,"Aceptable")</f>
        <v>2</v>
      </c>
      <c r="C32" s="262"/>
      <c r="D32" s="262"/>
      <c r="E32" s="262"/>
    </row>
    <row r="33" spans="1:5" x14ac:dyDescent="0.3">
      <c r="A33" s="92" t="s">
        <v>538</v>
      </c>
      <c r="B33" s="262">
        <f>COUNTIF(E14:E22,"Inadecuado")</f>
        <v>1</v>
      </c>
      <c r="C33" s="262"/>
      <c r="D33" s="262"/>
      <c r="E33" s="262"/>
    </row>
    <row r="34" spans="1:5" x14ac:dyDescent="0.3">
      <c r="A34" s="92" t="s">
        <v>539</v>
      </c>
      <c r="B34" s="262">
        <f>COUNTIF(E14:E22,"Deficiente")</f>
        <v>1</v>
      </c>
      <c r="C34" s="262"/>
      <c r="D34" s="262"/>
      <c r="E34" s="262"/>
    </row>
    <row r="35" spans="1:5" x14ac:dyDescent="0.3">
      <c r="A35" s="92" t="s">
        <v>540</v>
      </c>
      <c r="B35" s="263">
        <f>IFERROR(MAX(B14,B16,B18,B20,B22),"")</f>
        <v>5</v>
      </c>
      <c r="C35" s="263"/>
      <c r="D35" s="263"/>
      <c r="E35" s="263"/>
    </row>
    <row r="36" spans="1:5" x14ac:dyDescent="0.3">
      <c r="A36" s="92" t="s">
        <v>541</v>
      </c>
      <c r="B36" s="263">
        <f>IFERROR(MIN(B14,B16,B18,B20,B22),"")</f>
        <v>1</v>
      </c>
      <c r="C36" s="263"/>
      <c r="D36" s="263"/>
      <c r="E36" s="263"/>
    </row>
    <row r="38" spans="1:5" x14ac:dyDescent="0.3">
      <c r="A38" s="264" t="s">
        <v>542</v>
      </c>
      <c r="B38" s="264"/>
      <c r="C38" s="264"/>
      <c r="D38" s="264"/>
      <c r="E38" s="264"/>
    </row>
    <row r="39" spans="1:5" x14ac:dyDescent="0.3">
      <c r="A39" s="80" t="s">
        <v>264</v>
      </c>
      <c r="B39" s="248" t="s">
        <v>181</v>
      </c>
      <c r="C39" s="248"/>
      <c r="D39" s="248"/>
      <c r="E39" s="248"/>
    </row>
    <row r="40" spans="1:5" x14ac:dyDescent="0.3">
      <c r="A40" s="93" t="s">
        <v>543</v>
      </c>
      <c r="B40" s="253" t="str">
        <f>IF(COUNTIF(E14:E22,"Deficiente")&gt;0,COUNTIF(E14:E22,"Deficiente")&amp;" componente(s) DEFICIENTE(s). Requiere acción INMEDIATA.","Sin componentes deficientes")</f>
        <v>1 componente(s) DEFICIENTE(s). Requiere acción INMEDIATA.</v>
      </c>
      <c r="C40" s="253"/>
      <c r="D40" s="253"/>
      <c r="E40" s="253"/>
    </row>
    <row r="41" spans="1:5" x14ac:dyDescent="0.3">
      <c r="A41" s="94" t="s">
        <v>544</v>
      </c>
      <c r="B41" s="261" t="str">
        <f>IF(COUNTIF(E14:E22,"Inadecuado")&gt;0,COUNTIF(E14:E22,"Inadecuado")&amp;" componente(s) INADECUADO(s). Requiere mejoras significativas.","Sin componentes inadecuados")</f>
        <v>1 componente(s) INADECUADO(s). Requiere mejoras significativas.</v>
      </c>
      <c r="C41" s="261"/>
      <c r="D41" s="261"/>
      <c r="E41" s="261"/>
    </row>
    <row r="42" spans="1:5" x14ac:dyDescent="0.3">
      <c r="A42" s="95" t="s">
        <v>545</v>
      </c>
      <c r="B42" s="257" t="str">
        <f>IF(COUNTIF(E14:E22,"Aceptable")&gt;0,COUNTIF(E14:E22,"Aceptable")&amp;" componente(s) ACEPTABLE(s). Monitorear y buscar oportunidades de mejora.","Sin componentes aceptables")</f>
        <v>2 componente(s) ACEPTABLE(s). Monitorear y buscar oportunidades de mejora.</v>
      </c>
      <c r="C42" s="257"/>
      <c r="D42" s="257"/>
      <c r="E42" s="257"/>
    </row>
    <row r="44" spans="1:5" x14ac:dyDescent="0.3">
      <c r="A44" s="259" t="s">
        <v>546</v>
      </c>
      <c r="B44" s="259"/>
      <c r="C44" s="259"/>
      <c r="D44" s="259"/>
      <c r="E44" s="259"/>
    </row>
    <row r="45" spans="1:5" x14ac:dyDescent="0.3">
      <c r="A45" s="80" t="s">
        <v>547</v>
      </c>
      <c r="B45" s="80" t="s">
        <v>292</v>
      </c>
      <c r="C45" s="248" t="s">
        <v>181</v>
      </c>
      <c r="D45" s="248"/>
      <c r="E45" s="248"/>
    </row>
    <row r="46" spans="1:5" x14ac:dyDescent="0.3">
      <c r="A46" s="96" t="s">
        <v>548</v>
      </c>
      <c r="B46" s="96" t="s">
        <v>107</v>
      </c>
      <c r="C46" s="260" t="s">
        <v>549</v>
      </c>
      <c r="D46" s="260"/>
      <c r="E46" s="260"/>
    </row>
    <row r="47" spans="1:5" x14ac:dyDescent="0.3">
      <c r="A47" s="97" t="s">
        <v>550</v>
      </c>
      <c r="B47" s="97" t="s">
        <v>551</v>
      </c>
      <c r="C47" s="260" t="s">
        <v>552</v>
      </c>
      <c r="D47" s="260"/>
      <c r="E47" s="260"/>
    </row>
    <row r="48" spans="1:5" x14ac:dyDescent="0.3">
      <c r="A48" s="98" t="s">
        <v>553</v>
      </c>
      <c r="B48" s="98" t="s">
        <v>554</v>
      </c>
      <c r="C48" s="260" t="s">
        <v>555</v>
      </c>
      <c r="D48" s="260"/>
      <c r="E48" s="260"/>
    </row>
    <row r="49" spans="1:5" x14ac:dyDescent="0.3">
      <c r="A49" s="99" t="s">
        <v>556</v>
      </c>
      <c r="B49" s="99" t="s">
        <v>557</v>
      </c>
      <c r="C49" s="260" t="s">
        <v>558</v>
      </c>
      <c r="D49" s="260"/>
      <c r="E49" s="260"/>
    </row>
    <row r="50" spans="1:5" x14ac:dyDescent="0.3">
      <c r="A50" s="100" t="s">
        <v>559</v>
      </c>
      <c r="B50" s="100" t="s">
        <v>560</v>
      </c>
      <c r="C50" s="260" t="s">
        <v>561</v>
      </c>
      <c r="D50" s="260"/>
      <c r="E50" s="260"/>
    </row>
    <row r="52" spans="1:5" x14ac:dyDescent="0.3">
      <c r="A52" s="255" t="s">
        <v>510</v>
      </c>
      <c r="B52" s="255"/>
      <c r="C52" s="255"/>
      <c r="D52" s="255"/>
      <c r="E52" s="255"/>
    </row>
    <row r="53" spans="1:5" x14ac:dyDescent="0.3">
      <c r="A53" s="256" t="s">
        <v>562</v>
      </c>
      <c r="B53" s="256"/>
      <c r="C53" s="256"/>
      <c r="D53" s="256"/>
      <c r="E53" s="256"/>
    </row>
    <row r="54" spans="1:5" x14ac:dyDescent="0.3">
      <c r="A54" s="256"/>
      <c r="B54" s="256"/>
      <c r="C54" s="256"/>
      <c r="D54" s="256"/>
      <c r="E54" s="256"/>
    </row>
    <row r="55" spans="1:5" x14ac:dyDescent="0.3">
      <c r="A55" s="256"/>
      <c r="B55" s="256"/>
      <c r="C55" s="256"/>
      <c r="D55" s="256"/>
      <c r="E55" s="256"/>
    </row>
    <row r="56" spans="1:5" x14ac:dyDescent="0.3">
      <c r="A56" s="256"/>
      <c r="B56" s="256"/>
      <c r="C56" s="256"/>
      <c r="D56" s="256"/>
      <c r="E56" s="256"/>
    </row>
    <row r="57" spans="1:5" x14ac:dyDescent="0.3">
      <c r="A57" s="256"/>
      <c r="B57" s="256"/>
      <c r="C57" s="256"/>
      <c r="D57" s="256"/>
      <c r="E57" s="256"/>
    </row>
    <row r="58" spans="1:5" x14ac:dyDescent="0.3">
      <c r="A58" s="256"/>
      <c r="B58" s="256"/>
      <c r="C58" s="256"/>
      <c r="D58" s="256"/>
      <c r="E58" s="256"/>
    </row>
    <row r="67" spans="1:4" x14ac:dyDescent="0.3">
      <c r="A67" s="139" t="s">
        <v>662</v>
      </c>
      <c r="B67" s="131"/>
      <c r="C67" s="144" t="s">
        <v>663</v>
      </c>
      <c r="D67" s="131"/>
    </row>
    <row r="68" spans="1:4" x14ac:dyDescent="0.3">
      <c r="A68" s="140" t="s">
        <v>664</v>
      </c>
      <c r="C68" s="145" t="s">
        <v>664</v>
      </c>
    </row>
    <row r="86" spans="1:1" x14ac:dyDescent="0.3">
      <c r="A86" s="127" t="str">
        <f>HYPERLINK("#'INDICE'!A4","&lt;&lt; Volver al Indice")</f>
        <v>&lt;&lt; Volver al Indice</v>
      </c>
    </row>
    <row r="93" spans="1:1" x14ac:dyDescent="0.3">
      <c r="A93" s="15"/>
    </row>
  </sheetData>
  <mergeCells count="32">
    <mergeCell ref="A10:E10"/>
    <mergeCell ref="A12:E12"/>
    <mergeCell ref="A15:E15"/>
    <mergeCell ref="A17:E17"/>
    <mergeCell ref="A19:E19"/>
    <mergeCell ref="A21:E21"/>
    <mergeCell ref="A23:E23"/>
    <mergeCell ref="A25:D25"/>
    <mergeCell ref="A26:D26"/>
    <mergeCell ref="A28:E28"/>
    <mergeCell ref="B29:E29"/>
    <mergeCell ref="B30:E30"/>
    <mergeCell ref="B31:E31"/>
    <mergeCell ref="B32:E32"/>
    <mergeCell ref="B33:E33"/>
    <mergeCell ref="B34:E34"/>
    <mergeCell ref="B35:E35"/>
    <mergeCell ref="B36:E36"/>
    <mergeCell ref="A38:E38"/>
    <mergeCell ref="B39:E39"/>
    <mergeCell ref="B40:E40"/>
    <mergeCell ref="B41:E41"/>
    <mergeCell ref="B42:E42"/>
    <mergeCell ref="C49:E49"/>
    <mergeCell ref="C50:E50"/>
    <mergeCell ref="A52:E52"/>
    <mergeCell ref="A53:E58"/>
    <mergeCell ref="A44:E44"/>
    <mergeCell ref="C45:E45"/>
    <mergeCell ref="C46:E46"/>
    <mergeCell ref="C47:E47"/>
    <mergeCell ref="C48:E48"/>
  </mergeCells>
  <conditionalFormatting sqref="E14">
    <cfRule type="cellIs" dxfId="40" priority="1" operator="equal">
      <formula>"Efectivo"</formula>
    </cfRule>
    <cfRule type="cellIs" dxfId="39" priority="2" operator="equal">
      <formula>"Satisfactorio"</formula>
    </cfRule>
    <cfRule type="cellIs" dxfId="38" priority="3" operator="equal">
      <formula>"Aceptable"</formula>
    </cfRule>
    <cfRule type="cellIs" dxfId="37" priority="4" operator="equal">
      <formula>"Inadecuado"</formula>
    </cfRule>
    <cfRule type="cellIs" dxfId="36" priority="5" operator="equal">
      <formula>"Deficiente"</formula>
    </cfRule>
  </conditionalFormatting>
  <conditionalFormatting sqref="E16">
    <cfRule type="cellIs" dxfId="35" priority="6" operator="equal">
      <formula>"Efectivo"</formula>
    </cfRule>
    <cfRule type="cellIs" dxfId="34" priority="7" operator="equal">
      <formula>"Satisfactorio"</formula>
    </cfRule>
    <cfRule type="cellIs" dxfId="33" priority="8" operator="equal">
      <formula>"Aceptable"</formula>
    </cfRule>
    <cfRule type="cellIs" dxfId="32" priority="9" operator="equal">
      <formula>"Inadecuado"</formula>
    </cfRule>
    <cfRule type="cellIs" dxfId="31" priority="10" operator="equal">
      <formula>"Deficiente"</formula>
    </cfRule>
  </conditionalFormatting>
  <conditionalFormatting sqref="E18">
    <cfRule type="cellIs" dxfId="30" priority="11" operator="equal">
      <formula>"Efectivo"</formula>
    </cfRule>
    <cfRule type="cellIs" dxfId="29" priority="12" operator="equal">
      <formula>"Satisfactorio"</formula>
    </cfRule>
    <cfRule type="cellIs" dxfId="28" priority="13" operator="equal">
      <formula>"Aceptable"</formula>
    </cfRule>
    <cfRule type="cellIs" dxfId="27" priority="14" operator="equal">
      <formula>"Inadecuado"</formula>
    </cfRule>
    <cfRule type="cellIs" dxfId="26" priority="15" operator="equal">
      <formula>"Deficiente"</formula>
    </cfRule>
  </conditionalFormatting>
  <conditionalFormatting sqref="E20">
    <cfRule type="cellIs" dxfId="25" priority="16" operator="equal">
      <formula>"Efectivo"</formula>
    </cfRule>
    <cfRule type="cellIs" dxfId="24" priority="17" operator="equal">
      <formula>"Satisfactorio"</formula>
    </cfRule>
    <cfRule type="cellIs" dxfId="23" priority="18" operator="equal">
      <formula>"Aceptable"</formula>
    </cfRule>
    <cfRule type="cellIs" dxfId="22" priority="19" operator="equal">
      <formula>"Inadecuado"</formula>
    </cfRule>
    <cfRule type="cellIs" dxfId="21" priority="20" operator="equal">
      <formula>"Deficiente"</formula>
    </cfRule>
  </conditionalFormatting>
  <conditionalFormatting sqref="E22">
    <cfRule type="cellIs" dxfId="20" priority="21" operator="equal">
      <formula>"Efectivo"</formula>
    </cfRule>
    <cfRule type="cellIs" dxfId="19" priority="22" operator="equal">
      <formula>"Satisfactorio"</formula>
    </cfRule>
    <cfRule type="cellIs" dxfId="18" priority="23" operator="equal">
      <formula>"Aceptable"</formula>
    </cfRule>
    <cfRule type="cellIs" dxfId="17" priority="24" operator="equal">
      <formula>"Inadecuado"</formula>
    </cfRule>
    <cfRule type="cellIs" dxfId="16" priority="25" operator="equal">
      <formula>"Deficiente"</formula>
    </cfRule>
  </conditionalFormatting>
  <conditionalFormatting sqref="E26">
    <cfRule type="cellIs" dxfId="15" priority="26" operator="equal">
      <formula>"Efectivo"</formula>
    </cfRule>
    <cfRule type="cellIs" dxfId="14" priority="27" operator="equal">
      <formula>"Satisfactorio"</formula>
    </cfRule>
    <cfRule type="cellIs" dxfId="13" priority="28" operator="equal">
      <formula>"Aceptable"</formula>
    </cfRule>
    <cfRule type="cellIs" dxfId="12" priority="29" operator="equal">
      <formula>"Inadecuado"</formula>
    </cfRule>
    <cfRule type="cellIs" dxfId="11" priority="30" operator="equal">
      <formula>"Deficiente"</formula>
    </cfRule>
  </conditionalFormatting>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3:I96"/>
  <sheetViews>
    <sheetView workbookViewId="0">
      <selection activeCell="E8" sqref="E8"/>
    </sheetView>
  </sheetViews>
  <sheetFormatPr baseColWidth="10" defaultColWidth="9.109375" defaultRowHeight="15.05" x14ac:dyDescent="0.3"/>
  <cols>
    <col min="1" max="1" width="20" customWidth="1"/>
    <col min="2" max="2" width="29.5546875" customWidth="1"/>
    <col min="3" max="3" width="14.6640625" customWidth="1"/>
    <col min="4" max="4" width="13.88671875" customWidth="1"/>
    <col min="5" max="5" width="13.33203125" customWidth="1"/>
    <col min="6" max="6" width="11.6640625" customWidth="1"/>
    <col min="7" max="7" width="44.44140625" customWidth="1"/>
    <col min="8" max="8" width="17.44140625" customWidth="1"/>
    <col min="9" max="9" width="13.33203125" customWidth="1"/>
  </cols>
  <sheetData>
    <row r="3" spans="1:9" x14ac:dyDescent="0.3">
      <c r="C3" s="121"/>
    </row>
    <row r="4" spans="1:9" ht="23.25" customHeight="1" x14ac:dyDescent="0.3">
      <c r="I4" s="146" t="s">
        <v>52</v>
      </c>
    </row>
    <row r="5" spans="1:9" x14ac:dyDescent="0.3">
      <c r="E5" s="120" t="s">
        <v>685</v>
      </c>
    </row>
    <row r="6" spans="1:9" x14ac:dyDescent="0.3">
      <c r="E6" s="125" t="s">
        <v>682</v>
      </c>
      <c r="H6" s="58" t="s">
        <v>652</v>
      </c>
      <c r="I6" s="58"/>
    </row>
    <row r="7" spans="1:9" x14ac:dyDescent="0.3">
      <c r="E7" s="120" t="s">
        <v>686</v>
      </c>
      <c r="H7" s="58" t="s">
        <v>653</v>
      </c>
      <c r="I7" s="58"/>
    </row>
    <row r="8" spans="1:9" x14ac:dyDescent="0.3">
      <c r="E8" s="120" t="s">
        <v>689</v>
      </c>
      <c r="H8" s="58" t="s">
        <v>654</v>
      </c>
      <c r="I8" s="58"/>
    </row>
    <row r="9" spans="1:9" x14ac:dyDescent="0.3">
      <c r="H9" s="58" t="s">
        <v>655</v>
      </c>
      <c r="I9" s="58"/>
    </row>
    <row r="10" spans="1:9" ht="22.6" customHeight="1" x14ac:dyDescent="0.3">
      <c r="A10" s="246" t="s">
        <v>680</v>
      </c>
      <c r="B10" s="246"/>
      <c r="C10" s="246"/>
      <c r="D10" s="246"/>
      <c r="E10" s="246"/>
      <c r="F10" s="246"/>
      <c r="G10" s="246"/>
    </row>
    <row r="11" spans="1:9" ht="22.6" customHeight="1" x14ac:dyDescent="0.3"/>
    <row r="12" spans="1:9" ht="22.6" customHeight="1" x14ac:dyDescent="0.3">
      <c r="A12" s="246" t="s">
        <v>297</v>
      </c>
      <c r="B12" s="246"/>
      <c r="C12" s="246"/>
      <c r="D12" s="246"/>
      <c r="E12" s="246"/>
      <c r="F12" s="246"/>
      <c r="G12" s="246"/>
    </row>
    <row r="13" spans="1:9" ht="22.6" customHeight="1" x14ac:dyDescent="0.3">
      <c r="A13" s="66" t="s">
        <v>298</v>
      </c>
      <c r="B13" s="66" t="s">
        <v>299</v>
      </c>
      <c r="C13" s="66" t="s">
        <v>300</v>
      </c>
      <c r="D13" s="66" t="s">
        <v>301</v>
      </c>
      <c r="E13" s="66" t="s">
        <v>302</v>
      </c>
      <c r="F13" s="66" t="s">
        <v>563</v>
      </c>
      <c r="G13" s="66" t="s">
        <v>303</v>
      </c>
    </row>
    <row r="14" spans="1:9" ht="56.95" customHeight="1" x14ac:dyDescent="0.3">
      <c r="A14" s="89" t="s">
        <v>564</v>
      </c>
      <c r="B14" s="89" t="s">
        <v>565</v>
      </c>
      <c r="C14" s="71">
        <v>30</v>
      </c>
      <c r="D14" s="71">
        <v>30</v>
      </c>
      <c r="E14" s="101">
        <v>5</v>
      </c>
      <c r="F14" s="102">
        <f t="shared" ref="F14:F28" si="0">IF(AND(C14&lt;&gt;"",C14&gt;0),E14/C14,"")</f>
        <v>0.16666666666666666</v>
      </c>
      <c r="G14" s="103" t="str">
        <f t="shared" ref="G14:G28" si="1">IF(F14="","",
IF(F14=0,"Efectivo",
IF(F14&lt;=0.05,"Efectivo con excepciones menores",
IF(F14&lt;=0.1,"Se puede confiar con reservas",
"Inefectivo - No se puede confiar"))))</f>
        <v>Inefectivo - No se puede confiar</v>
      </c>
    </row>
    <row r="15" spans="1:9" ht="46.5" customHeight="1" x14ac:dyDescent="0.3">
      <c r="A15" s="89" t="s">
        <v>566</v>
      </c>
      <c r="B15" s="89" t="s">
        <v>567</v>
      </c>
      <c r="C15" s="71">
        <v>12</v>
      </c>
      <c r="D15" s="71">
        <v>12</v>
      </c>
      <c r="E15" s="101">
        <f t="shared" ref="E15:E28" si="2">IF(AND(C15&lt;&gt;"",D15&lt;&gt;""),C15-D15,"")</f>
        <v>0</v>
      </c>
      <c r="F15" s="102">
        <f t="shared" si="0"/>
        <v>0</v>
      </c>
      <c r="G15" s="103" t="str">
        <f t="shared" si="1"/>
        <v>Efectivo</v>
      </c>
    </row>
    <row r="16" spans="1:9" ht="35.200000000000003" customHeight="1" x14ac:dyDescent="0.3">
      <c r="A16" s="89" t="s">
        <v>568</v>
      </c>
      <c r="B16" s="89" t="s">
        <v>569</v>
      </c>
      <c r="C16" s="71">
        <v>20</v>
      </c>
      <c r="D16" s="71">
        <v>19</v>
      </c>
      <c r="E16" s="101">
        <f t="shared" si="2"/>
        <v>1</v>
      </c>
      <c r="F16" s="102">
        <f t="shared" si="0"/>
        <v>0.05</v>
      </c>
      <c r="G16" s="103" t="str">
        <f t="shared" si="1"/>
        <v>Efectivo con excepciones menores</v>
      </c>
    </row>
    <row r="17" spans="1:7" ht="35.200000000000003" customHeight="1" x14ac:dyDescent="0.3">
      <c r="A17" s="89" t="s">
        <v>570</v>
      </c>
      <c r="B17" s="89" t="s">
        <v>571</v>
      </c>
      <c r="C17" s="71">
        <v>1</v>
      </c>
      <c r="D17" s="71">
        <v>1</v>
      </c>
      <c r="E17" s="101">
        <f t="shared" si="2"/>
        <v>0</v>
      </c>
      <c r="F17" s="102">
        <f t="shared" si="0"/>
        <v>0</v>
      </c>
      <c r="G17" s="103" t="str">
        <f t="shared" si="1"/>
        <v>Efectivo</v>
      </c>
    </row>
    <row r="18" spans="1:7" ht="35.200000000000003" customHeight="1" x14ac:dyDescent="0.3">
      <c r="A18" s="89" t="s">
        <v>572</v>
      </c>
      <c r="B18" s="89" t="s">
        <v>573</v>
      </c>
      <c r="C18" s="71">
        <v>100</v>
      </c>
      <c r="D18" s="71">
        <v>98</v>
      </c>
      <c r="E18" s="101">
        <f t="shared" si="2"/>
        <v>2</v>
      </c>
      <c r="F18" s="102">
        <f t="shared" si="0"/>
        <v>0.02</v>
      </c>
      <c r="G18" s="103" t="str">
        <f t="shared" si="1"/>
        <v>Efectivo con excepciones menores</v>
      </c>
    </row>
    <row r="19" spans="1:7" ht="35.200000000000003" customHeight="1" x14ac:dyDescent="0.3">
      <c r="A19" s="89" t="s">
        <v>574</v>
      </c>
      <c r="B19" s="89" t="s">
        <v>575</v>
      </c>
      <c r="C19" s="71">
        <v>25</v>
      </c>
      <c r="D19" s="71">
        <v>23</v>
      </c>
      <c r="E19" s="101">
        <f t="shared" si="2"/>
        <v>2</v>
      </c>
      <c r="F19" s="102">
        <f t="shared" si="0"/>
        <v>0.08</v>
      </c>
      <c r="G19" s="103" t="str">
        <f t="shared" si="1"/>
        <v>Se puede confiar con reservas</v>
      </c>
    </row>
    <row r="20" spans="1:7" ht="35.200000000000003" customHeight="1" x14ac:dyDescent="0.3">
      <c r="A20" s="89" t="s">
        <v>576</v>
      </c>
      <c r="B20" s="89" t="s">
        <v>577</v>
      </c>
      <c r="C20" s="71">
        <v>12</v>
      </c>
      <c r="D20" s="71">
        <v>11</v>
      </c>
      <c r="E20" s="101">
        <f t="shared" si="2"/>
        <v>1</v>
      </c>
      <c r="F20" s="102">
        <f t="shared" si="0"/>
        <v>8.3333333333333329E-2</v>
      </c>
      <c r="G20" s="103" t="str">
        <f t="shared" si="1"/>
        <v>Se puede confiar con reservas</v>
      </c>
    </row>
    <row r="21" spans="1:7" ht="35.200000000000003" customHeight="1" x14ac:dyDescent="0.3">
      <c r="A21" s="89" t="s">
        <v>578</v>
      </c>
      <c r="B21" s="89" t="s">
        <v>579</v>
      </c>
      <c r="C21" s="71">
        <v>24</v>
      </c>
      <c r="D21" s="71">
        <v>24</v>
      </c>
      <c r="E21" s="101">
        <f t="shared" si="2"/>
        <v>0</v>
      </c>
      <c r="F21" s="102">
        <f t="shared" si="0"/>
        <v>0</v>
      </c>
      <c r="G21" s="103" t="str">
        <f t="shared" si="1"/>
        <v>Efectivo</v>
      </c>
    </row>
    <row r="22" spans="1:7" ht="35.200000000000003" customHeight="1" x14ac:dyDescent="0.3">
      <c r="A22" s="89" t="s">
        <v>580</v>
      </c>
      <c r="B22" s="89" t="s">
        <v>581</v>
      </c>
      <c r="C22" s="71">
        <v>50</v>
      </c>
      <c r="D22" s="71">
        <v>45</v>
      </c>
      <c r="E22" s="101">
        <f t="shared" si="2"/>
        <v>5</v>
      </c>
      <c r="F22" s="102">
        <f t="shared" si="0"/>
        <v>0.1</v>
      </c>
      <c r="G22" s="103" t="str">
        <f t="shared" si="1"/>
        <v>Se puede confiar con reservas</v>
      </c>
    </row>
    <row r="23" spans="1:7" ht="35.200000000000003" customHeight="1" x14ac:dyDescent="0.3">
      <c r="A23" s="89" t="s">
        <v>582</v>
      </c>
      <c r="B23" s="89" t="s">
        <v>583</v>
      </c>
      <c r="C23" s="71">
        <v>30</v>
      </c>
      <c r="D23" s="71">
        <v>22</v>
      </c>
      <c r="E23" s="101">
        <f t="shared" si="2"/>
        <v>8</v>
      </c>
      <c r="F23" s="102">
        <f t="shared" si="0"/>
        <v>0.26666666666666666</v>
      </c>
      <c r="G23" s="103" t="str">
        <f t="shared" si="1"/>
        <v>Inefectivo - No se puede confiar</v>
      </c>
    </row>
    <row r="24" spans="1:7" ht="35.200000000000003" customHeight="1" x14ac:dyDescent="0.3">
      <c r="A24" s="89" t="s">
        <v>584</v>
      </c>
      <c r="B24" s="89" t="s">
        <v>585</v>
      </c>
      <c r="C24" s="71">
        <v>40</v>
      </c>
      <c r="D24" s="71">
        <v>38</v>
      </c>
      <c r="E24" s="101">
        <f t="shared" si="2"/>
        <v>2</v>
      </c>
      <c r="F24" s="102">
        <f t="shared" si="0"/>
        <v>0.05</v>
      </c>
      <c r="G24" s="103" t="str">
        <f t="shared" si="1"/>
        <v>Efectivo con excepciones menores</v>
      </c>
    </row>
    <row r="25" spans="1:7" ht="35.200000000000003" customHeight="1" x14ac:dyDescent="0.3">
      <c r="A25" s="89" t="s">
        <v>586</v>
      </c>
      <c r="B25" s="89" t="s">
        <v>587</v>
      </c>
      <c r="C25" s="71">
        <v>12</v>
      </c>
      <c r="D25" s="71">
        <v>9</v>
      </c>
      <c r="E25" s="101">
        <f t="shared" si="2"/>
        <v>3</v>
      </c>
      <c r="F25" s="102">
        <f t="shared" si="0"/>
        <v>0.25</v>
      </c>
      <c r="G25" s="103" t="str">
        <f t="shared" si="1"/>
        <v>Inefectivo - No se puede confiar</v>
      </c>
    </row>
    <row r="26" spans="1:7" ht="35.200000000000003" customHeight="1" x14ac:dyDescent="0.3">
      <c r="A26" s="89"/>
      <c r="B26" s="89"/>
      <c r="C26" s="71"/>
      <c r="D26" s="71"/>
      <c r="E26" s="101" t="str">
        <f t="shared" si="2"/>
        <v/>
      </c>
      <c r="F26" s="102" t="str">
        <f t="shared" si="0"/>
        <v/>
      </c>
      <c r="G26" s="103" t="str">
        <f t="shared" si="1"/>
        <v/>
      </c>
    </row>
    <row r="27" spans="1:7" ht="35.200000000000003" customHeight="1" x14ac:dyDescent="0.3">
      <c r="A27" s="89"/>
      <c r="B27" s="89"/>
      <c r="C27" s="71"/>
      <c r="D27" s="71"/>
      <c r="E27" s="101" t="str">
        <f t="shared" si="2"/>
        <v/>
      </c>
      <c r="F27" s="102" t="str">
        <f t="shared" si="0"/>
        <v/>
      </c>
      <c r="G27" s="103" t="str">
        <f t="shared" si="1"/>
        <v/>
      </c>
    </row>
    <row r="28" spans="1:7" ht="35.200000000000003" customHeight="1" x14ac:dyDescent="0.3">
      <c r="A28" s="89"/>
      <c r="B28" s="89"/>
      <c r="C28" s="71"/>
      <c r="D28" s="71"/>
      <c r="E28" s="101" t="str">
        <f t="shared" si="2"/>
        <v/>
      </c>
      <c r="F28" s="102" t="str">
        <f t="shared" si="0"/>
        <v/>
      </c>
      <c r="G28" s="103" t="str">
        <f t="shared" si="1"/>
        <v/>
      </c>
    </row>
    <row r="29" spans="1:7" ht="22.6" customHeight="1" x14ac:dyDescent="0.3">
      <c r="A29" s="104" t="s">
        <v>588</v>
      </c>
      <c r="B29" s="76"/>
      <c r="C29" s="105">
        <f>SUM(C14:C28)</f>
        <v>356</v>
      </c>
      <c r="D29" s="105">
        <f>SUM(D14:D28)</f>
        <v>332</v>
      </c>
      <c r="E29" s="106">
        <f>SUM(E14:E28)</f>
        <v>29</v>
      </c>
      <c r="F29" s="107">
        <f>IF(C29&gt;0,E29/C29,"")</f>
        <v>8.1460674157303375E-2</v>
      </c>
      <c r="G29" s="76"/>
    </row>
    <row r="30" spans="1:7" ht="22.6" customHeight="1" x14ac:dyDescent="0.3"/>
    <row r="31" spans="1:7" ht="22.6" customHeight="1" x14ac:dyDescent="0.3">
      <c r="A31" s="246" t="s">
        <v>488</v>
      </c>
      <c r="B31" s="246"/>
      <c r="C31" s="246"/>
      <c r="D31" s="246"/>
      <c r="E31" s="246"/>
      <c r="F31" s="246"/>
      <c r="G31" s="246"/>
    </row>
    <row r="32" spans="1:7" x14ac:dyDescent="0.3">
      <c r="A32" s="248" t="s">
        <v>438</v>
      </c>
      <c r="B32" s="248"/>
      <c r="C32" s="248"/>
      <c r="D32" s="248" t="s">
        <v>139</v>
      </c>
      <c r="E32" s="248"/>
      <c r="F32" s="248"/>
      <c r="G32" s="248"/>
    </row>
    <row r="33" spans="1:7" x14ac:dyDescent="0.3">
      <c r="A33" s="268" t="s">
        <v>589</v>
      </c>
      <c r="B33" s="268"/>
      <c r="C33" s="268"/>
      <c r="D33" s="269">
        <f>COUNTA(A14:A28)</f>
        <v>12</v>
      </c>
      <c r="E33" s="269"/>
      <c r="F33" s="269"/>
      <c r="G33" s="269"/>
    </row>
    <row r="34" spans="1:7" x14ac:dyDescent="0.3">
      <c r="A34" s="268" t="s">
        <v>590</v>
      </c>
      <c r="B34" s="268"/>
      <c r="C34" s="268"/>
      <c r="D34" s="270">
        <f>COUNTIF(G14:G28,"Efectivo")</f>
        <v>3</v>
      </c>
      <c r="E34" s="270"/>
      <c r="F34" s="270"/>
      <c r="G34" s="270"/>
    </row>
    <row r="35" spans="1:7" x14ac:dyDescent="0.3">
      <c r="A35" s="268" t="s">
        <v>591</v>
      </c>
      <c r="B35" s="268"/>
      <c r="C35" s="268"/>
      <c r="D35" s="270">
        <f>COUNTIF(G14:G28,"Efectivo con excepciones menores")</f>
        <v>3</v>
      </c>
      <c r="E35" s="270"/>
      <c r="F35" s="270"/>
      <c r="G35" s="270"/>
    </row>
    <row r="36" spans="1:7" x14ac:dyDescent="0.3">
      <c r="A36" s="268" t="s">
        <v>592</v>
      </c>
      <c r="B36" s="268"/>
      <c r="C36" s="268"/>
      <c r="D36" s="270">
        <f>COUNTIF(G14:G28,"Se puede confiar con reservas")</f>
        <v>3</v>
      </c>
      <c r="E36" s="270"/>
      <c r="F36" s="270"/>
      <c r="G36" s="270"/>
    </row>
    <row r="37" spans="1:7" x14ac:dyDescent="0.3">
      <c r="A37" s="268" t="s">
        <v>593</v>
      </c>
      <c r="B37" s="268"/>
      <c r="C37" s="268"/>
      <c r="D37" s="271">
        <f>COUNTIF(G14:G28,"Inefectivo - No se puede confiar")</f>
        <v>3</v>
      </c>
      <c r="E37" s="271"/>
      <c r="F37" s="271"/>
      <c r="G37" s="271"/>
    </row>
    <row r="38" spans="1:7" x14ac:dyDescent="0.3">
      <c r="A38" s="268" t="s">
        <v>594</v>
      </c>
      <c r="B38" s="268"/>
      <c r="C38" s="268"/>
      <c r="D38" s="250">
        <f>C29</f>
        <v>356</v>
      </c>
      <c r="E38" s="250"/>
      <c r="F38" s="250"/>
      <c r="G38" s="250"/>
    </row>
    <row r="39" spans="1:7" x14ac:dyDescent="0.3">
      <c r="A39" s="268" t="s">
        <v>595</v>
      </c>
      <c r="B39" s="268"/>
      <c r="C39" s="268"/>
      <c r="D39" s="250">
        <f>E29</f>
        <v>29</v>
      </c>
      <c r="E39" s="250"/>
      <c r="F39" s="250"/>
      <c r="G39" s="250"/>
    </row>
    <row r="40" spans="1:7" x14ac:dyDescent="0.3">
      <c r="A40" s="268" t="s">
        <v>596</v>
      </c>
      <c r="B40" s="268"/>
      <c r="C40" s="268"/>
      <c r="D40" s="272">
        <f>F29</f>
        <v>8.1460674157303375E-2</v>
      </c>
      <c r="E40" s="272"/>
      <c r="F40" s="272"/>
      <c r="G40" s="272"/>
    </row>
    <row r="41" spans="1:7" x14ac:dyDescent="0.3">
      <c r="A41" s="266" t="s">
        <v>534</v>
      </c>
      <c r="B41" s="266"/>
      <c r="C41" s="266"/>
      <c r="D41" s="273" t="str">
        <f>IF(COUNTIF(G14:G28,"Inefectivo - No se puede confiar")&gt;0,"No se puede confiar en controles",
IF(D40&lt;=0.03,"Se puede confiar en controles",
IF(D40&lt;=0.07,"Se puede confiar con algunas reservas",
"Confianza limitada en controles")))</f>
        <v>No se puede confiar en controles</v>
      </c>
      <c r="E41" s="273"/>
      <c r="F41" s="273"/>
      <c r="G41" s="273"/>
    </row>
    <row r="43" spans="1:7" x14ac:dyDescent="0.3">
      <c r="A43" s="264" t="s">
        <v>496</v>
      </c>
      <c r="B43" s="264"/>
      <c r="C43" s="264"/>
      <c r="D43" s="264"/>
      <c r="E43" s="264"/>
      <c r="F43" s="264"/>
      <c r="G43" s="264"/>
    </row>
    <row r="44" spans="1:7" x14ac:dyDescent="0.3">
      <c r="A44" s="248" t="s">
        <v>264</v>
      </c>
      <c r="B44" s="248"/>
      <c r="C44" s="248" t="s">
        <v>181</v>
      </c>
      <c r="D44" s="248"/>
      <c r="E44" s="248"/>
      <c r="F44" s="248"/>
      <c r="G44" s="248"/>
    </row>
    <row r="45" spans="1:7" x14ac:dyDescent="0.3">
      <c r="A45" s="274" t="s">
        <v>543</v>
      </c>
      <c r="B45" s="274"/>
      <c r="C45" s="253" t="str">
        <f>IF(COUNTIF(G14:G28,"Inefectivo - No se puede confiar")&gt;0,COUNTIF(G14:G28,"Inefectivo - No se puede confiar")&amp;" control(es) INEFECTIVO(S). No se puede confiar. Usar enfoque 100% sustantivo.","Sin controles inefectivos")</f>
        <v>3 control(es) INEFECTIVO(S). No se puede confiar. Usar enfoque 100% sustantivo.</v>
      </c>
      <c r="D45" s="253"/>
      <c r="E45" s="253"/>
      <c r="F45" s="253"/>
      <c r="G45" s="253"/>
    </row>
    <row r="46" spans="1:7" x14ac:dyDescent="0.3">
      <c r="A46" s="275" t="s">
        <v>597</v>
      </c>
      <c r="B46" s="275"/>
      <c r="C46" s="257" t="str">
        <f>IF(COUNTIF(G14:G28,"Se puede confiar con reservas")&gt;0,COUNTIF(G14:G28,"Se puede confiar con reservas")&amp;" control(es) con RESERVAS. Aumentar pruebas sustantivas en estas áreas.","Sin controles con reservas")</f>
        <v>3 control(es) con RESERVAS. Aumentar pruebas sustantivas en estas áreas.</v>
      </c>
      <c r="D46" s="257"/>
      <c r="E46" s="257"/>
      <c r="F46" s="257"/>
      <c r="G46" s="257"/>
    </row>
    <row r="47" spans="1:7" x14ac:dyDescent="0.3">
      <c r="A47" s="276" t="s">
        <v>598</v>
      </c>
      <c r="B47" s="276"/>
      <c r="C47" s="258" t="str">
        <f>IF(COUNTIF(G14:G28,"Efectivo")&gt;0,COUNTIF(G14:G28,"Efectivo")&amp;" control(es) EFECTIVO(S). Se puede confiar en estos controles.","Sin controles 100% efectivos")</f>
        <v>3 control(es) EFECTIVO(S). Se puede confiar en estos controles.</v>
      </c>
      <c r="D47" s="258"/>
      <c r="E47" s="258"/>
      <c r="F47" s="258"/>
      <c r="G47" s="258"/>
    </row>
    <row r="49" spans="1:7" x14ac:dyDescent="0.3">
      <c r="A49" s="259" t="s">
        <v>599</v>
      </c>
      <c r="B49" s="259"/>
      <c r="C49" s="259"/>
      <c r="D49" s="259"/>
      <c r="E49" s="259"/>
      <c r="F49" s="259"/>
      <c r="G49" s="259"/>
    </row>
    <row r="50" spans="1:7" x14ac:dyDescent="0.3">
      <c r="A50" s="248" t="s">
        <v>600</v>
      </c>
      <c r="B50" s="248"/>
      <c r="C50" s="80" t="s">
        <v>303</v>
      </c>
      <c r="D50" s="248" t="s">
        <v>601</v>
      </c>
      <c r="E50" s="248"/>
      <c r="F50" s="248"/>
      <c r="G50" s="248"/>
    </row>
    <row r="51" spans="1:7" x14ac:dyDescent="0.3">
      <c r="A51" s="278" t="s">
        <v>602</v>
      </c>
      <c r="B51" s="278"/>
      <c r="C51" s="108" t="s">
        <v>107</v>
      </c>
      <c r="D51" s="260" t="s">
        <v>603</v>
      </c>
      <c r="E51" s="260"/>
      <c r="F51" s="260"/>
      <c r="G51" s="260"/>
    </row>
    <row r="52" spans="1:7" ht="35.35" x14ac:dyDescent="0.3">
      <c r="A52" s="279" t="s">
        <v>604</v>
      </c>
      <c r="B52" s="279"/>
      <c r="C52" s="109" t="s">
        <v>605</v>
      </c>
      <c r="D52" s="260" t="s">
        <v>606</v>
      </c>
      <c r="E52" s="260"/>
      <c r="F52" s="260"/>
      <c r="G52" s="260"/>
    </row>
    <row r="53" spans="1:7" ht="23.6" x14ac:dyDescent="0.3">
      <c r="A53" s="280" t="s">
        <v>607</v>
      </c>
      <c r="B53" s="280"/>
      <c r="C53" s="110" t="s">
        <v>608</v>
      </c>
      <c r="D53" s="260" t="s">
        <v>609</v>
      </c>
      <c r="E53" s="260"/>
      <c r="F53" s="260"/>
      <c r="G53" s="260"/>
    </row>
    <row r="54" spans="1:7" ht="23.6" x14ac:dyDescent="0.3">
      <c r="A54" s="277" t="s">
        <v>610</v>
      </c>
      <c r="B54" s="277"/>
      <c r="C54" s="111" t="s">
        <v>611</v>
      </c>
      <c r="D54" s="260" t="s">
        <v>612</v>
      </c>
      <c r="E54" s="260"/>
      <c r="F54" s="260"/>
      <c r="G54" s="260"/>
    </row>
    <row r="56" spans="1:7" x14ac:dyDescent="0.3">
      <c r="A56" s="255" t="s">
        <v>510</v>
      </c>
      <c r="B56" s="255"/>
      <c r="C56" s="255"/>
      <c r="D56" s="255"/>
      <c r="E56" s="255"/>
      <c r="F56" s="255"/>
      <c r="G56" s="255"/>
    </row>
    <row r="57" spans="1:7" x14ac:dyDescent="0.3">
      <c r="A57" s="256" t="s">
        <v>613</v>
      </c>
      <c r="B57" s="256"/>
      <c r="C57" s="256"/>
      <c r="D57" s="256"/>
      <c r="E57" s="256"/>
      <c r="F57" s="256"/>
      <c r="G57" s="256"/>
    </row>
    <row r="58" spans="1:7" x14ac:dyDescent="0.3">
      <c r="A58" s="256"/>
      <c r="B58" s="256"/>
      <c r="C58" s="256"/>
      <c r="D58" s="256"/>
      <c r="E58" s="256"/>
      <c r="F58" s="256"/>
      <c r="G58" s="256"/>
    </row>
    <row r="59" spans="1:7" x14ac:dyDescent="0.3">
      <c r="A59" s="256"/>
      <c r="B59" s="256"/>
      <c r="C59" s="256"/>
      <c r="D59" s="256"/>
      <c r="E59" s="256"/>
      <c r="F59" s="256"/>
      <c r="G59" s="256"/>
    </row>
    <row r="60" spans="1:7" x14ac:dyDescent="0.3">
      <c r="A60" s="256"/>
      <c r="B60" s="256"/>
      <c r="C60" s="256"/>
      <c r="D60" s="256"/>
      <c r="E60" s="256"/>
      <c r="F60" s="256"/>
      <c r="G60" s="256"/>
    </row>
    <row r="61" spans="1:7" x14ac:dyDescent="0.3">
      <c r="A61" s="256"/>
      <c r="B61" s="256"/>
      <c r="C61" s="256"/>
      <c r="D61" s="256"/>
      <c r="E61" s="256"/>
      <c r="F61" s="256"/>
      <c r="G61" s="256"/>
    </row>
    <row r="62" spans="1:7" x14ac:dyDescent="0.3">
      <c r="A62" s="256"/>
      <c r="B62" s="256"/>
      <c r="C62" s="256"/>
      <c r="D62" s="256"/>
      <c r="E62" s="256"/>
      <c r="F62" s="256"/>
      <c r="G62" s="256"/>
    </row>
    <row r="63" spans="1:7" x14ac:dyDescent="0.3">
      <c r="A63" s="256"/>
      <c r="B63" s="256"/>
      <c r="C63" s="256"/>
      <c r="D63" s="256"/>
      <c r="E63" s="256"/>
      <c r="F63" s="256"/>
      <c r="G63" s="256"/>
    </row>
    <row r="71" spans="1:7" x14ac:dyDescent="0.3">
      <c r="A71" s="138" t="s">
        <v>662</v>
      </c>
      <c r="B71" s="131"/>
      <c r="C71" s="131"/>
      <c r="F71" s="138" t="s">
        <v>663</v>
      </c>
      <c r="G71" s="131"/>
    </row>
    <row r="72" spans="1:7" x14ac:dyDescent="0.3">
      <c r="A72" s="140" t="s">
        <v>664</v>
      </c>
      <c r="F72" s="140" t="s">
        <v>664</v>
      </c>
    </row>
    <row r="83" spans="1:1" x14ac:dyDescent="0.3">
      <c r="A83" s="15"/>
    </row>
    <row r="96" spans="1:1" x14ac:dyDescent="0.3">
      <c r="A96" s="127" t="str">
        <f>HYPERLINK("#'INDICE'!A4","&lt;&lt; Volver al Indice")</f>
        <v>&lt;&lt; Volver al Indice</v>
      </c>
    </row>
  </sheetData>
  <mergeCells count="45">
    <mergeCell ref="A57:G63"/>
    <mergeCell ref="A51:B51"/>
    <mergeCell ref="D51:G51"/>
    <mergeCell ref="A52:B52"/>
    <mergeCell ref="D52:G52"/>
    <mergeCell ref="A53:B53"/>
    <mergeCell ref="D53:G53"/>
    <mergeCell ref="A50:B50"/>
    <mergeCell ref="D50:G50"/>
    <mergeCell ref="A54:B54"/>
    <mergeCell ref="D54:G54"/>
    <mergeCell ref="A56:G56"/>
    <mergeCell ref="A46:B46"/>
    <mergeCell ref="C46:G46"/>
    <mergeCell ref="A47:B47"/>
    <mergeCell ref="C47:G47"/>
    <mergeCell ref="A49:G49"/>
    <mergeCell ref="A43:G43"/>
    <mergeCell ref="A44:B44"/>
    <mergeCell ref="C44:G44"/>
    <mergeCell ref="A45:B45"/>
    <mergeCell ref="C45:G45"/>
    <mergeCell ref="A39:C39"/>
    <mergeCell ref="D39:G39"/>
    <mergeCell ref="A40:C40"/>
    <mergeCell ref="D40:G40"/>
    <mergeCell ref="A41:C41"/>
    <mergeCell ref="D41:G41"/>
    <mergeCell ref="A36:C36"/>
    <mergeCell ref="D36:G36"/>
    <mergeCell ref="A37:C37"/>
    <mergeCell ref="D37:G37"/>
    <mergeCell ref="A38:C38"/>
    <mergeCell ref="D38:G38"/>
    <mergeCell ref="A33:C33"/>
    <mergeCell ref="D33:G33"/>
    <mergeCell ref="A34:C34"/>
    <mergeCell ref="D34:G34"/>
    <mergeCell ref="A35:C35"/>
    <mergeCell ref="D35:G35"/>
    <mergeCell ref="A10:G10"/>
    <mergeCell ref="A12:G12"/>
    <mergeCell ref="A31:G31"/>
    <mergeCell ref="A32:C32"/>
    <mergeCell ref="D32:G32"/>
  </mergeCells>
  <conditionalFormatting sqref="D41">
    <cfRule type="cellIs" dxfId="10" priority="9" operator="equal">
      <formula>"Se puede confiar en controles"</formula>
    </cfRule>
    <cfRule type="cellIs" dxfId="9" priority="10" operator="equal">
      <formula>"Se puede confiar con algunas reservas"</formula>
    </cfRule>
    <cfRule type="cellIs" dxfId="8" priority="11" operator="equal">
      <formula>"Confianza limitada en controles"</formula>
    </cfRule>
    <cfRule type="cellIs" dxfId="7" priority="12" operator="equal">
      <formula>"No se puede confiar en controles"</formula>
    </cfRule>
  </conditionalFormatting>
  <conditionalFormatting sqref="E14:F28">
    <cfRule type="cellIs" dxfId="6" priority="5" operator="equal">
      <formula>0</formula>
    </cfRule>
  </conditionalFormatting>
  <conditionalFormatting sqref="F14:F28">
    <cfRule type="cellIs" dxfId="5" priority="7" operator="greaterThan">
      <formula>0.1</formula>
    </cfRule>
    <cfRule type="cellIs" dxfId="4" priority="8" operator="between">
      <formula>0.05</formula>
      <formula>0.1</formula>
    </cfRule>
  </conditionalFormatting>
  <conditionalFormatting sqref="G14:G28">
    <cfRule type="cellIs" dxfId="3" priority="1" operator="equal">
      <formula>"Efectivo"</formula>
    </cfRule>
    <cfRule type="cellIs" dxfId="2" priority="2" operator="equal">
      <formula>"Efectivo con excepciones menores"</formula>
    </cfRule>
    <cfRule type="cellIs" dxfId="1" priority="3" operator="equal">
      <formula>"Se puede confiar con reservas"</formula>
    </cfRule>
    <cfRule type="cellIs" dxfId="0" priority="4" operator="equal">
      <formula>"Inefectivo - No se puede confiar"</formula>
    </cfRule>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3:H108"/>
  <sheetViews>
    <sheetView workbookViewId="0">
      <selection activeCell="C8" sqref="C8:D8"/>
    </sheetView>
  </sheetViews>
  <sheetFormatPr baseColWidth="10" defaultColWidth="9.109375" defaultRowHeight="15.05" x14ac:dyDescent="0.3"/>
  <cols>
    <col min="1" max="6" width="20" customWidth="1"/>
    <col min="7" max="7" width="17.6640625" customWidth="1"/>
    <col min="8" max="8" width="13.44140625" customWidth="1"/>
  </cols>
  <sheetData>
    <row r="3" spans="1:8" x14ac:dyDescent="0.3">
      <c r="D3" s="121"/>
    </row>
    <row r="4" spans="1:8" ht="26.2" customHeight="1" x14ac:dyDescent="0.3">
      <c r="H4" s="146" t="s">
        <v>54</v>
      </c>
    </row>
    <row r="5" spans="1:8" x14ac:dyDescent="0.3">
      <c r="C5" s="142" t="s">
        <v>687</v>
      </c>
      <c r="D5" s="148"/>
    </row>
    <row r="6" spans="1:8" x14ac:dyDescent="0.3">
      <c r="C6" s="142" t="s">
        <v>683</v>
      </c>
      <c r="E6" s="148"/>
      <c r="G6" s="58" t="s">
        <v>652</v>
      </c>
      <c r="H6" s="58"/>
    </row>
    <row r="7" spans="1:8" x14ac:dyDescent="0.3">
      <c r="C7" s="120" t="s">
        <v>688</v>
      </c>
      <c r="E7" s="148"/>
      <c r="G7" s="58" t="s">
        <v>653</v>
      </c>
      <c r="H7" s="58"/>
    </row>
    <row r="8" spans="1:8" x14ac:dyDescent="0.3">
      <c r="C8" s="285" t="s">
        <v>689</v>
      </c>
      <c r="D8" s="285"/>
      <c r="G8" s="58" t="s">
        <v>654</v>
      </c>
      <c r="H8" s="58"/>
    </row>
    <row r="9" spans="1:8" x14ac:dyDescent="0.3">
      <c r="G9" s="58" t="s">
        <v>655</v>
      </c>
      <c r="H9" s="58"/>
    </row>
    <row r="11" spans="1:8" ht="17.7" x14ac:dyDescent="0.3">
      <c r="A11" s="158" t="s">
        <v>681</v>
      </c>
      <c r="B11" s="151"/>
      <c r="C11" s="151"/>
      <c r="D11" s="151"/>
      <c r="E11" s="151"/>
      <c r="F11" s="151"/>
    </row>
    <row r="13" spans="1:8" x14ac:dyDescent="0.3">
      <c r="A13" s="157" t="s">
        <v>304</v>
      </c>
      <c r="B13" s="151"/>
      <c r="C13" s="151"/>
      <c r="D13" s="151"/>
      <c r="E13" s="151"/>
      <c r="F13" s="151"/>
    </row>
    <row r="14" spans="1:8" x14ac:dyDescent="0.3">
      <c r="A14" s="18" t="s">
        <v>305</v>
      </c>
      <c r="B14" s="18" t="s">
        <v>306</v>
      </c>
      <c r="C14" s="18" t="s">
        <v>307</v>
      </c>
      <c r="D14" s="18" t="s">
        <v>308</v>
      </c>
      <c r="E14" s="18" t="s">
        <v>309</v>
      </c>
      <c r="F14" s="18" t="s">
        <v>310</v>
      </c>
    </row>
    <row r="15" spans="1:8" x14ac:dyDescent="0.3">
      <c r="A15" s="17"/>
      <c r="B15" s="17"/>
      <c r="C15" s="17"/>
      <c r="D15" s="25">
        <v>5</v>
      </c>
      <c r="E15" s="19">
        <v>5</v>
      </c>
      <c r="F15" s="27">
        <f t="shared" ref="F15:F22" si="0">D15*E15</f>
        <v>25</v>
      </c>
    </row>
    <row r="16" spans="1:8" x14ac:dyDescent="0.3">
      <c r="A16" s="17"/>
      <c r="B16" s="17"/>
      <c r="C16" s="17"/>
      <c r="D16" s="25"/>
      <c r="E16" s="19"/>
      <c r="F16" s="27">
        <f t="shared" si="0"/>
        <v>0</v>
      </c>
    </row>
    <row r="17" spans="1:6" x14ac:dyDescent="0.3">
      <c r="A17" s="17"/>
      <c r="B17" s="17"/>
      <c r="C17" s="17"/>
      <c r="D17" s="25"/>
      <c r="E17" s="19"/>
      <c r="F17" s="27">
        <f t="shared" si="0"/>
        <v>0</v>
      </c>
    </row>
    <row r="18" spans="1:6" x14ac:dyDescent="0.3">
      <c r="A18" s="17"/>
      <c r="B18" s="17"/>
      <c r="C18" s="17"/>
      <c r="D18" s="25"/>
      <c r="E18" s="19"/>
      <c r="F18" s="27">
        <f t="shared" si="0"/>
        <v>0</v>
      </c>
    </row>
    <row r="19" spans="1:6" x14ac:dyDescent="0.3">
      <c r="A19" s="17"/>
      <c r="B19" s="17"/>
      <c r="C19" s="17"/>
      <c r="D19" s="25"/>
      <c r="E19" s="19"/>
      <c r="F19" s="27">
        <f t="shared" si="0"/>
        <v>0</v>
      </c>
    </row>
    <row r="20" spans="1:6" x14ac:dyDescent="0.3">
      <c r="A20" s="17"/>
      <c r="B20" s="17"/>
      <c r="C20" s="17"/>
      <c r="D20" s="25"/>
      <c r="E20" s="19"/>
      <c r="F20" s="27">
        <f t="shared" si="0"/>
        <v>0</v>
      </c>
    </row>
    <row r="21" spans="1:6" x14ac:dyDescent="0.3">
      <c r="A21" s="17"/>
      <c r="B21" s="17"/>
      <c r="C21" s="17"/>
      <c r="D21" s="25"/>
      <c r="E21" s="19"/>
      <c r="F21" s="27">
        <f t="shared" si="0"/>
        <v>0</v>
      </c>
    </row>
    <row r="22" spans="1:6" x14ac:dyDescent="0.3">
      <c r="A22" s="17"/>
      <c r="B22" s="17"/>
      <c r="C22" s="17"/>
      <c r="D22" s="25"/>
      <c r="E22" s="19"/>
      <c r="F22" s="27">
        <f t="shared" si="0"/>
        <v>0</v>
      </c>
    </row>
    <row r="23" spans="1:6" x14ac:dyDescent="0.3">
      <c r="A23" s="281" t="s">
        <v>311</v>
      </c>
      <c r="B23" s="155"/>
      <c r="C23" s="155"/>
      <c r="D23" s="155"/>
      <c r="E23" s="156"/>
      <c r="F23" s="28">
        <f>SUM(F15:F22)</f>
        <v>25</v>
      </c>
    </row>
    <row r="25" spans="1:6" x14ac:dyDescent="0.3">
      <c r="A25" s="157" t="s">
        <v>312</v>
      </c>
      <c r="B25" s="151"/>
      <c r="C25" s="151"/>
      <c r="D25" s="151"/>
      <c r="E25" s="151"/>
      <c r="F25" s="151"/>
    </row>
    <row r="26" spans="1:6" x14ac:dyDescent="0.3">
      <c r="A26" s="18" t="s">
        <v>147</v>
      </c>
      <c r="B26" s="230" t="s">
        <v>181</v>
      </c>
      <c r="C26" s="156"/>
      <c r="D26" s="18" t="s">
        <v>313</v>
      </c>
      <c r="E26" s="230" t="s">
        <v>310</v>
      </c>
      <c r="F26" s="156"/>
    </row>
    <row r="27" spans="1:6" x14ac:dyDescent="0.3">
      <c r="A27" s="17"/>
      <c r="B27" s="220"/>
      <c r="C27" s="156"/>
      <c r="D27" s="19">
        <v>8</v>
      </c>
      <c r="E27" s="283">
        <f>D27</f>
        <v>8</v>
      </c>
      <c r="F27" s="156"/>
    </row>
    <row r="28" spans="1:6" x14ac:dyDescent="0.3">
      <c r="A28" s="17"/>
      <c r="B28" s="220"/>
      <c r="C28" s="156"/>
      <c r="D28" s="19"/>
      <c r="E28" s="283">
        <f>D28</f>
        <v>0</v>
      </c>
      <c r="F28" s="156"/>
    </row>
    <row r="29" spans="1:6" x14ac:dyDescent="0.3">
      <c r="A29" s="17"/>
      <c r="B29" s="220"/>
      <c r="C29" s="156"/>
      <c r="D29" s="19"/>
      <c r="E29" s="283">
        <f>D29</f>
        <v>0</v>
      </c>
      <c r="F29" s="156"/>
    </row>
    <row r="30" spans="1:6" x14ac:dyDescent="0.3">
      <c r="A30" s="17"/>
      <c r="B30" s="220"/>
      <c r="C30" s="156"/>
      <c r="D30" s="19"/>
      <c r="E30" s="283">
        <f>D30</f>
        <v>0</v>
      </c>
      <c r="F30" s="156"/>
    </row>
    <row r="31" spans="1:6" x14ac:dyDescent="0.3">
      <c r="A31" s="17"/>
      <c r="B31" s="220"/>
      <c r="C31" s="156"/>
      <c r="D31" s="19"/>
      <c r="E31" s="283">
        <f>D31</f>
        <v>0</v>
      </c>
      <c r="F31" s="156"/>
    </row>
    <row r="32" spans="1:6" x14ac:dyDescent="0.3">
      <c r="A32" s="281" t="s">
        <v>314</v>
      </c>
      <c r="B32" s="155"/>
      <c r="C32" s="155"/>
      <c r="D32" s="156"/>
      <c r="E32" s="282">
        <f>SUM(E27:E31)</f>
        <v>8</v>
      </c>
      <c r="F32" s="156"/>
    </row>
    <row r="40" spans="1:5" x14ac:dyDescent="0.3">
      <c r="A40" t="s">
        <v>658</v>
      </c>
      <c r="E40" t="s">
        <v>658</v>
      </c>
    </row>
    <row r="41" spans="1:5" x14ac:dyDescent="0.3">
      <c r="A41" t="s">
        <v>657</v>
      </c>
      <c r="E41" t="s">
        <v>659</v>
      </c>
    </row>
    <row r="47" spans="1:5" x14ac:dyDescent="0.3">
      <c r="A47" s="127" t="str">
        <f>HYPERLINK("#'INDICE'!A4","&lt;&lt; Volver al Indice")</f>
        <v>&lt;&lt; Volver al Indice</v>
      </c>
    </row>
    <row r="108" spans="1:1" x14ac:dyDescent="0.3">
      <c r="A108" s="15" t="str">
        <f>HYPERLINK("#'INDICE'!A28","&lt;&lt; Volver al Indice")</f>
        <v>&lt;&lt; Volver al Indice</v>
      </c>
    </row>
  </sheetData>
  <mergeCells count="19">
    <mergeCell ref="C8:D8"/>
    <mergeCell ref="A11:F11"/>
    <mergeCell ref="B28:C28"/>
    <mergeCell ref="E30:F30"/>
    <mergeCell ref="E26:F26"/>
    <mergeCell ref="E29:F29"/>
    <mergeCell ref="A13:F13"/>
    <mergeCell ref="E27:F27"/>
    <mergeCell ref="A23:E23"/>
    <mergeCell ref="B31:C31"/>
    <mergeCell ref="A25:F25"/>
    <mergeCell ref="A32:D32"/>
    <mergeCell ref="B27:C27"/>
    <mergeCell ref="E32:F32"/>
    <mergeCell ref="B30:C30"/>
    <mergeCell ref="E31:F31"/>
    <mergeCell ref="B26:C26"/>
    <mergeCell ref="B29:C29"/>
    <mergeCell ref="E28:F2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3:D103"/>
  <sheetViews>
    <sheetView workbookViewId="0">
      <selection activeCell="A8" sqref="A8"/>
    </sheetView>
  </sheetViews>
  <sheetFormatPr baseColWidth="10" defaultColWidth="9.109375" defaultRowHeight="15.05" x14ac:dyDescent="0.3"/>
  <cols>
    <col min="1" max="1" width="117.33203125" customWidth="1"/>
    <col min="2" max="2" width="18" customWidth="1"/>
    <col min="3" max="3" width="14.6640625" customWidth="1"/>
    <col min="4" max="6" width="20" customWidth="1"/>
  </cols>
  <sheetData>
    <row r="3" spans="1:3" x14ac:dyDescent="0.3">
      <c r="A3" s="121"/>
    </row>
    <row r="4" spans="1:3" ht="24.05" customHeight="1" x14ac:dyDescent="0.3">
      <c r="C4" s="146" t="s">
        <v>56</v>
      </c>
    </row>
    <row r="5" spans="1:3" x14ac:dyDescent="0.3">
      <c r="A5" s="125" t="s">
        <v>685</v>
      </c>
    </row>
    <row r="6" spans="1:3" x14ac:dyDescent="0.3">
      <c r="A6" s="125" t="s">
        <v>656</v>
      </c>
      <c r="B6" s="58" t="s">
        <v>652</v>
      </c>
      <c r="C6" s="58"/>
    </row>
    <row r="7" spans="1:3" x14ac:dyDescent="0.3">
      <c r="A7" s="120" t="s">
        <v>686</v>
      </c>
      <c r="B7" s="58" t="s">
        <v>653</v>
      </c>
      <c r="C7" s="58"/>
    </row>
    <row r="8" spans="1:3" x14ac:dyDescent="0.3">
      <c r="A8" s="120" t="s">
        <v>689</v>
      </c>
      <c r="B8" s="58" t="s">
        <v>654</v>
      </c>
      <c r="C8" s="58"/>
    </row>
    <row r="9" spans="1:3" x14ac:dyDescent="0.3">
      <c r="B9" s="58" t="s">
        <v>655</v>
      </c>
      <c r="C9" s="58"/>
    </row>
    <row r="10" spans="1:3" ht="36.85" customHeight="1" x14ac:dyDescent="0.3">
      <c r="A10" s="149" t="s">
        <v>684</v>
      </c>
    </row>
    <row r="11" spans="1:3" x14ac:dyDescent="0.3">
      <c r="A11" s="64" t="s">
        <v>66</v>
      </c>
    </row>
    <row r="12" spans="1:3" x14ac:dyDescent="0.3">
      <c r="A12" s="112" t="s">
        <v>513</v>
      </c>
    </row>
    <row r="13" spans="1:3" x14ac:dyDescent="0.3">
      <c r="A13" s="64" t="s">
        <v>614</v>
      </c>
    </row>
    <row r="14" spans="1:3" x14ac:dyDescent="0.3">
      <c r="A14" s="112" t="s">
        <v>514</v>
      </c>
    </row>
    <row r="15" spans="1:3" x14ac:dyDescent="0.3">
      <c r="A15" s="64" t="s">
        <v>615</v>
      </c>
    </row>
    <row r="16" spans="1:3" x14ac:dyDescent="0.3">
      <c r="A16" s="112" t="s">
        <v>515</v>
      </c>
    </row>
    <row r="17" spans="1:1" x14ac:dyDescent="0.3">
      <c r="A17" s="64" t="s">
        <v>67</v>
      </c>
    </row>
    <row r="18" spans="1:1" x14ac:dyDescent="0.3">
      <c r="A18" s="17" t="s">
        <v>402</v>
      </c>
    </row>
    <row r="20" spans="1:1" x14ac:dyDescent="0.3">
      <c r="A20" s="113" t="s">
        <v>315</v>
      </c>
    </row>
    <row r="21" spans="1:1" ht="82.5" x14ac:dyDescent="0.3">
      <c r="A21" s="114" t="s">
        <v>616</v>
      </c>
    </row>
    <row r="22" spans="1:1" ht="288" x14ac:dyDescent="0.3">
      <c r="A22" s="89" t="s">
        <v>617</v>
      </c>
    </row>
    <row r="24" spans="1:1" x14ac:dyDescent="0.3">
      <c r="A24" s="113" t="s">
        <v>316</v>
      </c>
    </row>
    <row r="25" spans="1:1" ht="94.25" x14ac:dyDescent="0.3">
      <c r="A25" s="114" t="s">
        <v>618</v>
      </c>
    </row>
    <row r="26" spans="1:1" ht="409.6" x14ac:dyDescent="0.3">
      <c r="A26" s="89" t="s">
        <v>619</v>
      </c>
    </row>
    <row r="28" spans="1:1" x14ac:dyDescent="0.3">
      <c r="A28" s="113" t="s">
        <v>317</v>
      </c>
    </row>
    <row r="29" spans="1:1" ht="235.65" x14ac:dyDescent="0.3">
      <c r="A29" s="114" t="s">
        <v>620</v>
      </c>
    </row>
    <row r="30" spans="1:1" ht="409.6" x14ac:dyDescent="0.3">
      <c r="A30" s="89" t="s">
        <v>621</v>
      </c>
    </row>
    <row r="32" spans="1:1" x14ac:dyDescent="0.3">
      <c r="A32" s="113" t="s">
        <v>318</v>
      </c>
    </row>
    <row r="33" spans="1:1" ht="294.55" x14ac:dyDescent="0.3">
      <c r="A33" s="114" t="s">
        <v>622</v>
      </c>
    </row>
    <row r="34" spans="1:1" ht="409.6" x14ac:dyDescent="0.3">
      <c r="A34" s="89" t="s">
        <v>623</v>
      </c>
    </row>
    <row r="36" spans="1:1" x14ac:dyDescent="0.3">
      <c r="A36" s="113" t="s">
        <v>319</v>
      </c>
    </row>
    <row r="37" spans="1:1" ht="212.1" x14ac:dyDescent="0.3">
      <c r="A37" s="114" t="s">
        <v>624</v>
      </c>
    </row>
    <row r="38" spans="1:1" ht="409.6" x14ac:dyDescent="0.3">
      <c r="A38" s="89" t="s">
        <v>625</v>
      </c>
    </row>
    <row r="40" spans="1:1" x14ac:dyDescent="0.3">
      <c r="A40" s="115" t="s">
        <v>626</v>
      </c>
    </row>
    <row r="41" spans="1:1" x14ac:dyDescent="0.3">
      <c r="A41" s="79" t="s">
        <v>627</v>
      </c>
    </row>
    <row r="42" spans="1:1" x14ac:dyDescent="0.3">
      <c r="A42" s="79" t="s">
        <v>628</v>
      </c>
    </row>
    <row r="43" spans="1:1" x14ac:dyDescent="0.3">
      <c r="A43" s="79" t="s">
        <v>629</v>
      </c>
    </row>
    <row r="44" spans="1:1" x14ac:dyDescent="0.3">
      <c r="A44" s="79" t="s">
        <v>630</v>
      </c>
    </row>
    <row r="45" spans="1:1" x14ac:dyDescent="0.3">
      <c r="A45" s="79" t="s">
        <v>631</v>
      </c>
    </row>
    <row r="46" spans="1:1" x14ac:dyDescent="0.3">
      <c r="A46" s="79" t="s">
        <v>632</v>
      </c>
    </row>
    <row r="47" spans="1:1" x14ac:dyDescent="0.3">
      <c r="A47" s="79" t="s">
        <v>633</v>
      </c>
    </row>
    <row r="48" spans="1:1" x14ac:dyDescent="0.3">
      <c r="A48" s="79" t="s">
        <v>634</v>
      </c>
    </row>
    <row r="49" spans="1:1" x14ac:dyDescent="0.3">
      <c r="A49" s="79" t="s">
        <v>635</v>
      </c>
    </row>
    <row r="50" spans="1:1" x14ac:dyDescent="0.3">
      <c r="A50" s="79" t="s">
        <v>636</v>
      </c>
    </row>
    <row r="51" spans="1:1" x14ac:dyDescent="0.3">
      <c r="A51" s="79" t="s">
        <v>637</v>
      </c>
    </row>
    <row r="52" spans="1:1" x14ac:dyDescent="0.3">
      <c r="A52" s="79" t="s">
        <v>638</v>
      </c>
    </row>
    <row r="53" spans="1:1" x14ac:dyDescent="0.3">
      <c r="A53" s="79" t="s">
        <v>639</v>
      </c>
    </row>
    <row r="54" spans="1:1" x14ac:dyDescent="0.3">
      <c r="A54" s="79" t="s">
        <v>640</v>
      </c>
    </row>
    <row r="55" spans="1:1" x14ac:dyDescent="0.3">
      <c r="A55" s="79" t="s">
        <v>641</v>
      </c>
    </row>
    <row r="56" spans="1:1" x14ac:dyDescent="0.3">
      <c r="A56" s="79" t="s">
        <v>642</v>
      </c>
    </row>
    <row r="57" spans="1:1" x14ac:dyDescent="0.3">
      <c r="A57" s="79" t="s">
        <v>643</v>
      </c>
    </row>
    <row r="58" spans="1:1" x14ac:dyDescent="0.3">
      <c r="A58" s="79" t="s">
        <v>644</v>
      </c>
    </row>
    <row r="60" spans="1:1" x14ac:dyDescent="0.3">
      <c r="A60" s="116" t="s">
        <v>645</v>
      </c>
    </row>
    <row r="61" spans="1:1" x14ac:dyDescent="0.3">
      <c r="A61" s="117" t="s">
        <v>646</v>
      </c>
    </row>
    <row r="62" spans="1:1" x14ac:dyDescent="0.3">
      <c r="A62" s="117" t="s">
        <v>647</v>
      </c>
    </row>
    <row r="63" spans="1:1" x14ac:dyDescent="0.3">
      <c r="A63" s="117" t="s">
        <v>648</v>
      </c>
    </row>
    <row r="64" spans="1:1" x14ac:dyDescent="0.3">
      <c r="A64" s="117" t="s">
        <v>649</v>
      </c>
    </row>
    <row r="65" spans="1:1" x14ac:dyDescent="0.3">
      <c r="A65" s="117" t="s">
        <v>650</v>
      </c>
    </row>
    <row r="67" spans="1:1" x14ac:dyDescent="0.3">
      <c r="A67" s="118" t="s">
        <v>510</v>
      </c>
    </row>
    <row r="68" spans="1:1" ht="216.85" customHeight="1" x14ac:dyDescent="0.3">
      <c r="A68" s="119" t="s">
        <v>651</v>
      </c>
    </row>
    <row r="81" spans="1:4" x14ac:dyDescent="0.3">
      <c r="A81" s="138" t="s">
        <v>662</v>
      </c>
      <c r="B81" s="138" t="s">
        <v>663</v>
      </c>
      <c r="C81" s="131"/>
      <c r="D81" s="131"/>
    </row>
    <row r="82" spans="1:4" x14ac:dyDescent="0.3">
      <c r="A82" s="140" t="s">
        <v>664</v>
      </c>
      <c r="B82" s="140" t="s">
        <v>664</v>
      </c>
    </row>
    <row r="103" spans="1:1" x14ac:dyDescent="0.3">
      <c r="A103" s="127" t="str">
        <f>HYPERLINK("#'INDICE'!A4","&lt;&lt; Volver al Indice")</f>
        <v>&lt;&lt; Volver al Indice</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INDICE</vt:lpstr>
      <vt:lpstr>AP</vt:lpstr>
      <vt:lpstr>AP-01</vt:lpstr>
      <vt:lpstr>AP-02</vt:lpstr>
      <vt:lpstr>AP-03</vt:lpstr>
      <vt:lpstr>AP-04</vt:lpstr>
      <vt:lpstr>AP-05</vt:lpstr>
      <vt:lpstr>AP-06</vt:lpstr>
      <vt:lpstr>AP-07</vt:lpstr>
      <vt:lpstr>AP-08</vt:lpstr>
      <vt:lpstr>AP-09</vt:lpstr>
      <vt:lpstr>AP-10</vt:lpstr>
      <vt:lpstr>AP-11</vt:lpstr>
      <vt:lpstr>AP-12</vt:lpstr>
      <vt:lpstr>AC</vt:lpstr>
      <vt:lpstr>AC-P01</vt:lpstr>
      <vt:lpstr>AC-P02</vt:lpstr>
      <vt:lpstr>AC-P03</vt:lpstr>
      <vt:lpstr>AC-P04</vt:lpstr>
      <vt:lpstr>AC-P05</vt:lpstr>
      <vt:lpstr>AC-P06</vt:lpstr>
      <vt:lpstr>AC-P07</vt:lpstr>
      <vt:lpstr>AC-P08</vt:lpstr>
      <vt:lpstr>AC-P09</vt:lpstr>
      <vt:lpstr>AC-P10</vt:lpstr>
      <vt:lpstr>AC-P11</vt:lpstr>
      <vt:lpstr>AC-P12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Ángel</cp:lastModifiedBy>
  <dcterms:created xsi:type="dcterms:W3CDTF">2025-10-31T01:16:09Z</dcterms:created>
  <dcterms:modified xsi:type="dcterms:W3CDTF">2025-12-08T18:52:36Z</dcterms:modified>
</cp:coreProperties>
</file>