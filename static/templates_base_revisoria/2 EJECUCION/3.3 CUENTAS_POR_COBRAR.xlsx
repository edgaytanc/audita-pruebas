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A3BC28B3-1EB1-4CBF-8299-7CA3F4178FD9}" xr6:coauthVersionLast="47" xr6:coauthVersionMax="47" xr10:uidLastSave="{00000000-0000-0000-0000-000000000000}"/>
  <bookViews>
    <workbookView xWindow="-118" yWindow="-118" windowWidth="25370" windowHeight="13667" activeTab="2" xr2:uid="{00000000-000D-0000-FFFF-FFFF00000000}"/>
  </bookViews>
  <sheets>
    <sheet name="ÍNDICE" sheetId="1" r:id="rId1"/>
    <sheet name="Programa" sheetId="14" r:id="rId2"/>
    <sheet name="C CUENTAS POR COBRAR" sheetId="2" r:id="rId3"/>
    <sheet name="CIRCULARIZACION" sheetId="3" r:id="rId4"/>
    <sheet name="C-1 CIRCULARIZACIÓN" sheetId="4" r:id="rId5"/>
    <sheet name="C-1.1 RESPUESTAS" sheetId="5" r:id="rId6"/>
    <sheet name="PROCED ALTERNATIVOS" sheetId="6" r:id="rId7"/>
    <sheet name="C-1.3 PROC ALTERNATIVOS" sheetId="7" r:id="rId8"/>
    <sheet name="C-2 ANTIGÜEDAD" sheetId="8" r:id="rId9"/>
    <sheet name="C-3 DETERIORO" sheetId="9" r:id="rId10"/>
    <sheet name="C-4 RECUPERABILIDAD" sheetId="10" r:id="rId11"/>
    <sheet name="C-5 OTRAS CXC" sheetId="11" r:id="rId12"/>
    <sheet name="C-6 ANTICIPOS" sheetId="12" r:id="rId13"/>
    <sheet name="C-7 PARTES RELACIONADA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H19" i="2"/>
  <c r="G19" i="2"/>
  <c r="F19" i="2"/>
  <c r="E19" i="2"/>
  <c r="D19" i="2"/>
  <c r="A53" i="13" l="1"/>
  <c r="E23" i="13"/>
  <c r="B23" i="13"/>
  <c r="E22" i="13"/>
  <c r="B22" i="13"/>
  <c r="E21" i="13"/>
  <c r="B21" i="13"/>
  <c r="C16" i="13"/>
  <c r="A41" i="12"/>
  <c r="B20" i="12"/>
  <c r="B19" i="12"/>
  <c r="B18" i="12"/>
  <c r="B14" i="12"/>
  <c r="G13" i="12"/>
  <c r="G12" i="12"/>
  <c r="G11" i="12"/>
  <c r="A41" i="11"/>
  <c r="C16" i="11"/>
  <c r="B16" i="11"/>
  <c r="D15" i="11"/>
  <c r="D14" i="11"/>
  <c r="D13" i="11"/>
  <c r="A36" i="10"/>
  <c r="A42" i="9"/>
  <c r="A45" i="8"/>
  <c r="A46" i="7"/>
  <c r="G25" i="7"/>
  <c r="F25" i="7"/>
  <c r="E25" i="7"/>
  <c r="D25" i="7"/>
  <c r="C25" i="7"/>
  <c r="G24" i="7"/>
  <c r="F24" i="7"/>
  <c r="E24" i="7"/>
  <c r="D24" i="7"/>
  <c r="C24" i="7"/>
  <c r="B24" i="7"/>
  <c r="A35" i="6"/>
  <c r="A36" i="5"/>
  <c r="F14" i="5"/>
  <c r="F13" i="5"/>
  <c r="F12" i="5"/>
  <c r="F11" i="5"/>
  <c r="A40" i="4"/>
  <c r="A54" i="3"/>
  <c r="B29" i="3"/>
  <c r="B28" i="3"/>
  <c r="F25" i="3"/>
  <c r="C25" i="3"/>
  <c r="G21" i="3"/>
  <c r="G20" i="3"/>
  <c r="G19" i="3"/>
  <c r="G18" i="3"/>
  <c r="G16" i="3"/>
  <c r="G15" i="3"/>
  <c r="G14" i="3"/>
  <c r="B30" i="3" l="1"/>
  <c r="D16" i="11"/>
  <c r="G25" i="3"/>
  <c r="A50" i="2"/>
  <c r="J20" i="9" l="1"/>
  <c r="I20" i="9"/>
  <c r="H20" i="9"/>
  <c r="F20" i="9"/>
  <c r="B20" i="9"/>
  <c r="E19" i="9"/>
  <c r="G19" i="9" s="1"/>
  <c r="E18" i="9"/>
  <c r="G18" i="9" s="1"/>
  <c r="E17" i="9"/>
  <c r="G17" i="9" s="1"/>
  <c r="E16" i="9"/>
  <c r="G16" i="9" s="1"/>
  <c r="E15" i="9"/>
  <c r="G15" i="9" s="1"/>
  <c r="E14" i="9"/>
  <c r="I24" i="8"/>
  <c r="H24" i="8"/>
  <c r="G24" i="8"/>
  <c r="F24" i="8"/>
  <c r="E24" i="8"/>
  <c r="D24" i="8"/>
  <c r="C24" i="8"/>
  <c r="K23" i="8"/>
  <c r="K22" i="8"/>
  <c r="K21" i="8"/>
  <c r="K20" i="8"/>
  <c r="K19" i="8"/>
  <c r="K18" i="8"/>
  <c r="K17" i="8"/>
  <c r="K16" i="8"/>
  <c r="K15" i="8"/>
  <c r="K14" i="8"/>
  <c r="K13" i="8"/>
  <c r="E20" i="9" l="1"/>
  <c r="G14" i="9"/>
  <c r="G20" i="9" s="1"/>
  <c r="K24" i="8"/>
</calcChain>
</file>

<file path=xl/sharedStrings.xml><?xml version="1.0" encoding="utf-8"?>
<sst xmlns="http://schemas.openxmlformats.org/spreadsheetml/2006/main" count="647" uniqueCount="325">
  <si>
    <t>Auditoría y Revisoría Fiscal</t>
  </si>
  <si>
    <t>FASE</t>
  </si>
  <si>
    <t>REFERENCIA</t>
  </si>
  <si>
    <t>DESCRIPCIÓN</t>
  </si>
  <si>
    <t>ACCESO</t>
  </si>
  <si>
    <t>C</t>
  </si>
  <si>
    <t>CUENTAS POR COBRAR</t>
  </si>
  <si>
    <t>IR A HOJA &gt;&gt;</t>
  </si>
  <si>
    <t>C-SUM</t>
  </si>
  <si>
    <t>Cédula sumaria de cuentas por cobrar</t>
  </si>
  <si>
    <t>C-1</t>
  </si>
  <si>
    <t>Circularización de clientes</t>
  </si>
  <si>
    <t>C-1.1</t>
  </si>
  <si>
    <t>Control de confirmaciones enviadas</t>
  </si>
  <si>
    <t>C-1.2</t>
  </si>
  <si>
    <t>Respuestas de confirmaciones</t>
  </si>
  <si>
    <t>C-1.3</t>
  </si>
  <si>
    <t>Procedimientos alternativos</t>
  </si>
  <si>
    <t>C-2</t>
  </si>
  <si>
    <t>Antigüedad de cartera</t>
  </si>
  <si>
    <t>C-3</t>
  </si>
  <si>
    <t>Cálculo de deterioro de cartera</t>
  </si>
  <si>
    <t>C-4</t>
  </si>
  <si>
    <t>Análisis de recuperabilidad</t>
  </si>
  <si>
    <t>C-5</t>
  </si>
  <si>
    <t>Otras cuentas por cobrar</t>
  </si>
  <si>
    <t>C-6</t>
  </si>
  <si>
    <t>Anticipos y avances</t>
  </si>
  <si>
    <t>C-7</t>
  </si>
  <si>
    <t>Cuentas por cobrar a partes relacionadas</t>
  </si>
  <si>
    <t>← VOLVER AL ÍNDICE</t>
  </si>
  <si>
    <t>DIFERENCIA</t>
  </si>
  <si>
    <t>CLIENTE</t>
  </si>
  <si>
    <t>SALDO SEGÚN LIBROS</t>
  </si>
  <si>
    <t>FECHA ENVÍO</t>
  </si>
  <si>
    <t>FECHA RESPUESTA</t>
  </si>
  <si>
    <t>SALDO CONFIRMADO</t>
  </si>
  <si>
    <t>ESTADO</t>
  </si>
  <si>
    <t>OBSERVACIONES</t>
  </si>
  <si>
    <t>TOTALES</t>
  </si>
  <si>
    <t>FECHA LÍMITE</t>
  </si>
  <si>
    <t>SALDO LIBROS</t>
  </si>
  <si>
    <t>EXPLICACIÓN</t>
  </si>
  <si>
    <t>RESPONSABLE</t>
  </si>
  <si>
    <t>SALDO</t>
  </si>
  <si>
    <t>COBRO POSTERIOR</t>
  </si>
  <si>
    <t>FECHA COBRO</t>
  </si>
  <si>
    <t>C-2: ANÁLISIS DE ANTIGÜEDAD DE CARTERA</t>
  </si>
  <si>
    <t>NIT</t>
  </si>
  <si>
    <t>SALDO TOTAL</t>
  </si>
  <si>
    <t>CORRIENTE (0-30)</t>
  </si>
  <si>
    <t>31-60 DÍAS</t>
  </si>
  <si>
    <t>61-90 DÍAS</t>
  </si>
  <si>
    <t>91-180 DÍAS</t>
  </si>
  <si>
    <t>181-360 DÍAS</t>
  </si>
  <si>
    <t>MÁS DE 360</t>
  </si>
  <si>
    <t>% DETERIORO</t>
  </si>
  <si>
    <t>DETERIORO CALC.</t>
  </si>
  <si>
    <t>C-3: CÁLCULO DE DETERIORO DE CARTERA (NIIF 9)</t>
  </si>
  <si>
    <t>CATEGORÍA</t>
  </si>
  <si>
    <t>SALDO CARTERA</t>
  </si>
  <si>
    <t>DÍAS VENCIMIENTO</t>
  </si>
  <si>
    <t>% DETERIORO APLICADO</t>
  </si>
  <si>
    <t>DETERIORO CALCULADO</t>
  </si>
  <si>
    <t>DETERIORO REGISTRADO</t>
  </si>
  <si>
    <t>PÉRDIDAS ESPERADAS</t>
  </si>
  <si>
    <t>CASTIGOS PERÍODO</t>
  </si>
  <si>
    <t>RECUPERACIONES</t>
  </si>
  <si>
    <t>Cartera corriente (0-30 días)</t>
  </si>
  <si>
    <t>Cartera 31-60 días</t>
  </si>
  <si>
    <t>Cartera 61-90 días</t>
  </si>
  <si>
    <t>Cartera 91-180 días</t>
  </si>
  <si>
    <t>Cartera 181-360 días</t>
  </si>
  <si>
    <t>Cartera &gt; 360 días</t>
  </si>
  <si>
    <t>CONCEPTO</t>
  </si>
  <si>
    <t>ANTIGÜEDAD</t>
  </si>
  <si>
    <t>FECHA</t>
  </si>
  <si>
    <t>MONTO</t>
  </si>
  <si>
    <t>PARTE RELACIONADA</t>
  </si>
  <si>
    <t>PLAZO</t>
  </si>
  <si>
    <t>TASA INTERÉS</t>
  </si>
  <si>
    <t xml:space="preserve">Auditor </t>
  </si>
  <si>
    <t>Fecha Elaboración</t>
  </si>
  <si>
    <t xml:space="preserve">Supervisor </t>
  </si>
  <si>
    <t xml:space="preserve">Fecha Aprobación </t>
  </si>
  <si>
    <t>CÉDULA SUMARIA DE CUENTAS POR COBRAR</t>
  </si>
  <si>
    <t>Preparado por: Firma</t>
  </si>
  <si>
    <t xml:space="preserve">Revisado por: </t>
  </si>
  <si>
    <t xml:space="preserve">Nombre </t>
  </si>
  <si>
    <t>OBJETIVO GENERAL</t>
  </si>
  <si>
    <t>OBJETIVOS ESPECÍFICOS</t>
  </si>
  <si>
    <t>No.</t>
  </si>
  <si>
    <t>Ref.</t>
  </si>
  <si>
    <t>CONCLUSIÓN DEL PROGRAMA</t>
  </si>
  <si>
    <t>Elaborado por:</t>
  </si>
  <si>
    <t>Revisado por:</t>
  </si>
  <si>
    <t>Nombre y Firma</t>
  </si>
  <si>
    <t>PC-1</t>
  </si>
  <si>
    <t>Objetivo: Obtener evidencia de auditoría sobre la existencia y exactitud de las cuentas por cobrar</t>
  </si>
  <si>
    <t>NIA 505: Confirmaciones externas</t>
  </si>
  <si>
    <t>ID</t>
  </si>
  <si>
    <t>ENVIADO</t>
  </si>
  <si>
    <t>RESPUESTA</t>
  </si>
  <si>
    <t>PROCEDIMIENTO ALTERNATIVO</t>
  </si>
  <si>
    <t>MARCA</t>
  </si>
  <si>
    <t>C001</t>
  </si>
  <si>
    <t>CLIENTE A, S.A.</t>
  </si>
  <si>
    <t>Sí</t>
  </si>
  <si>
    <t>Confirmado</t>
  </si>
  <si>
    <t>©</t>
  </si>
  <si>
    <t>C002</t>
  </si>
  <si>
    <t>CLIENTE B, S.A.</t>
  </si>
  <si>
    <t>C003</t>
  </si>
  <si>
    <t>CLIENTE C, S.A.</t>
  </si>
  <si>
    <t>Con diferencia</t>
  </si>
  <si>
    <t>⊕</t>
  </si>
  <si>
    <t>C004</t>
  </si>
  <si>
    <t>CLIENTE D, S.A.</t>
  </si>
  <si>
    <t>Sin respuesta</t>
  </si>
  <si>
    <t>C005</t>
  </si>
  <si>
    <t>CLIENTE E, S.A.</t>
  </si>
  <si>
    <t>C006</t>
  </si>
  <si>
    <t>CLIENTE F, S.A.</t>
  </si>
  <si>
    <t>C007</t>
  </si>
  <si>
    <t>CLIENTE G, S.A.</t>
  </si>
  <si>
    <t>C008</t>
  </si>
  <si>
    <t>CLIENTE H, S.A.</t>
  </si>
  <si>
    <t>C009</t>
  </si>
  <si>
    <t>CLIENTE I, S.A.</t>
  </si>
  <si>
    <t>C010</t>
  </si>
  <si>
    <t>CLIENTE J, S.A.</t>
  </si>
  <si>
    <t>No</t>
  </si>
  <si>
    <t>N/A</t>
  </si>
  <si>
    <t>Otros clientes menores</t>
  </si>
  <si>
    <t>ⓢ</t>
  </si>
  <si>
    <t>TOTAL</t>
  </si>
  <si>
    <t>ESTADÍSTICAS DE CIRCULARIZACIÓN:</t>
  </si>
  <si>
    <t>Total enviadas:</t>
  </si>
  <si>
    <t>Respuestas confirmadas:</t>
  </si>
  <si>
    <t>Tasa de respuesta:</t>
  </si>
  <si>
    <t>Auditor:</t>
  </si>
  <si>
    <t>Supervisor:</t>
  </si>
  <si>
    <t xml:space="preserve">                                                                                                                   CIRCULARIZACIÓN DE CLIENTES</t>
  </si>
  <si>
    <t>CONTROL DE CONFIRMACIONES ENVIADAS</t>
  </si>
  <si>
    <t>MÉTODO</t>
  </si>
  <si>
    <t>15/01/2025</t>
  </si>
  <si>
    <t>Email</t>
  </si>
  <si>
    <t>29/01/2025</t>
  </si>
  <si>
    <t>JGP</t>
  </si>
  <si>
    <t>Enviado</t>
  </si>
  <si>
    <t>16/01/2025</t>
  </si>
  <si>
    <t>30/01/2025</t>
  </si>
  <si>
    <t>Correo postal</t>
  </si>
  <si>
    <t>MRL</t>
  </si>
  <si>
    <t>RESPUESTAS DE CONFIRMACIONES</t>
  </si>
  <si>
    <t>AJUSTE REQ.</t>
  </si>
  <si>
    <t>20/01/2025</t>
  </si>
  <si>
    <t>Confirmado sin diferencia</t>
  </si>
  <si>
    <t>Si</t>
  </si>
  <si>
    <t>✓</t>
  </si>
  <si>
    <t>22/01/2025</t>
  </si>
  <si>
    <t>23/01/2025</t>
  </si>
  <si>
    <t>Pago en tránsito</t>
  </si>
  <si>
    <t>21/01/2025</t>
  </si>
  <si>
    <t>Auditor</t>
  </si>
  <si>
    <t>PROCEDIMIENTOS ALTERNATIVOS</t>
  </si>
  <si>
    <t>Supervisor</t>
  </si>
  <si>
    <t>Fecha Aprobación</t>
  </si>
  <si>
    <t>RAZÓN PROC. ALT.</t>
  </si>
  <si>
    <t>PROCEDIMIENTO</t>
  </si>
  <si>
    <t>RESULTADO</t>
  </si>
  <si>
    <t>Revisión cobro posterior</t>
  </si>
  <si>
    <t>05/02/2025</t>
  </si>
  <si>
    <t>Cobrado 100%</t>
  </si>
  <si>
    <t>Revisión documental</t>
  </si>
  <si>
    <t>06/02/2025</t>
  </si>
  <si>
    <t>Facturas y remisiones</t>
  </si>
  <si>
    <t>No enviada - Saldo menor</t>
  </si>
  <si>
    <t>Análisis antigüedad</t>
  </si>
  <si>
    <t>07/02/2025</t>
  </si>
  <si>
    <t>Vigente &lt; 30 días</t>
  </si>
  <si>
    <t>REVISADO POR:</t>
  </si>
  <si>
    <t xml:space="preserve">                                                 ANÁLISIS DE ANTIGÜEDAD DE CARTERA</t>
  </si>
  <si>
    <t>VIGENTE</t>
  </si>
  <si>
    <t>1-30 DÍAS</t>
  </si>
  <si>
    <t>&gt; 90 DÍAS</t>
  </si>
  <si>
    <t>% &gt; 90</t>
  </si>
  <si>
    <t>Otros clientes</t>
  </si>
  <si>
    <t>% DEL TOTAL</t>
  </si>
  <si>
    <t>Fecha realización:</t>
  </si>
  <si>
    <t>PROGRAMA DE AUDITORÍA - CUENTAS POR COBRAR</t>
  </si>
  <si>
    <t>ÁREA: Cuentas por Cobrar
RESPONSABLE: C- Clientes, Caja, Bancos y Papeles Negociables</t>
  </si>
  <si>
    <t>Determinar la razonabilidad del saldo de cuentas por cobrar mediante la aplicación de procedimientos de auditoría que permitan obtener evidencia suficiente y adecuada sobre la existencia, integridad, valuación y presentación de las cuentas por cobrar.</t>
  </si>
  <si>
    <t>• Verificar la existencia física y legal de las cuentas por cobrar mediante confirmaciones</t>
  </si>
  <si>
    <t>• Confirmar los saldos bancarios con instituciones financieras externas</t>
  </si>
  <si>
    <t>• Evaluar el corte de operaciones al cierre del período</t>
  </si>
  <si>
    <t>• Verificar restricciones y gravámenes sobre las cuentas por cobrar</t>
  </si>
  <si>
    <t>• Evaluar la adecuada clasificación y presentación de cuentas por cobrar en estados financieros</t>
  </si>
  <si>
    <t>• Verificar el cumplimiento de controles internos sobre las cuentas por cobrar</t>
  </si>
  <si>
    <t>PROCEDIMIENTO
DE
AUDITORÍA</t>
  </si>
  <si>
    <t>HECHO
POR</t>
  </si>
  <si>
    <t>REVISADO
POR</t>
  </si>
  <si>
    <t>CÉDULA SUMARIA
Prepare o actualice la cédula sumaria de cuentas por cobrar, verificando su cuadre con el mayor general y el balance de comprobación.</t>
  </si>
  <si>
    <t>ARQUEO DE FONDOS
Efectúe arqueo físico de fondos fijos y cajas menores, verificando su existencia y conformación a la fecha de cierre.</t>
  </si>
  <si>
    <t>VERIFICAR FONDOS
Verifique los fondos fijos con los comprobantes de reembolso y la documentación soporte.</t>
  </si>
  <si>
    <t>VERIFICAR TESORERÍA
Verifique la existencia física de dinero en efectivo, cheques y documentos en tesorería.</t>
  </si>
  <si>
    <t>CONCILIACIÓN BANCARIA
Obtenga y revise las conciliaciones bancarias, validando las partidas conciliatorias y su antigüedad.</t>
  </si>
  <si>
    <t>C-2.1</t>
  </si>
  <si>
    <t>ANÁLISIS PARTIDAS
Analice las partidas de conciliación, verificando su naturaleza y validez, e investigue las partidas antiguas.</t>
  </si>
  <si>
    <t>CONFIRMACIONES BANCARIAS
Envíe confirmaciones externas a las instituciones financieras para validar saldos y condiciones.</t>
  </si>
  <si>
    <t>RESTRICCIONES DE EFECTIVO
Identifique y verifique restricciones sobre cuentas bancarias (embargos, garantías, pignoraciones).</t>
  </si>
  <si>
    <t>INVERSIÓN TEMPORAL DE LIQUIDEZ
Verifique inversiones temporales (CDT, bonos), su valuación, rendimientos y clasificación contable.</t>
  </si>
  <si>
    <t>CIRCULARIZACIÓN CLIENTES
Prepare y envíe confirmaciones de saldos a clientes seleccionados mediante muestreo estadístico.</t>
  </si>
  <si>
    <t>PROCEDIMIENTOS ALTERNATIVOS
Aplique procedimientos alternativos para confirmaciones no respondidas (facturas, recibos, pagos posteriores).</t>
  </si>
  <si>
    <t>C-8</t>
  </si>
  <si>
    <t>ANTIGÜEDAD DE CARTERA
Prepare o actualice el análisis de antigüedad de cartera, clasificando por rangos de vencimiento.</t>
  </si>
  <si>
    <t>C-9</t>
  </si>
  <si>
    <t>DETERIORO DE CARTERA
Evalúe la suficiencia de la provisión para deterioro de cuentas por cobrar según NIC 39/NIIF 9.</t>
  </si>
  <si>
    <t>C-10</t>
  </si>
  <si>
    <t>RECUPERABILIDAD
Evalúe la recuperabilidad de cuentas por cobrar vencidas mediante análisis de historial de pago.</t>
  </si>
  <si>
    <t>C-11</t>
  </si>
  <si>
    <t>CORTE DE OPERACIONES
Verifique el adecuado corte de ventas y cuentas por cobrar al cierre del ejercicio.</t>
  </si>
  <si>
    <t>C-12</t>
  </si>
  <si>
    <t>PARTES RELACIONADAS
Identifique y revise transacciones con partes relacionadas, verificando condiciones y revelaciones.</t>
  </si>
  <si>
    <t>C-13</t>
  </si>
  <si>
    <t>GARANTÍAS RECIBIDAS
Verifique la existencia y vigencia de garantías, pagarés o colaterales recibidos de clientes.</t>
  </si>
  <si>
    <t>C-14</t>
  </si>
  <si>
    <t>ANTICIPOS Y AVANCES
Revise anticipos entregados a proveedores y empleados, verificando su aplicación o recuperación.</t>
  </si>
  <si>
    <t>C-15</t>
  </si>
  <si>
    <t>OTRAS CUENTAS POR COBRAR
Revise otras cuentas por cobrar no comerciales (empleados, socios, seguros, etc.).</t>
  </si>
  <si>
    <t>C-16</t>
  </si>
  <si>
    <t>PRESENTACIÓN Y REVELACIÓN
Verifique la adecuada presentación y revelación de cuentas por cobrar en estados financieros.</t>
  </si>
  <si>
    <t xml:space="preserve">Basado en los procedimientos ejecutados, concluimos que:
</t>
  </si>
  <si>
    <t>&lt;&lt; Volver al índice</t>
  </si>
  <si>
    <t>ANÁLISIS DE RECUPERABILIDAD</t>
  </si>
  <si>
    <t>% COBRADO</t>
  </si>
  <si>
    <t>EVALUACIÓN</t>
  </si>
  <si>
    <t>&gt; 60 días</t>
  </si>
  <si>
    <t>Recuperable</t>
  </si>
  <si>
    <t>10/02/2025</t>
  </si>
  <si>
    <t>08/02/2025</t>
  </si>
  <si>
    <t>Parcialmente cobrado</t>
  </si>
  <si>
    <t>OTRAS CUENTAS POR COBRAR</t>
  </si>
  <si>
    <t>SALDO 2024</t>
  </si>
  <si>
    <t>SALDO 2025</t>
  </si>
  <si>
    <t>VARIACIÓN</t>
  </si>
  <si>
    <t>COMENTARIOS</t>
  </si>
  <si>
    <t>Deudores diversos</t>
  </si>
  <si>
    <t>Préstamos a empleados</t>
  </si>
  <si>
    <t>IVA por recuperar</t>
  </si>
  <si>
    <t>IVA acreditable</t>
  </si>
  <si>
    <t>Depósitos en garantía</t>
  </si>
  <si>
    <t>Arrendamientos</t>
  </si>
  <si>
    <t>ANTICIPOS Y AVANCES</t>
  </si>
  <si>
    <t>PROVEEDOR</t>
  </si>
  <si>
    <t>APLICACIÓN</t>
  </si>
  <si>
    <t>DÍAS TRANSCURRIDOS</t>
  </si>
  <si>
    <t>Proveedor A</t>
  </si>
  <si>
    <t>15/12/2024</t>
  </si>
  <si>
    <t>Anticipo materia prima</t>
  </si>
  <si>
    <t>Enero 2025</t>
  </si>
  <si>
    <t>Pendiente</t>
  </si>
  <si>
    <t>Proveedor B</t>
  </si>
  <si>
    <t>20/12/2024</t>
  </si>
  <si>
    <t>Anticipo servicios</t>
  </si>
  <si>
    <t>Viáticos personal</t>
  </si>
  <si>
    <t>28/12/2024</t>
  </si>
  <si>
    <t>Gastos de viaje</t>
  </si>
  <si>
    <t>RESUMEN EJECUTIVO</t>
  </si>
  <si>
    <t>Total Anticipos Pendientes:</t>
  </si>
  <si>
    <t>INSTRUCCIONES DE USO:</t>
  </si>
  <si>
    <t>Total Anticipos Aplicados:</t>
  </si>
  <si>
    <t>• Columna DÍAS TRANSCURRIDOS se calcula automáticamente desde la fecha del anticipo</t>
  </si>
  <si>
    <t>Monto Total Pendiente:</t>
  </si>
  <si>
    <t>• Cambia el ESTADO a "Aplicado" cuando el anticipo sea utilizado</t>
  </si>
  <si>
    <t>• El RESUMEN se actualiza automáticamente según los estados</t>
  </si>
  <si>
    <t>• Los colores ayudan a identificar: Amarillo=Pendiente, Verde=Aplicado, Rojo=Vencido</t>
  </si>
  <si>
    <t>CUENTAS POR COBRAR A PARTES RELACIONADAS</t>
  </si>
  <si>
    <t>NIA 550: Partes relacionadas</t>
  </si>
  <si>
    <t>RELACIÓN</t>
  </si>
  <si>
    <t>VENCIMIENTO</t>
  </si>
  <si>
    <t>NATURALEZA</t>
  </si>
  <si>
    <t>Empresa Filial A</t>
  </si>
  <si>
    <t>Subsidiaria</t>
  </si>
  <si>
    <t>24 meses</t>
  </si>
  <si>
    <t>31/12/2025</t>
  </si>
  <si>
    <t>Préstamo comercial</t>
  </si>
  <si>
    <t>Empresa Asociada B</t>
  </si>
  <si>
    <t>Asociada</t>
  </si>
  <si>
    <t>6 meses</t>
  </si>
  <si>
    <t>30/06/2025</t>
  </si>
  <si>
    <t>Préstamo</t>
  </si>
  <si>
    <t>Director General</t>
  </si>
  <si>
    <t>Alta dirección</t>
  </si>
  <si>
    <t>Sin plazo</t>
  </si>
  <si>
    <t>Préstamo sin interés</t>
  </si>
  <si>
    <t>ANÁLISIS DE PARTES RELACIONADAS</t>
  </si>
  <si>
    <t>RESUMEN POR TIPO DE RELACIÓN:</t>
  </si>
  <si>
    <t>ESTADÍSTICAS:</t>
  </si>
  <si>
    <t>Subsidiarias:</t>
  </si>
  <si>
    <t>Total partes relacionadas:</t>
  </si>
  <si>
    <t>Asociadas:</t>
  </si>
  <si>
    <t>Préstamos con interés:</t>
  </si>
  <si>
    <t>Alta dirección:</t>
  </si>
  <si>
    <t>Préstamos sin interés:</t>
  </si>
  <si>
    <t>• La fila TOTAL suma automáticamente todos los saldos</t>
  </si>
  <si>
    <t>• El RESUMEN POR TIPO agrupa automáticamente los saldos según la relación</t>
  </si>
  <si>
    <t>• Las ESTADÍSTICAS se actualizan automáticamente al agregar/modificar datos</t>
  </si>
  <si>
    <t>• Para agregar nuevas partes relacionadas: copie una fila y las fórmulas se ajustarán</t>
  </si>
  <si>
    <t xml:space="preserve">SALDOS S/ BALANCE GENERAL </t>
  </si>
  <si>
    <t>AJUSTES / RECLASIFICACIONES</t>
  </si>
  <si>
    <t>SALDOS SEGÚN AUDITORIA</t>
  </si>
  <si>
    <t>Código</t>
  </si>
  <si>
    <t>Ref P/T</t>
  </si>
  <si>
    <t>Debe</t>
  </si>
  <si>
    <t>Haber</t>
  </si>
  <si>
    <t>FUENTE: Balance general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</si>
  <si>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</si>
  <si>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 xml:space="preserve">CONCLUSIÓN: </t>
  </si>
  <si>
    <t>Suma</t>
  </si>
  <si>
    <t>Sub Cuenta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</si>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</sst>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[Red]&quot;($&quot;#,##0\);\-"/>
    <numFmt numFmtId="165" formatCode="0.0%"/>
    <numFmt numFmtId="166" formatCode="\$#,##0.00"/>
    <numFmt numFmtId="167" formatCode="\$#,##0"/>
  </numFmts>
  <fonts count="3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C00000"/>
      <name val="Calibri"/>
      <family val="2"/>
    </font>
    <font>
      <sz val="12"/>
      <color theme="10"/>
      <name val="Calibri"/>
      <family val="2"/>
      <scheme val="minor"/>
    </font>
    <font>
      <b/>
      <u/>
      <sz val="11"/>
      <color rgb="FF0563C1"/>
      <name val="Calibri"/>
      <family val="2"/>
    </font>
    <font>
      <b/>
      <u/>
      <sz val="10"/>
      <color rgb="FF0563C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5"/>
      <color theme="1"/>
      <name val="Calibri"/>
      <family val="2"/>
      <scheme val="minor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0"/>
      <name val="Calibri"/>
      <family val="2"/>
    </font>
    <font>
      <sz val="9"/>
      <name val="Calibri"/>
      <family val="2"/>
    </font>
    <font>
      <b/>
      <u/>
      <sz val="11"/>
      <color rgb="FF0563C1"/>
      <name val="Arial"/>
      <family val="2"/>
    </font>
    <font>
      <sz val="11"/>
      <color rgb="FFC00000"/>
      <name val="Calibri"/>
      <family val="2"/>
      <scheme val="minor"/>
    </font>
    <font>
      <b/>
      <sz val="15"/>
      <color rgb="FFC00000"/>
      <name val="Arial"/>
      <family val="2"/>
    </font>
    <font>
      <b/>
      <sz val="11"/>
      <color rgb="FFFFFFFF"/>
      <name val="Arial"/>
      <family val="2"/>
    </font>
    <font>
      <b/>
      <sz val="15"/>
      <color rgb="FFC00000"/>
      <name val="Calibri"/>
      <family val="2"/>
    </font>
    <font>
      <b/>
      <sz val="12"/>
      <name val="Cambria"/>
      <family val="1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color rgb="FFFFFFFF"/>
      <name val="Calibri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1"/>
      <color rgb="FF1F4E78"/>
      <name val="Arial"/>
      <family val="2"/>
    </font>
    <font>
      <b/>
      <sz val="9"/>
      <color rgb="FF1F4E78"/>
      <name val="Arial"/>
      <family val="2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theme="6" tint="0.59999389629810485"/>
        <bgColor rgb="FFD9E1F2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3">
    <xf numFmtId="0" fontId="0" fillId="0" borderId="0"/>
    <xf numFmtId="0" fontId="4" fillId="0" borderId="0"/>
    <xf numFmtId="0" fontId="21" fillId="0" borderId="0"/>
  </cellStyleXfs>
  <cellXfs count="1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/>
    <xf numFmtId="0" fontId="0" fillId="0" borderId="1" xfId="0" applyBorder="1"/>
    <xf numFmtId="3" fontId="0" fillId="6" borderId="1" xfId="0" applyNumberFormat="1" applyFill="1" applyBorder="1"/>
    <xf numFmtId="3" fontId="0" fillId="7" borderId="1" xfId="0" applyNumberFormat="1" applyFill="1" applyBorder="1"/>
    <xf numFmtId="0" fontId="0" fillId="8" borderId="1" xfId="0" applyFill="1" applyBorder="1"/>
    <xf numFmtId="0" fontId="8" fillId="8" borderId="1" xfId="0" applyFont="1" applyFill="1" applyBorder="1"/>
    <xf numFmtId="3" fontId="0" fillId="8" borderId="1" xfId="0" applyNumberFormat="1" applyFill="1" applyBorder="1"/>
    <xf numFmtId="0" fontId="0" fillId="6" borderId="1" xfId="0" applyFill="1" applyBorder="1"/>
    <xf numFmtId="10" fontId="0" fillId="6" borderId="1" xfId="0" applyNumberFormat="1" applyFill="1" applyBorder="1"/>
    <xf numFmtId="10" fontId="0" fillId="0" borderId="1" xfId="0" applyNumberFormat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9" fillId="0" borderId="0" xfId="0" applyFont="1"/>
    <xf numFmtId="0" fontId="10" fillId="9" borderId="2" xfId="0" applyFont="1" applyFill="1" applyBorder="1" applyAlignment="1">
      <alignment horizontal="center" vertical="center" wrapText="1"/>
    </xf>
    <xf numFmtId="0" fontId="11" fillId="10" borderId="0" xfId="0" applyFont="1" applyFill="1"/>
    <xf numFmtId="0" fontId="11" fillId="0" borderId="0" xfId="0" applyFont="1"/>
    <xf numFmtId="0" fontId="12" fillId="0" borderId="0" xfId="0" applyFont="1"/>
    <xf numFmtId="0" fontId="0" fillId="0" borderId="3" xfId="0" applyBorder="1"/>
    <xf numFmtId="0" fontId="13" fillId="0" borderId="0" xfId="0" applyFont="1"/>
    <xf numFmtId="0" fontId="14" fillId="0" borderId="0" xfId="0" applyFont="1"/>
    <xf numFmtId="0" fontId="15" fillId="0" borderId="2" xfId="0" applyFont="1" applyBorder="1" applyAlignment="1">
      <alignment horizontal="center"/>
    </xf>
    <xf numFmtId="0" fontId="16" fillId="11" borderId="2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Border="1"/>
    <xf numFmtId="164" fontId="11" fillId="10" borderId="2" xfId="0" applyNumberFormat="1" applyFont="1" applyFill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9" borderId="2" xfId="0" applyFont="1" applyFill="1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0" fontId="22" fillId="0" borderId="2" xfId="0" applyFont="1" applyBorder="1" applyAlignment="1">
      <alignment horizontal="left" vertical="center"/>
    </xf>
    <xf numFmtId="0" fontId="20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 vertical="center"/>
    </xf>
    <xf numFmtId="0" fontId="2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horizontal="center" vertical="center"/>
    </xf>
    <xf numFmtId="165" fontId="0" fillId="0" borderId="2" xfId="0" applyNumberFormat="1" applyBorder="1"/>
    <xf numFmtId="0" fontId="25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3" fontId="21" fillId="0" borderId="2" xfId="0" applyNumberFormat="1" applyFont="1" applyBorder="1" applyAlignment="1">
      <alignment horizontal="right" vertical="center"/>
    </xf>
    <xf numFmtId="3" fontId="20" fillId="4" borderId="2" xfId="0" applyNumberFormat="1" applyFont="1" applyFill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4" fillId="12" borderId="5" xfId="0" applyFont="1" applyFill="1" applyBorder="1" applyAlignment="1">
      <alignment horizontal="center" vertical="center"/>
    </xf>
    <xf numFmtId="3" fontId="24" fillId="12" borderId="5" xfId="0" applyNumberFormat="1" applyFont="1" applyFill="1" applyBorder="1" applyAlignment="1">
      <alignment horizontal="right" vertical="center"/>
    </xf>
    <xf numFmtId="3" fontId="24" fillId="4" borderId="5" xfId="0" applyNumberFormat="1" applyFont="1" applyFill="1" applyBorder="1" applyAlignment="1">
      <alignment horizontal="right" vertical="center"/>
    </xf>
    <xf numFmtId="0" fontId="0" fillId="12" borderId="5" xfId="0" applyFill="1" applyBorder="1"/>
    <xf numFmtId="0" fontId="12" fillId="0" borderId="3" xfId="0" applyFont="1" applyBorder="1"/>
    <xf numFmtId="0" fontId="25" fillId="2" borderId="2" xfId="0" applyFont="1" applyFill="1" applyBorder="1" applyAlignment="1">
      <alignment horizontal="center" vertical="center" wrapText="1"/>
    </xf>
    <xf numFmtId="166" fontId="21" fillId="0" borderId="2" xfId="0" applyNumberFormat="1" applyFont="1" applyBorder="1" applyAlignment="1">
      <alignment horizontal="right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1" fontId="20" fillId="12" borderId="2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6" fontId="17" fillId="2" borderId="5" xfId="0" applyNumberFormat="1" applyFont="1" applyFill="1" applyBorder="1" applyAlignment="1">
      <alignment horizontal="right" vertical="center"/>
    </xf>
    <xf numFmtId="0" fontId="0" fillId="2" borderId="5" xfId="0" applyFill="1" applyBorder="1"/>
    <xf numFmtId="0" fontId="27" fillId="0" borderId="0" xfId="0" applyFont="1"/>
    <xf numFmtId="0" fontId="21" fillId="4" borderId="2" xfId="0" applyFont="1" applyFill="1" applyBorder="1" applyAlignment="1">
      <alignment horizontal="center" vertical="center"/>
    </xf>
    <xf numFmtId="0" fontId="28" fillId="0" borderId="0" xfId="0" applyFont="1"/>
    <xf numFmtId="0" fontId="21" fillId="14" borderId="2" xfId="0" applyFont="1" applyFill="1" applyBorder="1" applyAlignment="1">
      <alignment horizontal="center" vertical="center"/>
    </xf>
    <xf numFmtId="0" fontId="26" fillId="0" borderId="0" xfId="0" applyFont="1"/>
    <xf numFmtId="166" fontId="20" fillId="4" borderId="2" xfId="0" applyNumberFormat="1" applyFont="1" applyFill="1" applyBorder="1" applyAlignment="1">
      <alignment horizontal="right" vertical="center"/>
    </xf>
    <xf numFmtId="0" fontId="20" fillId="0" borderId="2" xfId="0" applyFont="1" applyBorder="1" applyAlignment="1">
      <alignment horizontal="left" vertical="center"/>
    </xf>
    <xf numFmtId="167" fontId="20" fillId="0" borderId="2" xfId="0" applyNumberFormat="1" applyFont="1" applyBorder="1" applyAlignment="1">
      <alignment horizontal="right" vertical="center"/>
    </xf>
    <xf numFmtId="165" fontId="21" fillId="0" borderId="2" xfId="0" applyNumberFormat="1" applyFont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right" vertical="center"/>
    </xf>
    <xf numFmtId="0" fontId="21" fillId="0" borderId="0" xfId="0" applyFont="1"/>
    <xf numFmtId="167" fontId="20" fillId="15" borderId="2" xfId="0" applyNumberFormat="1" applyFont="1" applyFill="1" applyBorder="1" applyAlignment="1">
      <alignment horizontal="right" vertical="center"/>
    </xf>
    <xf numFmtId="0" fontId="30" fillId="16" borderId="0" xfId="0" applyFont="1" applyFill="1"/>
    <xf numFmtId="0" fontId="30" fillId="16" borderId="0" xfId="0" applyFont="1" applyFill="1" applyAlignment="1">
      <alignment horizontal="center"/>
    </xf>
    <xf numFmtId="0" fontId="31" fillId="16" borderId="0" xfId="0" applyFont="1" applyFill="1" applyAlignment="1">
      <alignment horizontal="center" wrapText="1"/>
    </xf>
    <xf numFmtId="0" fontId="32" fillId="17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left" vertical="center"/>
    </xf>
    <xf numFmtId="0" fontId="31" fillId="16" borderId="0" xfId="2" applyFont="1" applyFill="1" applyAlignment="1">
      <alignment horizontal="center" vertical="center"/>
    </xf>
    <xf numFmtId="0" fontId="32" fillId="0" borderId="0" xfId="0" applyFont="1"/>
    <xf numFmtId="0" fontId="33" fillId="0" borderId="0" xfId="0" applyFont="1"/>
    <xf numFmtId="4" fontId="33" fillId="0" borderId="0" xfId="0" applyNumberFormat="1" applyFont="1"/>
    <xf numFmtId="0" fontId="34" fillId="0" borderId="0" xfId="0" applyFont="1"/>
    <xf numFmtId="0" fontId="34" fillId="0" borderId="0" xfId="0" applyFont="1" applyAlignment="1">
      <alignment horizontal="left"/>
    </xf>
    <xf numFmtId="0" fontId="35" fillId="16" borderId="6" xfId="0" applyFont="1" applyFill="1" applyBorder="1" applyAlignment="1">
      <alignment horizontal="center" vertical="center" wrapText="1"/>
    </xf>
    <xf numFmtId="0" fontId="35" fillId="16" borderId="7" xfId="0" applyFont="1" applyFill="1" applyBorder="1" applyAlignment="1">
      <alignment horizontal="center" vertical="center" wrapText="1"/>
    </xf>
    <xf numFmtId="0" fontId="35" fillId="1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8" fillId="8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1" fillId="16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0" fillId="0" borderId="3" xfId="0" applyBorder="1"/>
    <xf numFmtId="0" fontId="0" fillId="0" borderId="0" xfId="0" applyAlignment="1">
      <alignment horizontal="left"/>
    </xf>
    <xf numFmtId="0" fontId="11" fillId="0" borderId="0" xfId="0" applyFont="1"/>
    <xf numFmtId="0" fontId="7" fillId="2" borderId="0" xfId="0" applyFont="1" applyFill="1" applyAlignment="1">
      <alignment horizontal="center" vertical="center" wrapText="1"/>
    </xf>
    <xf numFmtId="4" fontId="31" fillId="16" borderId="0" xfId="0" applyNumberFormat="1" applyFont="1" applyFill="1" applyAlignment="1">
      <alignment horizontal="center" vertical="center"/>
    </xf>
  </cellXfs>
  <cellStyles count="3">
    <cellStyle name="Hipervínculo" xfId="1" builtinId="8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F25" sqref="F25"/>
    </sheetView>
  </sheetViews>
  <sheetFormatPr baseColWidth="10" defaultColWidth="9.109375" defaultRowHeight="15.05" x14ac:dyDescent="0.3"/>
  <cols>
    <col min="1" max="2" width="12" customWidth="1"/>
    <col min="3" max="3" width="45" customWidth="1"/>
    <col min="4" max="4" width="15" customWidth="1"/>
  </cols>
  <sheetData>
    <row r="1" spans="1:4" x14ac:dyDescent="0.3">
      <c r="A1" s="99" t="s">
        <v>0</v>
      </c>
      <c r="B1" s="100"/>
      <c r="C1" s="100"/>
      <c r="D1" s="100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/>
      <c r="B3" s="15" t="s">
        <v>5</v>
      </c>
      <c r="C3" s="3" t="s">
        <v>6</v>
      </c>
      <c r="D3" s="4" t="s">
        <v>7</v>
      </c>
    </row>
    <row r="4" spans="1:4" x14ac:dyDescent="0.3">
      <c r="A4" s="2"/>
      <c r="B4" s="15" t="s">
        <v>8</v>
      </c>
      <c r="C4" s="3" t="s">
        <v>9</v>
      </c>
      <c r="D4" s="4" t="s">
        <v>7</v>
      </c>
    </row>
    <row r="5" spans="1:4" x14ac:dyDescent="0.3">
      <c r="A5" s="2"/>
      <c r="B5" s="15" t="s">
        <v>10</v>
      </c>
      <c r="C5" s="3" t="s">
        <v>11</v>
      </c>
      <c r="D5" s="4" t="s">
        <v>7</v>
      </c>
    </row>
    <row r="6" spans="1:4" x14ac:dyDescent="0.3">
      <c r="A6" s="2"/>
      <c r="B6" s="15" t="s">
        <v>12</v>
      </c>
      <c r="C6" s="3" t="s">
        <v>13</v>
      </c>
      <c r="D6" s="4" t="s">
        <v>7</v>
      </c>
    </row>
    <row r="7" spans="1:4" x14ac:dyDescent="0.3">
      <c r="A7" s="2"/>
      <c r="B7" s="15" t="s">
        <v>14</v>
      </c>
      <c r="C7" s="3" t="s">
        <v>15</v>
      </c>
      <c r="D7" s="4" t="s">
        <v>7</v>
      </c>
    </row>
    <row r="8" spans="1:4" x14ac:dyDescent="0.3">
      <c r="A8" s="2"/>
      <c r="B8" s="15" t="s">
        <v>16</v>
      </c>
      <c r="C8" s="3" t="s">
        <v>17</v>
      </c>
      <c r="D8" s="4" t="s">
        <v>7</v>
      </c>
    </row>
    <row r="9" spans="1:4" x14ac:dyDescent="0.3">
      <c r="A9" s="2"/>
      <c r="B9" s="15" t="s">
        <v>18</v>
      </c>
      <c r="C9" s="3" t="s">
        <v>19</v>
      </c>
      <c r="D9" s="4" t="s">
        <v>7</v>
      </c>
    </row>
    <row r="10" spans="1:4" x14ac:dyDescent="0.3">
      <c r="A10" s="2"/>
      <c r="B10" s="15" t="s">
        <v>20</v>
      </c>
      <c r="C10" s="3" t="s">
        <v>21</v>
      </c>
      <c r="D10" s="4" t="s">
        <v>7</v>
      </c>
    </row>
    <row r="11" spans="1:4" x14ac:dyDescent="0.3">
      <c r="A11" s="2"/>
      <c r="B11" s="15" t="s">
        <v>22</v>
      </c>
      <c r="C11" s="3" t="s">
        <v>23</v>
      </c>
      <c r="D11" s="4" t="s">
        <v>7</v>
      </c>
    </row>
    <row r="12" spans="1:4" x14ac:dyDescent="0.3">
      <c r="A12" s="2"/>
      <c r="B12" s="15" t="s">
        <v>24</v>
      </c>
      <c r="C12" s="3" t="s">
        <v>25</v>
      </c>
      <c r="D12" s="4" t="s">
        <v>7</v>
      </c>
    </row>
    <row r="13" spans="1:4" x14ac:dyDescent="0.3">
      <c r="A13" s="2"/>
      <c r="B13" s="15" t="s">
        <v>26</v>
      </c>
      <c r="C13" s="3" t="s">
        <v>27</v>
      </c>
      <c r="D13" s="4" t="s">
        <v>7</v>
      </c>
    </row>
    <row r="14" spans="1:4" x14ac:dyDescent="0.3">
      <c r="A14" s="2"/>
      <c r="B14" s="15" t="s">
        <v>28</v>
      </c>
      <c r="C14" s="3" t="s">
        <v>29</v>
      </c>
      <c r="D14" s="4" t="s">
        <v>7</v>
      </c>
    </row>
  </sheetData>
  <mergeCells count="1">
    <mergeCell ref="A1:D1"/>
  </mergeCells>
  <hyperlinks>
    <hyperlink ref="D3" location="'C CUENTAS POR COBRAR'!A1" display="IR A HOJA &gt;&gt;" xr:uid="{00000000-0004-0000-0000-000000000000}"/>
    <hyperlink ref="D4" location="'C-SUM CÉDULA SUMARIA'!A1" display="IR A HOJA &gt;&gt;" xr:uid="{00000000-0004-0000-0000-000001000000}"/>
    <hyperlink ref="D5" location="'C-1 CIRCULARIZACIÓN'!A1" display="IR A HOJA &gt;&gt;" xr:uid="{00000000-0004-0000-0000-000002000000}"/>
    <hyperlink ref="D6" location="'C-1.1 CONTROL CONFIRMACIONES'!A1" display="IR A HOJA &gt;&gt;" xr:uid="{00000000-0004-0000-0000-000003000000}"/>
    <hyperlink ref="D7" location="'C-1.2 RESPUESTAS'!A1" display="IR A HOJA &gt;&gt;" xr:uid="{00000000-0004-0000-0000-000004000000}"/>
    <hyperlink ref="D8" location="'C-1.3 PROC ALTERNATIVOS'!A1" display="IR A HOJA &gt;&gt;" xr:uid="{00000000-0004-0000-0000-000005000000}"/>
    <hyperlink ref="D9" location="'C-2 ANTIGÜEDAD'!A1" display="IR A HOJA &gt;&gt;" xr:uid="{00000000-0004-0000-0000-000006000000}"/>
    <hyperlink ref="D10" location="'C-3 DETERIORO'!A1" display="IR A HOJA &gt;&gt;" xr:uid="{00000000-0004-0000-0000-000007000000}"/>
    <hyperlink ref="D11" location="'C-4 RECUPERABILIDAD'!A1" display="IR A HOJA &gt;&gt;" xr:uid="{00000000-0004-0000-0000-000008000000}"/>
    <hyperlink ref="D12" location="'C-5 OTRAS CXC'!A1" display="IR A HOJA &gt;&gt;" xr:uid="{00000000-0004-0000-0000-000009000000}"/>
    <hyperlink ref="D13" location="'C-6 ANTICIPOS'!A1" display="IR A HOJA &gt;&gt;" xr:uid="{00000000-0004-0000-0000-00000A000000}"/>
    <hyperlink ref="D14" location="'C-7 PARTES RELACIONADAS'!A1" display="IR A HOJA &gt;&gt;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60"/>
  <sheetViews>
    <sheetView workbookViewId="0">
      <selection activeCell="A3" sqref="A3:G6"/>
    </sheetView>
  </sheetViews>
  <sheetFormatPr baseColWidth="10" defaultRowHeight="15.05" x14ac:dyDescent="0.3"/>
  <cols>
    <col min="1" max="1" width="7.109375" customWidth="1"/>
    <col min="2" max="2" width="9.88671875" customWidth="1"/>
    <col min="3" max="3" width="27.44140625" customWidth="1"/>
    <col min="9" max="9" width="17.109375" customWidth="1"/>
  </cols>
  <sheetData>
    <row r="3" spans="1:10" ht="26.2" customHeight="1" x14ac:dyDescent="0.3">
      <c r="A3" s="101" t="s">
        <v>321</v>
      </c>
      <c r="B3" s="101"/>
      <c r="C3" s="101"/>
      <c r="D3" s="101"/>
      <c r="E3" s="101"/>
      <c r="F3" s="101"/>
      <c r="G3" s="101"/>
      <c r="J3" s="26" t="s">
        <v>97</v>
      </c>
    </row>
    <row r="4" spans="1:10" ht="27.85" customHeight="1" x14ac:dyDescent="0.3">
      <c r="A4" s="101" t="s">
        <v>322</v>
      </c>
      <c r="B4" s="101"/>
      <c r="C4" s="101"/>
      <c r="D4" s="101"/>
      <c r="E4" s="101"/>
      <c r="F4" s="101"/>
      <c r="G4" s="101"/>
    </row>
    <row r="5" spans="1:10" ht="27.85" customHeight="1" x14ac:dyDescent="0.3">
      <c r="A5" s="101" t="s">
        <v>323</v>
      </c>
      <c r="B5" s="101"/>
      <c r="C5" s="101"/>
      <c r="D5" s="101"/>
      <c r="E5" s="101"/>
      <c r="F5" s="101"/>
      <c r="G5" s="101"/>
    </row>
    <row r="6" spans="1:10" ht="27.85" customHeight="1" x14ac:dyDescent="0.3">
      <c r="A6" s="101" t="s">
        <v>324</v>
      </c>
      <c r="B6" s="101"/>
      <c r="C6" s="101"/>
      <c r="D6" s="101"/>
      <c r="E6" s="101"/>
      <c r="F6" s="101"/>
      <c r="G6" s="101"/>
    </row>
    <row r="7" spans="1:10" ht="27.85" customHeight="1" x14ac:dyDescent="0.3">
      <c r="A7" s="39"/>
    </row>
    <row r="8" spans="1:10" ht="15.05" customHeight="1" x14ac:dyDescent="0.3">
      <c r="A8" t="s">
        <v>140</v>
      </c>
      <c r="I8" s="16" t="s">
        <v>81</v>
      </c>
      <c r="J8" s="16"/>
    </row>
    <row r="9" spans="1:10" x14ac:dyDescent="0.3">
      <c r="A9" t="s">
        <v>141</v>
      </c>
      <c r="I9" s="16" t="s">
        <v>82</v>
      </c>
      <c r="J9" s="16"/>
    </row>
    <row r="10" spans="1:10" ht="14.25" customHeight="1" x14ac:dyDescent="0.3">
      <c r="A10" t="s">
        <v>189</v>
      </c>
      <c r="I10" s="16" t="s">
        <v>83</v>
      </c>
      <c r="J10" s="16"/>
    </row>
    <row r="11" spans="1:10" x14ac:dyDescent="0.3">
      <c r="I11" s="16" t="s">
        <v>84</v>
      </c>
      <c r="J11" s="16"/>
    </row>
    <row r="12" spans="1:10" x14ac:dyDescent="0.3">
      <c r="A12" s="103" t="s">
        <v>190</v>
      </c>
      <c r="B12" s="100"/>
      <c r="C12" s="100"/>
      <c r="D12" s="100"/>
      <c r="E12" s="100"/>
      <c r="F12" s="100"/>
      <c r="G12" s="100"/>
    </row>
    <row r="13" spans="1:10" ht="27" customHeight="1" x14ac:dyDescent="0.3">
      <c r="A13" s="104" t="s">
        <v>191</v>
      </c>
      <c r="B13" s="100"/>
      <c r="C13" s="100"/>
      <c r="D13" s="100"/>
      <c r="E13" s="100"/>
      <c r="F13" s="100"/>
      <c r="G13" s="100"/>
    </row>
    <row r="15" spans="1:10" x14ac:dyDescent="0.3">
      <c r="A15" s="103" t="s">
        <v>89</v>
      </c>
      <c r="B15" s="100"/>
      <c r="C15" s="100"/>
      <c r="D15" s="100"/>
      <c r="E15" s="100"/>
      <c r="F15" s="100"/>
      <c r="G15" s="100"/>
    </row>
    <row r="16" spans="1:10" ht="43.55" customHeight="1" x14ac:dyDescent="0.3">
      <c r="A16" s="102" t="s">
        <v>192</v>
      </c>
      <c r="B16" s="100"/>
      <c r="C16" s="100"/>
      <c r="D16" s="100"/>
      <c r="E16" s="100"/>
      <c r="F16" s="100"/>
      <c r="G16" s="100"/>
    </row>
    <row r="17" spans="1:7" ht="15.05" customHeight="1" x14ac:dyDescent="0.3"/>
    <row r="18" spans="1:7" x14ac:dyDescent="0.3">
      <c r="A18" s="103" t="s">
        <v>90</v>
      </c>
      <c r="B18" s="100"/>
      <c r="C18" s="100"/>
      <c r="D18" s="100"/>
      <c r="E18" s="100"/>
      <c r="F18" s="100"/>
      <c r="G18" s="100"/>
    </row>
    <row r="19" spans="1:7" ht="15.05" customHeight="1" x14ac:dyDescent="0.3">
      <c r="A19" s="102" t="s">
        <v>193</v>
      </c>
      <c r="B19" s="100"/>
      <c r="C19" s="100"/>
      <c r="D19" s="100"/>
      <c r="E19" s="100"/>
      <c r="F19" s="100"/>
      <c r="G19" s="100"/>
    </row>
    <row r="20" spans="1:7" ht="15.05" customHeight="1" x14ac:dyDescent="0.3">
      <c r="A20" s="102" t="s">
        <v>194</v>
      </c>
      <c r="B20" s="100"/>
      <c r="C20" s="100"/>
      <c r="D20" s="100"/>
      <c r="E20" s="100"/>
      <c r="F20" s="100"/>
      <c r="G20" s="100"/>
    </row>
    <row r="21" spans="1:7" ht="15.05" customHeight="1" x14ac:dyDescent="0.3">
      <c r="A21" s="102" t="s">
        <v>195</v>
      </c>
      <c r="B21" s="100"/>
      <c r="C21" s="100"/>
      <c r="D21" s="100"/>
      <c r="E21" s="100"/>
      <c r="F21" s="100"/>
      <c r="G21" s="100"/>
    </row>
    <row r="22" spans="1:7" ht="15.05" customHeight="1" x14ac:dyDescent="0.3">
      <c r="A22" s="102" t="s">
        <v>196</v>
      </c>
      <c r="B22" s="100"/>
      <c r="C22" s="100"/>
      <c r="D22" s="100"/>
      <c r="E22" s="100"/>
      <c r="F22" s="100"/>
      <c r="G22" s="100"/>
    </row>
    <row r="23" spans="1:7" ht="15.05" customHeight="1" x14ac:dyDescent="0.3">
      <c r="A23" s="102" t="s">
        <v>197</v>
      </c>
      <c r="B23" s="100"/>
      <c r="C23" s="100"/>
      <c r="D23" s="100"/>
      <c r="E23" s="100"/>
      <c r="F23" s="100"/>
      <c r="G23" s="100"/>
    </row>
    <row r="24" spans="1:7" ht="15.05" customHeight="1" x14ac:dyDescent="0.3">
      <c r="A24" s="102" t="s">
        <v>198</v>
      </c>
      <c r="B24" s="100"/>
      <c r="C24" s="100"/>
      <c r="D24" s="100"/>
      <c r="E24" s="100"/>
      <c r="F24" s="100"/>
      <c r="G24" s="100"/>
    </row>
    <row r="25" spans="1:7" ht="15.05" customHeight="1" x14ac:dyDescent="0.3"/>
    <row r="26" spans="1:7" ht="45.2" x14ac:dyDescent="0.3">
      <c r="A26" s="45" t="s">
        <v>91</v>
      </c>
      <c r="B26" s="45" t="s">
        <v>92</v>
      </c>
      <c r="C26" s="45" t="s">
        <v>199</v>
      </c>
      <c r="D26" s="45" t="s">
        <v>200</v>
      </c>
      <c r="E26" s="45" t="s">
        <v>76</v>
      </c>
      <c r="F26" s="45" t="s">
        <v>201</v>
      </c>
      <c r="G26" s="45" t="s">
        <v>76</v>
      </c>
    </row>
    <row r="27" spans="1:7" ht="65.150000000000006" customHeight="1" x14ac:dyDescent="0.3">
      <c r="A27" s="46">
        <v>1</v>
      </c>
      <c r="B27" s="47" t="s">
        <v>8</v>
      </c>
      <c r="C27" s="48" t="s">
        <v>202</v>
      </c>
      <c r="D27" s="16"/>
      <c r="E27" s="16"/>
      <c r="F27" s="16"/>
      <c r="G27" s="16"/>
    </row>
    <row r="28" spans="1:7" ht="65.150000000000006" customHeight="1" x14ac:dyDescent="0.3">
      <c r="A28" s="46">
        <v>2</v>
      </c>
      <c r="B28" s="47" t="s">
        <v>10</v>
      </c>
      <c r="C28" s="48" t="s">
        <v>203</v>
      </c>
      <c r="D28" s="16"/>
      <c r="E28" s="16"/>
      <c r="F28" s="16"/>
      <c r="G28" s="16"/>
    </row>
    <row r="29" spans="1:7" ht="65.150000000000006" customHeight="1" x14ac:dyDescent="0.3">
      <c r="A29" s="46">
        <v>3</v>
      </c>
      <c r="B29" s="47" t="s">
        <v>12</v>
      </c>
      <c r="C29" s="48" t="s">
        <v>204</v>
      </c>
      <c r="D29" s="16"/>
      <c r="E29" s="16"/>
      <c r="F29" s="16"/>
      <c r="G29" s="16"/>
    </row>
    <row r="30" spans="1:7" ht="65.150000000000006" customHeight="1" x14ac:dyDescent="0.3">
      <c r="A30" s="46">
        <v>4</v>
      </c>
      <c r="B30" s="47" t="s">
        <v>14</v>
      </c>
      <c r="C30" s="48" t="s">
        <v>205</v>
      </c>
      <c r="D30" s="16"/>
      <c r="E30" s="16"/>
      <c r="F30" s="16"/>
      <c r="G30" s="16"/>
    </row>
    <row r="31" spans="1:7" ht="65.150000000000006" customHeight="1" x14ac:dyDescent="0.3">
      <c r="A31" s="46">
        <v>5</v>
      </c>
      <c r="B31" s="47" t="s">
        <v>18</v>
      </c>
      <c r="C31" s="48" t="s">
        <v>206</v>
      </c>
      <c r="D31" s="16"/>
      <c r="E31" s="16"/>
      <c r="F31" s="16"/>
      <c r="G31" s="16"/>
    </row>
    <row r="32" spans="1:7" ht="65.150000000000006" customHeight="1" x14ac:dyDescent="0.3">
      <c r="A32" s="46">
        <v>6</v>
      </c>
      <c r="B32" s="47" t="s">
        <v>207</v>
      </c>
      <c r="C32" s="48" t="s">
        <v>208</v>
      </c>
      <c r="D32" s="16"/>
      <c r="E32" s="16"/>
      <c r="F32" s="16"/>
      <c r="G32" s="16"/>
    </row>
    <row r="33" spans="1:7" ht="65.150000000000006" customHeight="1" x14ac:dyDescent="0.3">
      <c r="A33" s="46">
        <v>7</v>
      </c>
      <c r="B33" s="47" t="s">
        <v>20</v>
      </c>
      <c r="C33" s="48" t="s">
        <v>209</v>
      </c>
      <c r="D33" s="16"/>
      <c r="E33" s="16"/>
      <c r="F33" s="16"/>
      <c r="G33" s="16"/>
    </row>
    <row r="34" spans="1:7" ht="65.150000000000006" customHeight="1" x14ac:dyDescent="0.3">
      <c r="A34" s="46">
        <v>8</v>
      </c>
      <c r="B34" s="47" t="s">
        <v>22</v>
      </c>
      <c r="C34" s="48" t="s">
        <v>210</v>
      </c>
      <c r="D34" s="16"/>
      <c r="E34" s="16"/>
      <c r="F34" s="16"/>
      <c r="G34" s="16"/>
    </row>
    <row r="35" spans="1:7" ht="65.150000000000006" customHeight="1" x14ac:dyDescent="0.3">
      <c r="A35" s="46">
        <v>9</v>
      </c>
      <c r="B35" s="47" t="s">
        <v>24</v>
      </c>
      <c r="C35" s="48" t="s">
        <v>211</v>
      </c>
      <c r="D35" s="16"/>
      <c r="E35" s="16"/>
      <c r="F35" s="16"/>
      <c r="G35" s="16"/>
    </row>
    <row r="36" spans="1:7" ht="65.150000000000006" customHeight="1" x14ac:dyDescent="0.3">
      <c r="A36" s="46">
        <v>10</v>
      </c>
      <c r="B36" s="47" t="s">
        <v>26</v>
      </c>
      <c r="C36" s="48" t="s">
        <v>212</v>
      </c>
      <c r="D36" s="16"/>
      <c r="E36" s="16"/>
      <c r="F36" s="16"/>
      <c r="G36" s="16"/>
    </row>
    <row r="37" spans="1:7" ht="65.150000000000006" customHeight="1" x14ac:dyDescent="0.3">
      <c r="A37" s="46">
        <v>11</v>
      </c>
      <c r="B37" s="47" t="s">
        <v>28</v>
      </c>
      <c r="C37" s="48" t="s">
        <v>213</v>
      </c>
      <c r="D37" s="16"/>
      <c r="E37" s="16"/>
      <c r="F37" s="16"/>
      <c r="G37" s="16"/>
    </row>
    <row r="38" spans="1:7" ht="65.150000000000006" customHeight="1" x14ac:dyDescent="0.3">
      <c r="A38" s="46">
        <v>12</v>
      </c>
      <c r="B38" s="47" t="s">
        <v>214</v>
      </c>
      <c r="C38" s="48" t="s">
        <v>215</v>
      </c>
      <c r="D38" s="16"/>
      <c r="E38" s="16"/>
      <c r="F38" s="16"/>
      <c r="G38" s="16"/>
    </row>
    <row r="39" spans="1:7" ht="65.150000000000006" customHeight="1" x14ac:dyDescent="0.3">
      <c r="A39" s="46">
        <v>13</v>
      </c>
      <c r="B39" s="47" t="s">
        <v>216</v>
      </c>
      <c r="C39" s="48" t="s">
        <v>217</v>
      </c>
      <c r="D39" s="16"/>
      <c r="E39" s="16"/>
      <c r="F39" s="16"/>
      <c r="G39" s="16"/>
    </row>
    <row r="40" spans="1:7" ht="65.150000000000006" customHeight="1" x14ac:dyDescent="0.3">
      <c r="A40" s="46">
        <v>14</v>
      </c>
      <c r="B40" s="47" t="s">
        <v>218</v>
      </c>
      <c r="C40" s="48" t="s">
        <v>219</v>
      </c>
      <c r="D40" s="16"/>
      <c r="E40" s="16"/>
      <c r="F40" s="16"/>
      <c r="G40" s="16"/>
    </row>
    <row r="41" spans="1:7" ht="65.150000000000006" customHeight="1" x14ac:dyDescent="0.3">
      <c r="A41" s="46">
        <v>15</v>
      </c>
      <c r="B41" s="47" t="s">
        <v>220</v>
      </c>
      <c r="C41" s="48" t="s">
        <v>221</v>
      </c>
      <c r="D41" s="16"/>
      <c r="E41" s="16"/>
      <c r="F41" s="16"/>
      <c r="G41" s="16"/>
    </row>
    <row r="42" spans="1:7" ht="65.150000000000006" customHeight="1" x14ac:dyDescent="0.3">
      <c r="A42" s="46">
        <v>16</v>
      </c>
      <c r="B42" s="47" t="s">
        <v>222</v>
      </c>
      <c r="C42" s="48" t="s">
        <v>223</v>
      </c>
      <c r="D42" s="16"/>
      <c r="E42" s="16"/>
      <c r="F42" s="16"/>
      <c r="G42" s="16"/>
    </row>
    <row r="43" spans="1:7" ht="65.150000000000006" customHeight="1" x14ac:dyDescent="0.3">
      <c r="A43" s="46">
        <v>17</v>
      </c>
      <c r="B43" s="47" t="s">
        <v>224</v>
      </c>
      <c r="C43" s="48" t="s">
        <v>225</v>
      </c>
      <c r="D43" s="16"/>
      <c r="E43" s="16"/>
      <c r="F43" s="16"/>
      <c r="G43" s="16"/>
    </row>
    <row r="44" spans="1:7" ht="65.150000000000006" customHeight="1" x14ac:dyDescent="0.3">
      <c r="A44" s="46">
        <v>18</v>
      </c>
      <c r="B44" s="47" t="s">
        <v>226</v>
      </c>
      <c r="C44" s="48" t="s">
        <v>227</v>
      </c>
      <c r="D44" s="16"/>
      <c r="E44" s="16"/>
      <c r="F44" s="16"/>
      <c r="G44" s="16"/>
    </row>
    <row r="45" spans="1:7" ht="65.150000000000006" customHeight="1" x14ac:dyDescent="0.3">
      <c r="A45" s="46">
        <v>19</v>
      </c>
      <c r="B45" s="47" t="s">
        <v>228</v>
      </c>
      <c r="C45" s="48" t="s">
        <v>229</v>
      </c>
      <c r="D45" s="16"/>
      <c r="E45" s="16"/>
      <c r="F45" s="16"/>
      <c r="G45" s="16"/>
    </row>
    <row r="46" spans="1:7" ht="65.150000000000006" customHeight="1" x14ac:dyDescent="0.3">
      <c r="A46" s="46">
        <v>20</v>
      </c>
      <c r="B46" s="47" t="s">
        <v>230</v>
      </c>
      <c r="C46" s="48" t="s">
        <v>231</v>
      </c>
      <c r="D46" s="16"/>
      <c r="E46" s="16"/>
      <c r="F46" s="16"/>
      <c r="G46" s="16"/>
    </row>
    <row r="49" spans="1:7" x14ac:dyDescent="0.3">
      <c r="A49" s="103" t="s">
        <v>93</v>
      </c>
      <c r="B49" s="100"/>
      <c r="C49" s="100"/>
      <c r="D49" s="100"/>
      <c r="E49" s="100"/>
      <c r="F49" s="100"/>
      <c r="G49" s="100"/>
    </row>
    <row r="50" spans="1:7" x14ac:dyDescent="0.3">
      <c r="A50" s="106" t="s">
        <v>232</v>
      </c>
      <c r="B50" s="100"/>
      <c r="C50" s="100"/>
      <c r="D50" s="100"/>
      <c r="E50" s="100"/>
      <c r="F50" s="100"/>
      <c r="G50" s="100"/>
    </row>
    <row r="51" spans="1:7" x14ac:dyDescent="0.3">
      <c r="A51" s="100"/>
      <c r="B51" s="100"/>
      <c r="C51" s="100"/>
      <c r="D51" s="100"/>
      <c r="E51" s="100"/>
      <c r="F51" s="100"/>
      <c r="G51" s="100"/>
    </row>
    <row r="52" spans="1:7" x14ac:dyDescent="0.3">
      <c r="A52" s="100"/>
      <c r="B52" s="100"/>
      <c r="C52" s="100"/>
      <c r="D52" s="100"/>
      <c r="E52" s="100"/>
      <c r="F52" s="100"/>
      <c r="G52" s="100"/>
    </row>
    <row r="53" spans="1:7" x14ac:dyDescent="0.3">
      <c r="A53" s="100"/>
      <c r="B53" s="100"/>
      <c r="C53" s="100"/>
      <c r="D53" s="100"/>
      <c r="E53" s="100"/>
      <c r="F53" s="100"/>
      <c r="G53" s="100"/>
    </row>
    <row r="55" spans="1:7" x14ac:dyDescent="0.3">
      <c r="A55" s="107" t="s">
        <v>94</v>
      </c>
      <c r="B55" s="100"/>
      <c r="C55" s="100"/>
      <c r="D55" s="100"/>
      <c r="E55" s="107" t="s">
        <v>95</v>
      </c>
      <c r="F55" s="100"/>
      <c r="G55" s="100"/>
    </row>
    <row r="56" spans="1:7" x14ac:dyDescent="0.3">
      <c r="A56" s="108" t="s">
        <v>96</v>
      </c>
      <c r="B56" s="100"/>
      <c r="C56" s="100"/>
      <c r="D56" s="100"/>
      <c r="E56" s="109" t="s">
        <v>96</v>
      </c>
      <c r="F56" s="100"/>
      <c r="G56" s="100"/>
    </row>
    <row r="57" spans="1:7" x14ac:dyDescent="0.3">
      <c r="A57" s="100"/>
      <c r="B57" s="100"/>
      <c r="C57" s="100"/>
      <c r="D57" s="100"/>
      <c r="E57" s="100"/>
      <c r="F57" s="100"/>
      <c r="G57" s="100"/>
    </row>
    <row r="58" spans="1:7" x14ac:dyDescent="0.3">
      <c r="A58" s="100"/>
      <c r="B58" s="100"/>
      <c r="C58" s="100"/>
      <c r="D58" s="100"/>
      <c r="E58" s="100"/>
      <c r="F58" s="100"/>
      <c r="G58" s="100"/>
    </row>
    <row r="60" spans="1:7" x14ac:dyDescent="0.3">
      <c r="A60" s="105" t="s">
        <v>233</v>
      </c>
      <c r="B60" s="100"/>
      <c r="C60" s="100"/>
      <c r="D60" s="100"/>
      <c r="E60" s="100"/>
      <c r="F60" s="100"/>
      <c r="G60" s="100"/>
    </row>
  </sheetData>
  <mergeCells count="22">
    <mergeCell ref="A60:G60"/>
    <mergeCell ref="A49:G49"/>
    <mergeCell ref="A50:G53"/>
    <mergeCell ref="A55:D55"/>
    <mergeCell ref="E55:G55"/>
    <mergeCell ref="A56:D58"/>
    <mergeCell ref="E56:G58"/>
    <mergeCell ref="A24:G24"/>
    <mergeCell ref="A12:G12"/>
    <mergeCell ref="A13:G13"/>
    <mergeCell ref="A15:G15"/>
    <mergeCell ref="A18:G18"/>
    <mergeCell ref="A20:G20"/>
    <mergeCell ref="A16:G16"/>
    <mergeCell ref="A3:G3"/>
    <mergeCell ref="A4:G4"/>
    <mergeCell ref="A21:G21"/>
    <mergeCell ref="A22:G22"/>
    <mergeCell ref="A23:G23"/>
    <mergeCell ref="A19:G19"/>
    <mergeCell ref="A5:G5"/>
    <mergeCell ref="A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tabSelected="1" workbookViewId="0">
      <selection activeCell="I20" sqref="I20"/>
    </sheetView>
  </sheetViews>
  <sheetFormatPr baseColWidth="10" defaultColWidth="9.109375" defaultRowHeight="15.05" x14ac:dyDescent="0.3"/>
  <cols>
    <col min="2" max="2" width="47.109375" customWidth="1"/>
    <col min="3" max="3" width="20.33203125" customWidth="1"/>
    <col min="4" max="4" width="22.5546875" customWidth="1"/>
    <col min="5" max="5" width="19" customWidth="1"/>
    <col min="6" max="6" width="18.109375" customWidth="1"/>
    <col min="8" max="8" width="17" customWidth="1"/>
    <col min="9" max="9" width="11.88671875" customWidth="1"/>
  </cols>
  <sheetData>
    <row r="1" spans="1:9" x14ac:dyDescent="0.3">
      <c r="A1" s="5" t="s">
        <v>30</v>
      </c>
    </row>
    <row r="3" spans="1:9" ht="15.05" customHeight="1" x14ac:dyDescent="0.3"/>
    <row r="4" spans="1:9" ht="22.6" customHeight="1" x14ac:dyDescent="0.3">
      <c r="D4" s="39" t="s">
        <v>321</v>
      </c>
      <c r="I4" s="27" t="s">
        <v>5</v>
      </c>
    </row>
    <row r="5" spans="1:9" ht="15.05" customHeight="1" x14ac:dyDescent="0.3">
      <c r="D5" s="39" t="s">
        <v>322</v>
      </c>
    </row>
    <row r="6" spans="1:9" x14ac:dyDescent="0.3">
      <c r="D6" s="39" t="s">
        <v>323</v>
      </c>
      <c r="H6" s="16" t="s">
        <v>81</v>
      </c>
      <c r="I6" s="16"/>
    </row>
    <row r="7" spans="1:9" ht="15.05" customHeight="1" x14ac:dyDescent="0.3">
      <c r="D7" s="39" t="s">
        <v>324</v>
      </c>
      <c r="H7" s="16" t="s">
        <v>82</v>
      </c>
      <c r="I7" s="16"/>
    </row>
    <row r="8" spans="1:9" ht="15.05" customHeight="1" x14ac:dyDescent="0.3">
      <c r="H8" s="16" t="s">
        <v>83</v>
      </c>
      <c r="I8" s="16"/>
    </row>
    <row r="9" spans="1:9" ht="19.649999999999999" x14ac:dyDescent="0.35">
      <c r="C9" s="17" t="s">
        <v>85</v>
      </c>
      <c r="H9" s="16" t="s">
        <v>84</v>
      </c>
      <c r="I9" s="16"/>
    </row>
    <row r="10" spans="1:9" ht="26.85" x14ac:dyDescent="0.3">
      <c r="A10" s="82"/>
      <c r="B10" s="82"/>
      <c r="C10" s="83"/>
      <c r="D10" s="84" t="s">
        <v>309</v>
      </c>
      <c r="E10" s="84" t="s">
        <v>309</v>
      </c>
      <c r="F10" s="84" t="s">
        <v>309</v>
      </c>
      <c r="G10" s="110" t="s">
        <v>310</v>
      </c>
      <c r="H10" s="110"/>
      <c r="I10" s="84" t="s">
        <v>311</v>
      </c>
    </row>
    <row r="11" spans="1:9" x14ac:dyDescent="0.3">
      <c r="A11" s="93" t="s">
        <v>312</v>
      </c>
      <c r="B11" s="94" t="s">
        <v>320</v>
      </c>
      <c r="C11" s="94" t="s">
        <v>313</v>
      </c>
      <c r="D11" s="94"/>
      <c r="E11" s="94"/>
      <c r="F11" s="94"/>
      <c r="G11" s="94" t="s">
        <v>314</v>
      </c>
      <c r="H11" s="94" t="s">
        <v>315</v>
      </c>
      <c r="I11" s="95"/>
    </row>
    <row r="12" spans="1:9" x14ac:dyDescent="0.3">
      <c r="A12" s="96"/>
      <c r="C12" s="97"/>
    </row>
    <row r="13" spans="1:9" x14ac:dyDescent="0.3">
      <c r="A13" s="96"/>
      <c r="C13" s="98"/>
    </row>
    <row r="14" spans="1:9" x14ac:dyDescent="0.3">
      <c r="A14" s="96"/>
      <c r="C14" s="98"/>
    </row>
    <row r="15" spans="1:9" x14ac:dyDescent="0.3">
      <c r="A15" s="96"/>
      <c r="C15" s="97"/>
    </row>
    <row r="16" spans="1:9" x14ac:dyDescent="0.3">
      <c r="A16" s="96"/>
      <c r="C16" s="97"/>
    </row>
    <row r="17" spans="1:9" x14ac:dyDescent="0.3">
      <c r="A17" s="96"/>
      <c r="C17" s="97"/>
    </row>
    <row r="18" spans="1:9" x14ac:dyDescent="0.3">
      <c r="A18" s="96"/>
      <c r="C18" s="97"/>
    </row>
    <row r="19" spans="1:9" ht="19.5" customHeight="1" x14ac:dyDescent="0.3">
      <c r="A19" s="85"/>
      <c r="B19" s="86" t="s">
        <v>319</v>
      </c>
      <c r="C19" s="87"/>
      <c r="D19" s="117">
        <f ca="1">SUM(D12:INDIRECT("D" &amp; ROW()-1))</f>
        <v>0</v>
      </c>
      <c r="E19" s="117">
        <f ca="1">SUM(E12:INDIRECT("E" &amp; ROW()-1))</f>
        <v>0</v>
      </c>
      <c r="F19" s="117">
        <f ca="1">SUM(F12:INDIRECT("F" &amp; ROW()-1))</f>
        <v>0</v>
      </c>
      <c r="G19" s="117">
        <f ca="1">SUM(G12:INDIRECT("G" &amp; ROW()-1))</f>
        <v>0</v>
      </c>
      <c r="H19" s="117">
        <f ca="1">SUM(H12:INDIRECT("H" &amp; ROW()-1))</f>
        <v>0</v>
      </c>
      <c r="I19" s="117">
        <f ca="1">SUM(I12:INDIRECT("I" &amp; ROW()-1))</f>
        <v>0</v>
      </c>
    </row>
    <row r="20" spans="1:9" x14ac:dyDescent="0.3">
      <c r="A20" s="88" t="s">
        <v>316</v>
      </c>
      <c r="B20" s="89"/>
      <c r="C20" s="90"/>
      <c r="D20" s="89"/>
      <c r="E20" s="89"/>
      <c r="F20" s="89"/>
      <c r="G20" s="89"/>
      <c r="H20" s="89"/>
      <c r="I20" s="89"/>
    </row>
    <row r="21" spans="1:9" x14ac:dyDescent="0.3">
      <c r="A21" s="88"/>
      <c r="B21" s="89"/>
      <c r="C21" s="90"/>
      <c r="D21" s="89"/>
      <c r="E21" s="89"/>
      <c r="F21" s="89"/>
      <c r="G21" s="89"/>
      <c r="H21" s="89"/>
      <c r="I21" s="89"/>
    </row>
    <row r="22" spans="1:9" x14ac:dyDescent="0.3">
      <c r="A22" s="88" t="s">
        <v>317</v>
      </c>
      <c r="B22" s="89"/>
      <c r="C22" s="89"/>
      <c r="D22" s="89"/>
      <c r="E22" s="89"/>
      <c r="F22" s="89"/>
      <c r="G22" s="89"/>
      <c r="H22" s="89"/>
      <c r="I22" s="91"/>
    </row>
    <row r="23" spans="1:9" x14ac:dyDescent="0.3">
      <c r="A23" s="88"/>
      <c r="B23" s="89"/>
      <c r="C23" s="89"/>
      <c r="D23" s="89"/>
      <c r="E23" s="89"/>
      <c r="F23" s="89"/>
      <c r="G23" s="89"/>
      <c r="H23" s="89"/>
      <c r="I23" s="91"/>
    </row>
    <row r="24" spans="1:9" x14ac:dyDescent="0.3">
      <c r="A24" s="88" t="s">
        <v>318</v>
      </c>
      <c r="B24" s="89"/>
      <c r="C24" s="92"/>
      <c r="D24" s="92"/>
      <c r="E24" s="92"/>
      <c r="F24" s="92"/>
      <c r="G24" s="89"/>
      <c r="H24" s="89"/>
      <c r="I24" s="91"/>
    </row>
    <row r="32" spans="1:9" x14ac:dyDescent="0.3">
      <c r="A32" s="21" t="s">
        <v>86</v>
      </c>
      <c r="B32" s="22"/>
      <c r="F32" s="21" t="s">
        <v>87</v>
      </c>
      <c r="G32" s="22"/>
      <c r="H32" s="22"/>
      <c r="I32" s="22"/>
    </row>
    <row r="33" spans="1:6" x14ac:dyDescent="0.3">
      <c r="A33" s="23" t="s">
        <v>88</v>
      </c>
      <c r="F33" s="23" t="s">
        <v>88</v>
      </c>
    </row>
    <row r="50" spans="1:1" x14ac:dyDescent="0.3">
      <c r="A50" s="24" t="str">
        <f>HYPERLINK("#'INDICE'!A4","&lt;&lt; Volver al Indice")</f>
        <v>&lt;&lt; Volver al Indice</v>
      </c>
    </row>
  </sheetData>
  <mergeCells count="1">
    <mergeCell ref="G10:H10"/>
  </mergeCells>
  <hyperlinks>
    <hyperlink ref="A1" location="ÍNDICE!A1" display="← VOLVER AL ÍNDICE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15" customWidth="1"/>
    <col min="2" max="2" width="30" customWidth="1"/>
    <col min="3" max="7" width="15" customWidth="1"/>
    <col min="8" max="8" width="21.6640625" customWidth="1"/>
    <col min="9" max="9" width="15" customWidth="1"/>
    <col min="10" max="10" width="17.5546875" customWidth="1"/>
    <col min="11" max="11" width="12.33203125" customWidth="1"/>
  </cols>
  <sheetData>
    <row r="1" spans="1:11" x14ac:dyDescent="0.3">
      <c r="A1" s="5" t="s">
        <v>30</v>
      </c>
    </row>
    <row r="3" spans="1:11" ht="28.5" customHeight="1" x14ac:dyDescent="0.3">
      <c r="K3" s="27" t="s">
        <v>10</v>
      </c>
    </row>
    <row r="4" spans="1:11" x14ac:dyDescent="0.3">
      <c r="E4" s="39" t="s">
        <v>321</v>
      </c>
    </row>
    <row r="5" spans="1:11" x14ac:dyDescent="0.3">
      <c r="E5" s="39" t="s">
        <v>322</v>
      </c>
      <c r="J5" s="16" t="s">
        <v>81</v>
      </c>
      <c r="K5" s="16"/>
    </row>
    <row r="6" spans="1:11" x14ac:dyDescent="0.3">
      <c r="E6" s="39" t="s">
        <v>323</v>
      </c>
      <c r="J6" s="16" t="s">
        <v>82</v>
      </c>
      <c r="K6" s="16"/>
    </row>
    <row r="7" spans="1:11" x14ac:dyDescent="0.3">
      <c r="E7" s="39" t="s">
        <v>324</v>
      </c>
      <c r="J7" s="16" t="s">
        <v>83</v>
      </c>
      <c r="K7" s="16"/>
    </row>
    <row r="8" spans="1:11" x14ac:dyDescent="0.3">
      <c r="J8" s="16" t="s">
        <v>84</v>
      </c>
      <c r="K8" s="16"/>
    </row>
    <row r="9" spans="1:11" ht="15.75" x14ac:dyDescent="0.3">
      <c r="A9" s="111" t="s">
        <v>142</v>
      </c>
      <c r="B9" s="111"/>
      <c r="C9" s="111"/>
      <c r="D9" s="111"/>
      <c r="E9" s="111"/>
      <c r="F9" s="111"/>
      <c r="G9" s="111"/>
      <c r="H9" s="111"/>
      <c r="I9" s="111"/>
    </row>
    <row r="10" spans="1:11" x14ac:dyDescent="0.3">
      <c r="A10" t="s">
        <v>98</v>
      </c>
    </row>
    <row r="11" spans="1:11" x14ac:dyDescent="0.3">
      <c r="A11" t="s">
        <v>99</v>
      </c>
    </row>
    <row r="13" spans="1:11" ht="28.8" x14ac:dyDescent="0.3">
      <c r="A13" s="18" t="s">
        <v>100</v>
      </c>
      <c r="B13" s="18" t="s">
        <v>32</v>
      </c>
      <c r="C13" s="18" t="s">
        <v>33</v>
      </c>
      <c r="D13" s="18" t="s">
        <v>101</v>
      </c>
      <c r="E13" s="18" t="s">
        <v>102</v>
      </c>
      <c r="F13" s="18" t="s">
        <v>36</v>
      </c>
      <c r="G13" s="18" t="s">
        <v>31</v>
      </c>
      <c r="H13" s="18" t="s">
        <v>103</v>
      </c>
      <c r="I13" s="18" t="s">
        <v>104</v>
      </c>
    </row>
    <row r="14" spans="1:11" x14ac:dyDescent="0.3">
      <c r="A14" s="16" t="s">
        <v>105</v>
      </c>
      <c r="B14" s="16" t="s">
        <v>106</v>
      </c>
      <c r="C14" s="28">
        <v>800</v>
      </c>
      <c r="D14" s="33" t="s">
        <v>107</v>
      </c>
      <c r="E14" s="16" t="s">
        <v>108</v>
      </c>
      <c r="F14" s="28">
        <v>750</v>
      </c>
      <c r="G14" s="29">
        <f>F14-C14</f>
        <v>-50</v>
      </c>
      <c r="H14" s="16"/>
      <c r="I14" s="16" t="s">
        <v>109</v>
      </c>
    </row>
    <row r="15" spans="1:11" x14ac:dyDescent="0.3">
      <c r="A15" s="16" t="s">
        <v>110</v>
      </c>
      <c r="B15" s="16" t="s">
        <v>111</v>
      </c>
      <c r="C15" s="28">
        <v>650000</v>
      </c>
      <c r="D15" s="33" t="s">
        <v>107</v>
      </c>
      <c r="E15" s="16" t="s">
        <v>108</v>
      </c>
      <c r="F15" s="28">
        <v>1</v>
      </c>
      <c r="G15" s="29">
        <f>F15-C15</f>
        <v>-649999</v>
      </c>
      <c r="H15" s="16"/>
      <c r="I15" s="16" t="s">
        <v>109</v>
      </c>
    </row>
    <row r="16" spans="1:11" x14ac:dyDescent="0.3">
      <c r="A16" s="16" t="s">
        <v>112</v>
      </c>
      <c r="B16" s="16" t="s">
        <v>113</v>
      </c>
      <c r="C16" s="28">
        <v>500000</v>
      </c>
      <c r="D16" s="33" t="s">
        <v>107</v>
      </c>
      <c r="E16" s="16" t="s">
        <v>114</v>
      </c>
      <c r="F16" s="28">
        <v>480000</v>
      </c>
      <c r="G16" s="29">
        <f>F16-C16</f>
        <v>-20000</v>
      </c>
      <c r="H16" s="16" t="s">
        <v>107</v>
      </c>
      <c r="I16" s="16" t="s">
        <v>115</v>
      </c>
    </row>
    <row r="17" spans="1:9" x14ac:dyDescent="0.3">
      <c r="A17" s="16" t="s">
        <v>116</v>
      </c>
      <c r="B17" s="16" t="s">
        <v>117</v>
      </c>
      <c r="C17" s="28">
        <v>450000</v>
      </c>
      <c r="D17" s="33" t="s">
        <v>107</v>
      </c>
      <c r="E17" s="16" t="s">
        <v>118</v>
      </c>
      <c r="F17" s="16"/>
      <c r="G17" s="16"/>
      <c r="H17" s="16" t="s">
        <v>107</v>
      </c>
      <c r="I17" s="16" t="s">
        <v>115</v>
      </c>
    </row>
    <row r="18" spans="1:9" x14ac:dyDescent="0.3">
      <c r="A18" s="16" t="s">
        <v>119</v>
      </c>
      <c r="B18" s="16" t="s">
        <v>120</v>
      </c>
      <c r="C18" s="28">
        <v>380000</v>
      </c>
      <c r="D18" s="33" t="s">
        <v>107</v>
      </c>
      <c r="E18" s="16" t="s">
        <v>108</v>
      </c>
      <c r="F18" s="28">
        <v>380000</v>
      </c>
      <c r="G18" s="29">
        <f>F18-C18</f>
        <v>0</v>
      </c>
      <c r="H18" s="16"/>
      <c r="I18" s="16" t="s">
        <v>109</v>
      </c>
    </row>
    <row r="19" spans="1:9" x14ac:dyDescent="0.3">
      <c r="A19" s="16" t="s">
        <v>121</v>
      </c>
      <c r="B19" s="16" t="s">
        <v>122</v>
      </c>
      <c r="C19" s="28">
        <v>320000</v>
      </c>
      <c r="D19" s="33" t="s">
        <v>107</v>
      </c>
      <c r="E19" s="16" t="s">
        <v>108</v>
      </c>
      <c r="F19" s="28">
        <v>320000</v>
      </c>
      <c r="G19" s="29">
        <f>F19-C19</f>
        <v>0</v>
      </c>
      <c r="H19" s="16"/>
      <c r="I19" s="16" t="s">
        <v>109</v>
      </c>
    </row>
    <row r="20" spans="1:9" x14ac:dyDescent="0.3">
      <c r="A20" s="16" t="s">
        <v>123</v>
      </c>
      <c r="B20" s="16" t="s">
        <v>124</v>
      </c>
      <c r="C20" s="28">
        <v>280000</v>
      </c>
      <c r="D20" s="33" t="s">
        <v>107</v>
      </c>
      <c r="E20" s="16" t="s">
        <v>108</v>
      </c>
      <c r="F20" s="28">
        <v>280000</v>
      </c>
      <c r="G20" s="29">
        <f>F20-C20</f>
        <v>0</v>
      </c>
      <c r="H20" s="16"/>
      <c r="I20" s="16" t="s">
        <v>109</v>
      </c>
    </row>
    <row r="21" spans="1:9" x14ac:dyDescent="0.3">
      <c r="A21" s="16" t="s">
        <v>125</v>
      </c>
      <c r="B21" s="16" t="s">
        <v>126</v>
      </c>
      <c r="C21" s="28">
        <v>250000</v>
      </c>
      <c r="D21" s="33" t="s">
        <v>107</v>
      </c>
      <c r="E21" s="16" t="s">
        <v>108</v>
      </c>
      <c r="F21" s="28">
        <v>250000</v>
      </c>
      <c r="G21" s="29">
        <f>F21-C21</f>
        <v>0</v>
      </c>
      <c r="H21" s="16"/>
      <c r="I21" s="16" t="s">
        <v>109</v>
      </c>
    </row>
    <row r="22" spans="1:9" x14ac:dyDescent="0.3">
      <c r="A22" s="16" t="s">
        <v>127</v>
      </c>
      <c r="B22" s="16" t="s">
        <v>128</v>
      </c>
      <c r="C22" s="28">
        <v>220000</v>
      </c>
      <c r="D22" s="33" t="s">
        <v>107</v>
      </c>
      <c r="E22" s="16" t="s">
        <v>118</v>
      </c>
      <c r="F22" s="16"/>
      <c r="G22" s="16"/>
      <c r="H22" s="16" t="s">
        <v>107</v>
      </c>
      <c r="I22" s="16" t="s">
        <v>115</v>
      </c>
    </row>
    <row r="23" spans="1:9" x14ac:dyDescent="0.3">
      <c r="A23" s="16" t="s">
        <v>129</v>
      </c>
      <c r="B23" s="16" t="s">
        <v>130</v>
      </c>
      <c r="C23" s="28">
        <v>200000</v>
      </c>
      <c r="D23" s="33" t="s">
        <v>131</v>
      </c>
      <c r="E23" s="16" t="s">
        <v>132</v>
      </c>
      <c r="F23" s="16"/>
      <c r="G23" s="16"/>
      <c r="H23" s="16" t="s">
        <v>107</v>
      </c>
      <c r="I23" s="16" t="s">
        <v>115</v>
      </c>
    </row>
    <row r="24" spans="1:9" x14ac:dyDescent="0.3">
      <c r="A24" s="16"/>
      <c r="B24" s="16" t="s">
        <v>133</v>
      </c>
      <c r="C24" s="28">
        <v>900000</v>
      </c>
      <c r="D24" s="33" t="s">
        <v>131</v>
      </c>
      <c r="E24" s="16" t="s">
        <v>132</v>
      </c>
      <c r="F24" s="16"/>
      <c r="G24" s="16"/>
      <c r="H24" s="16" t="s">
        <v>107</v>
      </c>
      <c r="I24" s="16" t="s">
        <v>134</v>
      </c>
    </row>
    <row r="25" spans="1:9" x14ac:dyDescent="0.3">
      <c r="B25" s="19" t="s">
        <v>135</v>
      </c>
      <c r="C25" s="30">
        <f>SUM(C14:C24)</f>
        <v>4150800</v>
      </c>
      <c r="F25" s="30">
        <f>SUM(F14:F24)</f>
        <v>1710751</v>
      </c>
      <c r="G25" s="30">
        <f>SUM(G14:G24)</f>
        <v>-670049</v>
      </c>
    </row>
    <row r="27" spans="1:9" x14ac:dyDescent="0.3">
      <c r="A27" s="20" t="s">
        <v>136</v>
      </c>
    </row>
    <row r="28" spans="1:9" x14ac:dyDescent="0.3">
      <c r="A28" t="s">
        <v>137</v>
      </c>
      <c r="B28">
        <f>COUNTIF(D14:D24,"Sí")</f>
        <v>9</v>
      </c>
    </row>
    <row r="29" spans="1:9" x14ac:dyDescent="0.3">
      <c r="A29" t="s">
        <v>138</v>
      </c>
      <c r="B29">
        <f>COUNTIF(E14:E24,"Confirmado")</f>
        <v>6</v>
      </c>
    </row>
    <row r="30" spans="1:9" x14ac:dyDescent="0.3">
      <c r="A30" t="s">
        <v>139</v>
      </c>
      <c r="B30" s="31">
        <f>B29/B28</f>
        <v>0.66666666666666663</v>
      </c>
    </row>
    <row r="31" spans="1:9" x14ac:dyDescent="0.3">
      <c r="A31" s="32"/>
      <c r="B31" s="6"/>
      <c r="C31" s="6"/>
      <c r="D31" s="6"/>
      <c r="E31" s="6"/>
    </row>
    <row r="32" spans="1:9" x14ac:dyDescent="0.3">
      <c r="A32" s="32"/>
      <c r="B32" s="6"/>
      <c r="C32" s="6"/>
      <c r="D32" s="6"/>
      <c r="E32" s="6"/>
    </row>
    <row r="33" spans="1:9" x14ac:dyDescent="0.3">
      <c r="A33" s="32"/>
      <c r="B33" s="6"/>
      <c r="C33" s="6"/>
      <c r="D33" s="6"/>
      <c r="E33" s="6"/>
    </row>
    <row r="43" spans="1:9" x14ac:dyDescent="0.3">
      <c r="A43" s="21" t="s">
        <v>86</v>
      </c>
      <c r="B43" s="22"/>
      <c r="F43" s="21" t="s">
        <v>87</v>
      </c>
      <c r="G43" s="22"/>
      <c r="H43" s="22"/>
      <c r="I43" s="22"/>
    </row>
    <row r="44" spans="1:9" x14ac:dyDescent="0.3">
      <c r="A44" s="23" t="s">
        <v>88</v>
      </c>
      <c r="F44" s="23" t="s">
        <v>88</v>
      </c>
    </row>
    <row r="54" spans="1:1" x14ac:dyDescent="0.3">
      <c r="A54" s="24" t="str">
        <f>HYPERLINK("#'INDICE'!A23","&lt;&lt; Volver al Indice")</f>
        <v>&lt;&lt; Volver al Indice</v>
      </c>
    </row>
  </sheetData>
  <mergeCells count="1">
    <mergeCell ref="A9:I9"/>
  </mergeCells>
  <hyperlinks>
    <hyperlink ref="A1" location="ÍNDICE!A1" display="← VOLVER AL ÍNDICE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8" customWidth="1"/>
    <col min="2" max="2" width="15" customWidth="1"/>
    <col min="3" max="3" width="22.44140625" customWidth="1"/>
    <col min="4" max="6" width="15" customWidth="1"/>
    <col min="7" max="7" width="24" customWidth="1"/>
    <col min="8" max="8" width="30" customWidth="1"/>
    <col min="9" max="9" width="18.44140625" customWidth="1"/>
    <col min="10" max="12" width="15" customWidth="1"/>
  </cols>
  <sheetData>
    <row r="1" spans="1:10" x14ac:dyDescent="0.3">
      <c r="A1" s="5" t="s">
        <v>30</v>
      </c>
    </row>
    <row r="3" spans="1:10" ht="25.55" customHeight="1" x14ac:dyDescent="0.3">
      <c r="J3" s="27" t="s">
        <v>10</v>
      </c>
    </row>
    <row r="4" spans="1:10" x14ac:dyDescent="0.3">
      <c r="E4" s="39" t="s">
        <v>321</v>
      </c>
    </row>
    <row r="5" spans="1:10" x14ac:dyDescent="0.3">
      <c r="E5" s="39" t="s">
        <v>322</v>
      </c>
      <c r="I5" s="16" t="s">
        <v>81</v>
      </c>
      <c r="J5" s="16"/>
    </row>
    <row r="6" spans="1:10" x14ac:dyDescent="0.3">
      <c r="E6" s="39" t="s">
        <v>323</v>
      </c>
      <c r="I6" s="16" t="s">
        <v>82</v>
      </c>
      <c r="J6" s="16"/>
    </row>
    <row r="7" spans="1:10" x14ac:dyDescent="0.3">
      <c r="E7" s="39" t="s">
        <v>324</v>
      </c>
      <c r="I7" s="16" t="s">
        <v>83</v>
      </c>
      <c r="J7" s="16"/>
    </row>
    <row r="8" spans="1:10" x14ac:dyDescent="0.3">
      <c r="I8" s="16" t="s">
        <v>84</v>
      </c>
      <c r="J8" s="16"/>
    </row>
    <row r="9" spans="1:10" ht="15.75" x14ac:dyDescent="0.3">
      <c r="A9" s="112" t="s">
        <v>143</v>
      </c>
      <c r="B9" s="100"/>
      <c r="C9" s="100"/>
      <c r="D9" s="100"/>
      <c r="E9" s="100"/>
      <c r="F9" s="100"/>
      <c r="G9" s="100"/>
      <c r="H9" s="100"/>
    </row>
    <row r="11" spans="1:10" x14ac:dyDescent="0.3">
      <c r="A11" s="34" t="s">
        <v>100</v>
      </c>
      <c r="B11" s="34" t="s">
        <v>32</v>
      </c>
      <c r="C11" s="34" t="s">
        <v>77</v>
      </c>
      <c r="D11" s="34" t="s">
        <v>34</v>
      </c>
      <c r="E11" s="34" t="s">
        <v>144</v>
      </c>
      <c r="F11" s="34" t="s">
        <v>40</v>
      </c>
      <c r="G11" s="34" t="s">
        <v>43</v>
      </c>
      <c r="H11" s="34" t="s">
        <v>38</v>
      </c>
    </row>
    <row r="12" spans="1:10" x14ac:dyDescent="0.3">
      <c r="A12" s="16" t="s">
        <v>105</v>
      </c>
      <c r="B12" s="16" t="s">
        <v>106</v>
      </c>
      <c r="C12" s="35">
        <v>850000</v>
      </c>
      <c r="D12" s="16" t="s">
        <v>145</v>
      </c>
      <c r="E12" s="16" t="s">
        <v>146</v>
      </c>
      <c r="F12" s="16" t="s">
        <v>147</v>
      </c>
      <c r="G12" s="33" t="s">
        <v>148</v>
      </c>
      <c r="H12" s="16" t="s">
        <v>149</v>
      </c>
    </row>
    <row r="13" spans="1:10" x14ac:dyDescent="0.3">
      <c r="A13" s="16" t="s">
        <v>110</v>
      </c>
      <c r="B13" s="16" t="s">
        <v>111</v>
      </c>
      <c r="C13" s="35">
        <v>650000</v>
      </c>
      <c r="D13" s="16" t="s">
        <v>145</v>
      </c>
      <c r="E13" s="16" t="s">
        <v>146</v>
      </c>
      <c r="F13" s="16" t="s">
        <v>147</v>
      </c>
      <c r="G13" s="33" t="s">
        <v>148</v>
      </c>
      <c r="H13" s="16" t="s">
        <v>149</v>
      </c>
    </row>
    <row r="14" spans="1:10" x14ac:dyDescent="0.3">
      <c r="A14" s="16" t="s">
        <v>112</v>
      </c>
      <c r="B14" s="16" t="s">
        <v>113</v>
      </c>
      <c r="C14" s="35">
        <v>500000</v>
      </c>
      <c r="D14" s="16" t="s">
        <v>150</v>
      </c>
      <c r="E14" s="16" t="s">
        <v>146</v>
      </c>
      <c r="F14" s="16" t="s">
        <v>151</v>
      </c>
      <c r="G14" s="33" t="s">
        <v>148</v>
      </c>
      <c r="H14" s="16" t="s">
        <v>149</v>
      </c>
    </row>
    <row r="15" spans="1:10" x14ac:dyDescent="0.3">
      <c r="A15" s="16" t="s">
        <v>116</v>
      </c>
      <c r="B15" s="16" t="s">
        <v>117</v>
      </c>
      <c r="C15" s="35">
        <v>450000</v>
      </c>
      <c r="D15" s="16" t="s">
        <v>150</v>
      </c>
      <c r="E15" s="16" t="s">
        <v>152</v>
      </c>
      <c r="F15" s="16" t="s">
        <v>151</v>
      </c>
      <c r="G15" s="33" t="s">
        <v>153</v>
      </c>
      <c r="H15" s="16" t="s">
        <v>149</v>
      </c>
    </row>
    <row r="16" spans="1:10" x14ac:dyDescent="0.3">
      <c r="A16" s="16" t="s">
        <v>119</v>
      </c>
      <c r="B16" s="16" t="s">
        <v>120</v>
      </c>
      <c r="C16" s="35">
        <v>380000</v>
      </c>
      <c r="D16" s="16" t="s">
        <v>150</v>
      </c>
      <c r="E16" s="16" t="s">
        <v>146</v>
      </c>
      <c r="F16" s="16" t="s">
        <v>151</v>
      </c>
      <c r="G16" s="33" t="s">
        <v>148</v>
      </c>
      <c r="H16" s="16" t="s">
        <v>149</v>
      </c>
    </row>
    <row r="25" spans="1:8" x14ac:dyDescent="0.3">
      <c r="A25" s="21" t="s">
        <v>86</v>
      </c>
      <c r="B25" s="22"/>
      <c r="C25" s="22"/>
      <c r="F25" s="21" t="s">
        <v>87</v>
      </c>
      <c r="G25" s="22"/>
      <c r="H25" s="22"/>
    </row>
    <row r="26" spans="1:8" x14ac:dyDescent="0.3">
      <c r="A26" s="23" t="s">
        <v>88</v>
      </c>
      <c r="F26" s="23" t="s">
        <v>88</v>
      </c>
    </row>
    <row r="40" spans="1:1" x14ac:dyDescent="0.3">
      <c r="A40" s="24" t="str">
        <f>HYPERLINK("#'INDICE'!A24","&lt;&lt; Volver al Indice")</f>
        <v>&lt;&lt; Volver al Indice</v>
      </c>
    </row>
  </sheetData>
  <mergeCells count="1">
    <mergeCell ref="A9:H9"/>
  </mergeCells>
  <hyperlinks>
    <hyperlink ref="A1" location="ÍNDICE!A1" display="← VOLVER AL ÍNDICE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workbookViewId="0">
      <selection activeCell="E3" sqref="E3:E6"/>
    </sheetView>
  </sheetViews>
  <sheetFormatPr baseColWidth="10" defaultColWidth="9.109375" defaultRowHeight="15.05" x14ac:dyDescent="0.3"/>
  <cols>
    <col min="1" max="1" width="10.33203125" customWidth="1"/>
    <col min="2" max="2" width="30.44140625" customWidth="1"/>
    <col min="3" max="6" width="15" customWidth="1"/>
    <col min="7" max="7" width="24.5546875" customWidth="1"/>
    <col min="8" max="9" width="15" customWidth="1"/>
    <col min="10" max="10" width="17.109375" customWidth="1"/>
    <col min="11" max="11" width="12.33203125" customWidth="1"/>
  </cols>
  <sheetData>
    <row r="1" spans="1:11" x14ac:dyDescent="0.3">
      <c r="A1" s="5" t="s">
        <v>30</v>
      </c>
    </row>
    <row r="3" spans="1:11" x14ac:dyDescent="0.3">
      <c r="E3" s="39" t="s">
        <v>321</v>
      </c>
    </row>
    <row r="4" spans="1:11" ht="19.649999999999999" x14ac:dyDescent="0.3">
      <c r="E4" s="39" t="s">
        <v>322</v>
      </c>
      <c r="K4" s="27" t="s">
        <v>12</v>
      </c>
    </row>
    <row r="5" spans="1:11" x14ac:dyDescent="0.3">
      <c r="E5" s="39" t="s">
        <v>323</v>
      </c>
    </row>
    <row r="6" spans="1:11" x14ac:dyDescent="0.3">
      <c r="E6" s="39" t="s">
        <v>324</v>
      </c>
      <c r="J6" s="16" t="s">
        <v>81</v>
      </c>
      <c r="K6" s="16"/>
    </row>
    <row r="7" spans="1:11" x14ac:dyDescent="0.3">
      <c r="J7" s="16" t="s">
        <v>82</v>
      </c>
      <c r="K7" s="16"/>
    </row>
    <row r="8" spans="1:11" ht="15.75" x14ac:dyDescent="0.3">
      <c r="A8" s="112" t="s">
        <v>154</v>
      </c>
      <c r="B8" s="100"/>
      <c r="C8" s="100"/>
      <c r="D8" s="100"/>
      <c r="E8" s="100"/>
      <c r="F8" s="100"/>
      <c r="G8" s="100"/>
      <c r="H8" s="100"/>
      <c r="I8" s="100"/>
      <c r="J8" s="16" t="s">
        <v>83</v>
      </c>
      <c r="K8" s="16"/>
    </row>
    <row r="9" spans="1:11" x14ac:dyDescent="0.3">
      <c r="J9" s="16" t="s">
        <v>84</v>
      </c>
      <c r="K9" s="16"/>
    </row>
    <row r="10" spans="1:11" ht="29.45" x14ac:dyDescent="0.3">
      <c r="A10" s="34" t="s">
        <v>100</v>
      </c>
      <c r="B10" s="34" t="s">
        <v>32</v>
      </c>
      <c r="C10" s="34" t="s">
        <v>41</v>
      </c>
      <c r="D10" s="34" t="s">
        <v>35</v>
      </c>
      <c r="E10" s="34" t="s">
        <v>36</v>
      </c>
      <c r="F10" s="34" t="s">
        <v>31</v>
      </c>
      <c r="G10" s="34" t="s">
        <v>42</v>
      </c>
      <c r="H10" s="34" t="s">
        <v>155</v>
      </c>
      <c r="I10" s="34" t="s">
        <v>104</v>
      </c>
    </row>
    <row r="11" spans="1:11" ht="24.9" customHeight="1" x14ac:dyDescent="0.3">
      <c r="A11" s="16" t="s">
        <v>105</v>
      </c>
      <c r="B11" s="16" t="s">
        <v>106</v>
      </c>
      <c r="C11" s="29">
        <v>800</v>
      </c>
      <c r="D11" s="16" t="s">
        <v>156</v>
      </c>
      <c r="E11" s="29">
        <v>500</v>
      </c>
      <c r="F11" s="29">
        <f>E11-C11</f>
        <v>-300</v>
      </c>
      <c r="G11" s="16" t="s">
        <v>157</v>
      </c>
      <c r="H11" s="33" t="s">
        <v>158</v>
      </c>
      <c r="I11" s="25" t="s">
        <v>159</v>
      </c>
    </row>
    <row r="12" spans="1:11" ht="24.9" customHeight="1" x14ac:dyDescent="0.3">
      <c r="A12" s="16" t="s">
        <v>110</v>
      </c>
      <c r="B12" s="16" t="s">
        <v>111</v>
      </c>
      <c r="C12" s="29">
        <v>650000</v>
      </c>
      <c r="D12" s="16" t="s">
        <v>160</v>
      </c>
      <c r="E12" s="29">
        <v>650000</v>
      </c>
      <c r="F12" s="29">
        <f>E12-C12</f>
        <v>0</v>
      </c>
      <c r="G12" s="16" t="s">
        <v>157</v>
      </c>
      <c r="H12" s="33" t="s">
        <v>158</v>
      </c>
      <c r="I12" s="25" t="s">
        <v>159</v>
      </c>
    </row>
    <row r="13" spans="1:11" ht="24.9" customHeight="1" x14ac:dyDescent="0.3">
      <c r="A13" s="16" t="s">
        <v>112</v>
      </c>
      <c r="B13" s="16" t="s">
        <v>113</v>
      </c>
      <c r="C13" s="29">
        <v>500000</v>
      </c>
      <c r="D13" s="16" t="s">
        <v>161</v>
      </c>
      <c r="E13" s="29">
        <v>480000</v>
      </c>
      <c r="F13" s="29">
        <f>E13-C13</f>
        <v>-20000</v>
      </c>
      <c r="G13" s="16" t="s">
        <v>162</v>
      </c>
      <c r="H13" s="33" t="s">
        <v>158</v>
      </c>
      <c r="I13" s="25" t="s">
        <v>159</v>
      </c>
    </row>
    <row r="14" spans="1:11" ht="24.9" customHeight="1" x14ac:dyDescent="0.3">
      <c r="A14" s="16" t="s">
        <v>119</v>
      </c>
      <c r="B14" s="16" t="s">
        <v>120</v>
      </c>
      <c r="C14" s="29">
        <v>380000</v>
      </c>
      <c r="D14" s="16" t="s">
        <v>163</v>
      </c>
      <c r="E14" s="29">
        <v>380000</v>
      </c>
      <c r="F14" s="29">
        <f>E14-C14</f>
        <v>0</v>
      </c>
      <c r="G14" s="16" t="s">
        <v>157</v>
      </c>
      <c r="H14" s="33" t="s">
        <v>158</v>
      </c>
      <c r="I14" s="25" t="s">
        <v>159</v>
      </c>
    </row>
    <row r="23" spans="1:9" x14ac:dyDescent="0.3">
      <c r="A23" s="21" t="s">
        <v>86</v>
      </c>
      <c r="B23" s="22"/>
      <c r="C23" s="22"/>
      <c r="F23" s="21" t="s">
        <v>87</v>
      </c>
      <c r="G23" s="22"/>
      <c r="H23" s="22"/>
      <c r="I23" s="22"/>
    </row>
    <row r="24" spans="1:9" x14ac:dyDescent="0.3">
      <c r="A24" s="23" t="s">
        <v>88</v>
      </c>
      <c r="F24" s="23" t="s">
        <v>88</v>
      </c>
    </row>
    <row r="36" spans="1:1" x14ac:dyDescent="0.3">
      <c r="A36" s="24" t="str">
        <f>HYPERLINK("#'INDICE'!A25","&lt;&lt; Volver al Indice")</f>
        <v>&lt;&lt; Volver al Indice</v>
      </c>
    </row>
  </sheetData>
  <mergeCells count="1">
    <mergeCell ref="A8:I8"/>
  </mergeCells>
  <dataValidations count="1">
    <dataValidation type="list" allowBlank="1" showInputMessage="1" showErrorMessage="1" sqref="H11:H14" xr:uid="{00000000-0002-0000-0500-000000000000}">
      <formula1>"Si, No"</formula1>
    </dataValidation>
  </dataValidations>
  <hyperlinks>
    <hyperlink ref="A1" location="ÍNDICE!A1" display="← VOLVER AL ÍNDICE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"/>
  <sheetViews>
    <sheetView workbookViewId="0">
      <selection activeCell="A3" sqref="A3:G6"/>
    </sheetView>
  </sheetViews>
  <sheetFormatPr baseColWidth="10" defaultColWidth="9.109375" defaultRowHeight="15.05" x14ac:dyDescent="0.3"/>
  <cols>
    <col min="1" max="1" width="25" customWidth="1"/>
    <col min="2" max="9" width="18" customWidth="1"/>
    <col min="10" max="10" width="11.109375" customWidth="1"/>
  </cols>
  <sheetData>
    <row r="1" spans="1:10" x14ac:dyDescent="0.3">
      <c r="A1" s="5" t="s">
        <v>30</v>
      </c>
    </row>
    <row r="3" spans="1:10" ht="20.3" customHeight="1" x14ac:dyDescent="0.3">
      <c r="A3" s="101" t="s">
        <v>321</v>
      </c>
      <c r="B3" s="101"/>
      <c r="C3" s="101"/>
      <c r="D3" s="101"/>
      <c r="E3" s="101"/>
      <c r="F3" s="101"/>
      <c r="G3" s="101"/>
      <c r="J3" s="27" t="s">
        <v>14</v>
      </c>
    </row>
    <row r="4" spans="1:10" x14ac:dyDescent="0.3">
      <c r="A4" s="101" t="s">
        <v>322</v>
      </c>
      <c r="B4" s="101"/>
      <c r="C4" s="101"/>
      <c r="D4" s="101"/>
      <c r="E4" s="101"/>
      <c r="F4" s="101"/>
      <c r="G4" s="101"/>
    </row>
    <row r="5" spans="1:10" x14ac:dyDescent="0.3">
      <c r="A5" s="101" t="s">
        <v>323</v>
      </c>
      <c r="B5" s="101"/>
      <c r="C5" s="101"/>
      <c r="D5" s="101"/>
      <c r="E5" s="101"/>
      <c r="F5" s="101"/>
      <c r="G5" s="101"/>
      <c r="I5" s="36" t="s">
        <v>164</v>
      </c>
      <c r="J5" s="16"/>
    </row>
    <row r="6" spans="1:10" x14ac:dyDescent="0.3">
      <c r="A6" s="101" t="s">
        <v>324</v>
      </c>
      <c r="B6" s="101"/>
      <c r="C6" s="101"/>
      <c r="D6" s="101"/>
      <c r="E6" s="101"/>
      <c r="F6" s="101"/>
      <c r="G6" s="101"/>
      <c r="I6" s="36" t="s">
        <v>82</v>
      </c>
      <c r="J6" s="16"/>
    </row>
    <row r="7" spans="1:10" x14ac:dyDescent="0.3">
      <c r="A7" s="41"/>
      <c r="I7" s="36" t="s">
        <v>166</v>
      </c>
      <c r="J7" s="16"/>
    </row>
    <row r="8" spans="1:10" x14ac:dyDescent="0.3">
      <c r="I8" s="36" t="s">
        <v>167</v>
      </c>
      <c r="J8" s="16"/>
    </row>
    <row r="9" spans="1:10" ht="15.75" x14ac:dyDescent="0.3">
      <c r="A9" s="112" t="s">
        <v>165</v>
      </c>
      <c r="B9" s="101"/>
      <c r="C9" s="101"/>
      <c r="D9" s="101"/>
      <c r="E9" s="101"/>
      <c r="F9" s="101"/>
      <c r="G9" s="101"/>
      <c r="H9" s="101"/>
    </row>
    <row r="11" spans="1:10" x14ac:dyDescent="0.3">
      <c r="A11" s="34" t="s">
        <v>100</v>
      </c>
      <c r="B11" s="34" t="s">
        <v>32</v>
      </c>
      <c r="C11" s="34" t="s">
        <v>44</v>
      </c>
      <c r="D11" s="34" t="s">
        <v>168</v>
      </c>
      <c r="E11" s="34" t="s">
        <v>169</v>
      </c>
      <c r="F11" s="34" t="s">
        <v>76</v>
      </c>
      <c r="G11" s="34" t="s">
        <v>170</v>
      </c>
      <c r="H11" s="34" t="s">
        <v>104</v>
      </c>
    </row>
    <row r="12" spans="1:10" ht="24.9" customHeight="1" x14ac:dyDescent="0.3">
      <c r="A12" s="16" t="s">
        <v>116</v>
      </c>
      <c r="B12" s="16" t="s">
        <v>117</v>
      </c>
      <c r="C12" s="29">
        <v>450000</v>
      </c>
      <c r="D12" s="16" t="s">
        <v>118</v>
      </c>
      <c r="E12" s="16" t="s">
        <v>171</v>
      </c>
      <c r="F12" s="16" t="s">
        <v>172</v>
      </c>
      <c r="G12" s="16" t="s">
        <v>173</v>
      </c>
      <c r="H12" s="16" t="s">
        <v>159</v>
      </c>
    </row>
    <row r="13" spans="1:10" ht="24.9" customHeight="1" x14ac:dyDescent="0.3">
      <c r="A13" s="16" t="s">
        <v>127</v>
      </c>
      <c r="B13" s="16" t="s">
        <v>128</v>
      </c>
      <c r="C13" s="29">
        <v>220000</v>
      </c>
      <c r="D13" s="16" t="s">
        <v>118</v>
      </c>
      <c r="E13" s="16" t="s">
        <v>174</v>
      </c>
      <c r="F13" s="16" t="s">
        <v>175</v>
      </c>
      <c r="G13" s="16" t="s">
        <v>176</v>
      </c>
      <c r="H13" s="16" t="s">
        <v>159</v>
      </c>
    </row>
    <row r="14" spans="1:10" ht="24.9" customHeight="1" x14ac:dyDescent="0.3">
      <c r="A14" s="16" t="s">
        <v>129</v>
      </c>
      <c r="B14" s="16" t="s">
        <v>130</v>
      </c>
      <c r="C14" s="29">
        <v>200000</v>
      </c>
      <c r="D14" s="16" t="s">
        <v>177</v>
      </c>
      <c r="E14" s="16" t="s">
        <v>178</v>
      </c>
      <c r="F14" s="16" t="s">
        <v>179</v>
      </c>
      <c r="G14" s="16" t="s">
        <v>180</v>
      </c>
      <c r="H14" s="16" t="s">
        <v>159</v>
      </c>
    </row>
    <row r="15" spans="1:10" x14ac:dyDescent="0.3">
      <c r="A15" s="37" t="s">
        <v>181</v>
      </c>
      <c r="B15" s="113"/>
      <c r="C15" s="113"/>
      <c r="D15" s="113"/>
      <c r="E15" s="113"/>
    </row>
    <row r="21" spans="1:8" x14ac:dyDescent="0.3">
      <c r="A21" s="21" t="s">
        <v>86</v>
      </c>
      <c r="B21" s="22"/>
      <c r="C21" s="22"/>
      <c r="F21" s="21" t="s">
        <v>87</v>
      </c>
      <c r="G21" s="22"/>
      <c r="H21" s="22"/>
    </row>
    <row r="22" spans="1:8" x14ac:dyDescent="0.3">
      <c r="A22" s="23" t="s">
        <v>88</v>
      </c>
      <c r="F22" s="23" t="s">
        <v>88</v>
      </c>
    </row>
    <row r="35" spans="1:1" x14ac:dyDescent="0.3">
      <c r="A35" s="24" t="str">
        <f>HYPERLINK("#'INDICE'!A26","&lt;&lt; Volver al Indice")</f>
        <v>&lt;&lt; Volver al Indice</v>
      </c>
    </row>
  </sheetData>
  <mergeCells count="6">
    <mergeCell ref="B15:E15"/>
    <mergeCell ref="A3:G3"/>
    <mergeCell ref="A4:G4"/>
    <mergeCell ref="A5:G5"/>
    <mergeCell ref="A9:H9"/>
    <mergeCell ref="A6:G6"/>
  </mergeCells>
  <hyperlinks>
    <hyperlink ref="A1" location="ÍNDICE!A1" display="← VOLVER AL ÍNDICE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6"/>
  <sheetViews>
    <sheetView workbookViewId="0">
      <selection activeCell="A3" sqref="A3:G6"/>
    </sheetView>
  </sheetViews>
  <sheetFormatPr baseColWidth="10" defaultColWidth="9.109375" defaultRowHeight="15.05" x14ac:dyDescent="0.3"/>
  <cols>
    <col min="1" max="1" width="25" customWidth="1"/>
    <col min="2" max="9" width="16" customWidth="1"/>
    <col min="10" max="10" width="11" customWidth="1"/>
  </cols>
  <sheetData>
    <row r="1" spans="1:10" x14ac:dyDescent="0.3">
      <c r="A1" s="5" t="s">
        <v>30</v>
      </c>
    </row>
    <row r="3" spans="1:10" ht="20.95" customHeight="1" x14ac:dyDescent="0.3">
      <c r="A3" s="101" t="s">
        <v>321</v>
      </c>
      <c r="B3" s="101"/>
      <c r="C3" s="101"/>
      <c r="D3" s="101"/>
      <c r="E3" s="101"/>
      <c r="F3" s="101"/>
      <c r="G3" s="101"/>
      <c r="J3" s="27" t="s">
        <v>16</v>
      </c>
    </row>
    <row r="4" spans="1:10" x14ac:dyDescent="0.3">
      <c r="A4" s="101" t="s">
        <v>322</v>
      </c>
      <c r="B4" s="101"/>
      <c r="C4" s="101"/>
      <c r="D4" s="101"/>
      <c r="E4" s="101"/>
      <c r="F4" s="101"/>
      <c r="G4" s="101"/>
    </row>
    <row r="5" spans="1:10" x14ac:dyDescent="0.3">
      <c r="A5" s="101" t="s">
        <v>323</v>
      </c>
      <c r="B5" s="101"/>
      <c r="C5" s="101"/>
      <c r="D5" s="101"/>
      <c r="E5" s="101"/>
      <c r="F5" s="101"/>
      <c r="G5" s="101"/>
      <c r="I5" s="36" t="s">
        <v>164</v>
      </c>
      <c r="J5" s="16"/>
    </row>
    <row r="6" spans="1:10" x14ac:dyDescent="0.3">
      <c r="A6" s="101" t="s">
        <v>324</v>
      </c>
      <c r="B6" s="101"/>
      <c r="C6" s="101"/>
      <c r="D6" s="101"/>
      <c r="E6" s="101"/>
      <c r="F6" s="101"/>
      <c r="G6" s="101"/>
      <c r="I6" s="36" t="s">
        <v>82</v>
      </c>
      <c r="J6" s="16"/>
    </row>
    <row r="7" spans="1:10" x14ac:dyDescent="0.3">
      <c r="A7" s="41"/>
      <c r="I7" s="36" t="s">
        <v>166</v>
      </c>
      <c r="J7" s="16"/>
    </row>
    <row r="8" spans="1:10" x14ac:dyDescent="0.3">
      <c r="I8" s="36" t="s">
        <v>167</v>
      </c>
      <c r="J8" s="16"/>
    </row>
    <row r="9" spans="1:10" ht="15.75" x14ac:dyDescent="0.3">
      <c r="A9" s="111" t="s">
        <v>182</v>
      </c>
      <c r="B9" s="114"/>
      <c r="C9" s="114"/>
      <c r="D9" s="114"/>
      <c r="E9" s="114"/>
      <c r="F9" s="114"/>
      <c r="G9" s="114"/>
      <c r="H9" s="114"/>
    </row>
    <row r="10" spans="1:10" x14ac:dyDescent="0.3">
      <c r="A10" s="115"/>
      <c r="B10" s="100"/>
      <c r="C10" s="100"/>
      <c r="D10" s="100"/>
      <c r="E10" s="100"/>
      <c r="F10" s="100"/>
      <c r="G10" s="100"/>
      <c r="H10" s="100"/>
    </row>
    <row r="12" spans="1:10" x14ac:dyDescent="0.3">
      <c r="A12" s="34" t="s">
        <v>32</v>
      </c>
      <c r="B12" s="34" t="s">
        <v>49</v>
      </c>
      <c r="C12" s="34" t="s">
        <v>183</v>
      </c>
      <c r="D12" s="34" t="s">
        <v>184</v>
      </c>
      <c r="E12" s="34" t="s">
        <v>51</v>
      </c>
      <c r="F12" s="34" t="s">
        <v>52</v>
      </c>
      <c r="G12" s="34" t="s">
        <v>185</v>
      </c>
      <c r="H12" s="34" t="s">
        <v>186</v>
      </c>
    </row>
    <row r="13" spans="1:10" x14ac:dyDescent="0.3">
      <c r="A13" s="16" t="s">
        <v>106</v>
      </c>
      <c r="B13" s="29">
        <v>500</v>
      </c>
      <c r="C13" s="29">
        <v>100</v>
      </c>
      <c r="D13" s="29">
        <v>0</v>
      </c>
      <c r="E13" s="29">
        <v>0</v>
      </c>
      <c r="F13" s="29">
        <v>0</v>
      </c>
      <c r="G13" s="29">
        <v>0</v>
      </c>
    </row>
    <row r="14" spans="1:10" x14ac:dyDescent="0.3">
      <c r="A14" s="16" t="s">
        <v>111</v>
      </c>
      <c r="B14" s="29">
        <v>800</v>
      </c>
      <c r="C14" s="29">
        <v>500000</v>
      </c>
      <c r="D14" s="29">
        <v>150000</v>
      </c>
      <c r="E14" s="29">
        <v>0</v>
      </c>
      <c r="F14" s="29">
        <v>0</v>
      </c>
      <c r="G14" s="29">
        <v>0</v>
      </c>
    </row>
    <row r="15" spans="1:10" x14ac:dyDescent="0.3">
      <c r="A15" s="16" t="s">
        <v>113</v>
      </c>
      <c r="B15" s="29">
        <v>500000</v>
      </c>
      <c r="C15" s="29">
        <v>400000</v>
      </c>
      <c r="D15" s="29">
        <v>80000</v>
      </c>
      <c r="E15" s="29">
        <v>20000</v>
      </c>
      <c r="F15" s="29">
        <v>0</v>
      </c>
      <c r="G15" s="29">
        <v>0</v>
      </c>
    </row>
    <row r="16" spans="1:10" x14ac:dyDescent="0.3">
      <c r="A16" s="16" t="s">
        <v>117</v>
      </c>
      <c r="B16" s="29">
        <v>450000</v>
      </c>
      <c r="C16" s="29">
        <v>300000</v>
      </c>
      <c r="D16" s="29">
        <v>100000</v>
      </c>
      <c r="E16" s="29">
        <v>30000</v>
      </c>
      <c r="F16" s="29">
        <v>20000</v>
      </c>
      <c r="G16" s="29">
        <v>0</v>
      </c>
    </row>
    <row r="17" spans="1:8" x14ac:dyDescent="0.3">
      <c r="A17" s="16" t="s">
        <v>120</v>
      </c>
      <c r="B17" s="29">
        <v>380000</v>
      </c>
      <c r="C17" s="29">
        <v>380000</v>
      </c>
      <c r="D17" s="29">
        <v>0</v>
      </c>
      <c r="E17" s="29">
        <v>0</v>
      </c>
      <c r="F17" s="29">
        <v>0</v>
      </c>
      <c r="G17" s="29">
        <v>0</v>
      </c>
    </row>
    <row r="18" spans="1:8" x14ac:dyDescent="0.3">
      <c r="A18" s="16" t="s">
        <v>122</v>
      </c>
      <c r="B18" s="29">
        <v>320000</v>
      </c>
      <c r="C18" s="29">
        <v>280000</v>
      </c>
      <c r="D18" s="29">
        <v>40000</v>
      </c>
      <c r="E18" s="29">
        <v>0</v>
      </c>
      <c r="F18" s="29">
        <v>0</v>
      </c>
      <c r="G18" s="29">
        <v>0</v>
      </c>
    </row>
    <row r="19" spans="1:8" x14ac:dyDescent="0.3">
      <c r="A19" s="16" t="s">
        <v>124</v>
      </c>
      <c r="B19" s="29">
        <v>280000</v>
      </c>
      <c r="C19" s="29">
        <v>200000</v>
      </c>
      <c r="D19" s="29">
        <v>50000</v>
      </c>
      <c r="E19" s="29">
        <v>20000</v>
      </c>
      <c r="F19" s="29">
        <v>10000</v>
      </c>
      <c r="G19" s="29">
        <v>0</v>
      </c>
    </row>
    <row r="20" spans="1:8" x14ac:dyDescent="0.3">
      <c r="A20" s="16" t="s">
        <v>126</v>
      </c>
      <c r="B20" s="29">
        <v>250000</v>
      </c>
      <c r="C20" s="29">
        <v>250000</v>
      </c>
      <c r="D20" s="29">
        <v>0</v>
      </c>
      <c r="E20" s="29">
        <v>0</v>
      </c>
      <c r="F20" s="29">
        <v>0</v>
      </c>
      <c r="G20" s="29">
        <v>0</v>
      </c>
    </row>
    <row r="21" spans="1:8" x14ac:dyDescent="0.3">
      <c r="A21" s="16" t="s">
        <v>128</v>
      </c>
      <c r="B21" s="29">
        <v>220000</v>
      </c>
      <c r="C21" s="29">
        <v>150000</v>
      </c>
      <c r="D21" s="29">
        <v>50000</v>
      </c>
      <c r="E21" s="29">
        <v>20000</v>
      </c>
      <c r="F21" s="29">
        <v>0</v>
      </c>
      <c r="G21" s="29">
        <v>0</v>
      </c>
    </row>
    <row r="22" spans="1:8" x14ac:dyDescent="0.3">
      <c r="A22" s="16" t="s">
        <v>130</v>
      </c>
      <c r="B22" s="29">
        <v>200000</v>
      </c>
      <c r="C22" s="29">
        <v>180000</v>
      </c>
      <c r="D22" s="29">
        <v>20000</v>
      </c>
      <c r="E22" s="29">
        <v>0</v>
      </c>
      <c r="F22" s="29">
        <v>0</v>
      </c>
      <c r="G22" s="29">
        <v>0</v>
      </c>
    </row>
    <row r="23" spans="1:8" x14ac:dyDescent="0.3">
      <c r="A23" s="16" t="s">
        <v>187</v>
      </c>
      <c r="B23" s="29">
        <v>900000</v>
      </c>
      <c r="C23" s="29">
        <v>600000</v>
      </c>
      <c r="D23" s="29">
        <v>200000</v>
      </c>
      <c r="E23" s="29">
        <v>60000</v>
      </c>
      <c r="F23" s="29">
        <v>30000</v>
      </c>
      <c r="G23" s="29">
        <v>10000</v>
      </c>
    </row>
    <row r="24" spans="1:8" x14ac:dyDescent="0.3">
      <c r="A24" s="19" t="s">
        <v>135</v>
      </c>
      <c r="B24" s="30">
        <f t="shared" ref="B24:G24" si="0">SUM(B4:B16)</f>
        <v>951300</v>
      </c>
      <c r="C24" s="30">
        <f t="shared" si="0"/>
        <v>1200100</v>
      </c>
      <c r="D24" s="30">
        <f t="shared" si="0"/>
        <v>330000</v>
      </c>
      <c r="E24" s="30">
        <f t="shared" si="0"/>
        <v>50000</v>
      </c>
      <c r="F24" s="30">
        <f t="shared" si="0"/>
        <v>20000</v>
      </c>
      <c r="G24" s="30">
        <f t="shared" si="0"/>
        <v>0</v>
      </c>
    </row>
    <row r="25" spans="1:8" x14ac:dyDescent="0.3">
      <c r="A25" s="20" t="s">
        <v>188</v>
      </c>
      <c r="C25" s="31">
        <f>C17/B17</f>
        <v>1</v>
      </c>
      <c r="D25" s="31">
        <f>D17/B17</f>
        <v>0</v>
      </c>
      <c r="E25" s="31">
        <f>E17/B17</f>
        <v>0</v>
      </c>
      <c r="F25" s="31">
        <f>F17/B17</f>
        <v>0</v>
      </c>
      <c r="G25" s="31">
        <f>G17/B17</f>
        <v>0</v>
      </c>
    </row>
    <row r="31" spans="1:8" x14ac:dyDescent="0.3">
      <c r="A31" s="21" t="s">
        <v>86</v>
      </c>
      <c r="B31" s="22"/>
      <c r="C31" s="22"/>
      <c r="F31" s="21" t="s">
        <v>87</v>
      </c>
      <c r="G31" s="22"/>
      <c r="H31" s="22"/>
    </row>
    <row r="32" spans="1:8" x14ac:dyDescent="0.3">
      <c r="A32" s="23" t="s">
        <v>88</v>
      </c>
      <c r="F32" s="23" t="s">
        <v>88</v>
      </c>
    </row>
    <row r="46" spans="1:1" x14ac:dyDescent="0.3">
      <c r="A46" s="24" t="str">
        <f>HYPERLINK("#'INDICE'!A27","&lt;&lt; Volver al Indice")</f>
        <v>&lt;&lt; Volver al Indice</v>
      </c>
    </row>
  </sheetData>
  <mergeCells count="6">
    <mergeCell ref="A9:H9"/>
    <mergeCell ref="A10:H10"/>
    <mergeCell ref="A3:G3"/>
    <mergeCell ref="A4:G4"/>
    <mergeCell ref="A5:G5"/>
    <mergeCell ref="A6:G6"/>
  </mergeCells>
  <hyperlinks>
    <hyperlink ref="A1" location="ÍNDICE!A1" display="← VOLVER AL ÍNDICE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5"/>
  <sheetViews>
    <sheetView workbookViewId="0">
      <selection activeCell="F4" sqref="F4:F7"/>
    </sheetView>
  </sheetViews>
  <sheetFormatPr baseColWidth="10" defaultColWidth="9.109375" defaultRowHeight="15.05" x14ac:dyDescent="0.3"/>
  <cols>
    <col min="1" max="1" width="25" customWidth="1"/>
    <col min="2" max="8" width="14" customWidth="1"/>
    <col min="9" max="9" width="18.44140625" customWidth="1"/>
    <col min="10" max="12" width="14" customWidth="1"/>
    <col min="13" max="13" width="15.6640625" customWidth="1"/>
    <col min="14" max="14" width="11.109375" customWidth="1"/>
  </cols>
  <sheetData>
    <row r="1" spans="1:14" x14ac:dyDescent="0.3">
      <c r="A1" s="5" t="s">
        <v>30</v>
      </c>
    </row>
    <row r="2" spans="1:14" ht="24.75" customHeight="1" x14ac:dyDescent="0.3">
      <c r="N2" s="27" t="s">
        <v>18</v>
      </c>
    </row>
    <row r="4" spans="1:14" x14ac:dyDescent="0.3">
      <c r="D4" s="40"/>
      <c r="F4" s="39" t="s">
        <v>321</v>
      </c>
      <c r="G4" s="40"/>
      <c r="H4" s="40"/>
      <c r="M4" s="36" t="s">
        <v>164</v>
      </c>
      <c r="N4" s="16"/>
    </row>
    <row r="5" spans="1:14" ht="15.75" x14ac:dyDescent="0.3">
      <c r="D5" s="41"/>
      <c r="E5" s="38"/>
      <c r="F5" s="39" t="s">
        <v>322</v>
      </c>
      <c r="G5" s="41"/>
      <c r="H5" s="41"/>
      <c r="M5" s="36" t="s">
        <v>82</v>
      </c>
      <c r="N5" s="16"/>
    </row>
    <row r="6" spans="1:14" x14ac:dyDescent="0.3">
      <c r="D6" s="41"/>
      <c r="E6" s="20"/>
      <c r="F6" s="39" t="s">
        <v>323</v>
      </c>
      <c r="G6" s="41"/>
      <c r="H6" s="41"/>
      <c r="M6" s="36" t="s">
        <v>166</v>
      </c>
      <c r="N6" s="16"/>
    </row>
    <row r="7" spans="1:14" x14ac:dyDescent="0.3">
      <c r="F7" s="39" t="s">
        <v>324</v>
      </c>
      <c r="M7" s="36" t="s">
        <v>167</v>
      </c>
      <c r="N7" s="16"/>
    </row>
    <row r="10" spans="1:14" ht="22.6" customHeight="1" x14ac:dyDescent="0.3">
      <c r="A10" s="116" t="s">
        <v>47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4" x14ac:dyDescent="0.3">
      <c r="A11" s="1" t="s">
        <v>32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54</v>
      </c>
      <c r="I11" s="1" t="s">
        <v>55</v>
      </c>
      <c r="J11" s="1" t="s">
        <v>56</v>
      </c>
      <c r="K11" s="1" t="s">
        <v>57</v>
      </c>
      <c r="L11" s="1" t="s">
        <v>38</v>
      </c>
    </row>
    <row r="12" spans="1:14" x14ac:dyDescent="0.3">
      <c r="A12" s="12"/>
      <c r="B12" s="12"/>
      <c r="C12" s="7"/>
      <c r="D12" s="7"/>
      <c r="E12" s="7"/>
      <c r="F12" s="7"/>
      <c r="G12" s="7"/>
      <c r="H12" s="7">
        <v>100</v>
      </c>
      <c r="I12" s="7"/>
      <c r="J12" s="13"/>
      <c r="K12" s="8">
        <v>5</v>
      </c>
      <c r="L12" s="12"/>
    </row>
    <row r="13" spans="1:14" x14ac:dyDescent="0.3">
      <c r="A13" s="12"/>
      <c r="B13" s="12"/>
      <c r="C13" s="7"/>
      <c r="D13" s="7"/>
      <c r="E13" s="7"/>
      <c r="F13" s="7"/>
      <c r="G13" s="7"/>
      <c r="H13" s="7"/>
      <c r="I13" s="7"/>
      <c r="J13" s="13"/>
      <c r="K13" s="8">
        <f t="shared" ref="K13:K23" si="0">C13*J13</f>
        <v>0</v>
      </c>
      <c r="L13" s="12"/>
    </row>
    <row r="14" spans="1:14" x14ac:dyDescent="0.3">
      <c r="A14" s="12"/>
      <c r="B14" s="12"/>
      <c r="C14" s="7"/>
      <c r="D14" s="7"/>
      <c r="E14" s="7"/>
      <c r="F14" s="7"/>
      <c r="G14" s="7"/>
      <c r="H14" s="7"/>
      <c r="I14" s="7"/>
      <c r="J14" s="13"/>
      <c r="K14" s="8">
        <f t="shared" si="0"/>
        <v>0</v>
      </c>
      <c r="L14" s="12"/>
    </row>
    <row r="15" spans="1:14" x14ac:dyDescent="0.3">
      <c r="A15" s="12"/>
      <c r="B15" s="12"/>
      <c r="C15" s="7"/>
      <c r="D15" s="7"/>
      <c r="E15" s="7"/>
      <c r="F15" s="7"/>
      <c r="G15" s="7"/>
      <c r="H15" s="7"/>
      <c r="I15" s="7"/>
      <c r="J15" s="13"/>
      <c r="K15" s="8">
        <f t="shared" si="0"/>
        <v>0</v>
      </c>
      <c r="L15" s="12"/>
    </row>
    <row r="16" spans="1:14" x14ac:dyDescent="0.3">
      <c r="A16" s="12"/>
      <c r="B16" s="12"/>
      <c r="C16" s="7"/>
      <c r="D16" s="7"/>
      <c r="E16" s="7"/>
      <c r="F16" s="7"/>
      <c r="G16" s="7"/>
      <c r="H16" s="7"/>
      <c r="I16" s="7"/>
      <c r="J16" s="13"/>
      <c r="K16" s="8">
        <f t="shared" si="0"/>
        <v>0</v>
      </c>
      <c r="L16" s="12"/>
    </row>
    <row r="17" spans="1:12" x14ac:dyDescent="0.3">
      <c r="A17" s="12"/>
      <c r="B17" s="12"/>
      <c r="C17" s="7"/>
      <c r="D17" s="7"/>
      <c r="E17" s="7"/>
      <c r="F17" s="7"/>
      <c r="G17" s="7"/>
      <c r="H17" s="7"/>
      <c r="I17" s="7"/>
      <c r="J17" s="13"/>
      <c r="K17" s="8">
        <f t="shared" si="0"/>
        <v>0</v>
      </c>
      <c r="L17" s="12"/>
    </row>
    <row r="18" spans="1:12" x14ac:dyDescent="0.3">
      <c r="A18" s="12"/>
      <c r="B18" s="12"/>
      <c r="C18" s="7"/>
      <c r="D18" s="7"/>
      <c r="E18" s="7"/>
      <c r="F18" s="7"/>
      <c r="G18" s="7"/>
      <c r="H18" s="7"/>
      <c r="I18" s="7"/>
      <c r="J18" s="13"/>
      <c r="K18" s="8">
        <f t="shared" si="0"/>
        <v>0</v>
      </c>
      <c r="L18" s="12"/>
    </row>
    <row r="19" spans="1:12" x14ac:dyDescent="0.3">
      <c r="A19" s="12"/>
      <c r="B19" s="12"/>
      <c r="C19" s="7"/>
      <c r="D19" s="7"/>
      <c r="E19" s="7"/>
      <c r="F19" s="7"/>
      <c r="G19" s="7"/>
      <c r="H19" s="7"/>
      <c r="I19" s="7"/>
      <c r="J19" s="13"/>
      <c r="K19" s="8">
        <f t="shared" si="0"/>
        <v>0</v>
      </c>
      <c r="L19" s="12"/>
    </row>
    <row r="20" spans="1:12" x14ac:dyDescent="0.3">
      <c r="A20" s="12"/>
      <c r="B20" s="12"/>
      <c r="C20" s="7"/>
      <c r="D20" s="7"/>
      <c r="E20" s="7"/>
      <c r="F20" s="7"/>
      <c r="G20" s="7"/>
      <c r="H20" s="7"/>
      <c r="I20" s="7"/>
      <c r="J20" s="13"/>
      <c r="K20" s="8">
        <f t="shared" si="0"/>
        <v>0</v>
      </c>
      <c r="L20" s="12"/>
    </row>
    <row r="21" spans="1:12" x14ac:dyDescent="0.3">
      <c r="A21" s="12"/>
      <c r="B21" s="12"/>
      <c r="C21" s="7"/>
      <c r="D21" s="7"/>
      <c r="E21" s="7"/>
      <c r="F21" s="7"/>
      <c r="G21" s="7"/>
      <c r="H21" s="7"/>
      <c r="I21" s="7"/>
      <c r="J21" s="13"/>
      <c r="K21" s="8">
        <f t="shared" si="0"/>
        <v>0</v>
      </c>
      <c r="L21" s="12"/>
    </row>
    <row r="22" spans="1:12" x14ac:dyDescent="0.3">
      <c r="A22" s="12"/>
      <c r="B22" s="12"/>
      <c r="C22" s="7"/>
      <c r="D22" s="7"/>
      <c r="E22" s="7"/>
      <c r="F22" s="7"/>
      <c r="G22" s="7"/>
      <c r="H22" s="7"/>
      <c r="I22" s="7"/>
      <c r="J22" s="13"/>
      <c r="K22" s="8">
        <f t="shared" si="0"/>
        <v>0</v>
      </c>
      <c r="L22" s="12"/>
    </row>
    <row r="23" spans="1:12" x14ac:dyDescent="0.3">
      <c r="A23" s="12"/>
      <c r="B23" s="12"/>
      <c r="C23" s="7"/>
      <c r="D23" s="7"/>
      <c r="E23" s="7"/>
      <c r="F23" s="7"/>
      <c r="G23" s="7"/>
      <c r="H23" s="7"/>
      <c r="I23" s="7"/>
      <c r="J23" s="13"/>
      <c r="K23" s="8">
        <f t="shared" si="0"/>
        <v>0</v>
      </c>
      <c r="L23" s="12"/>
    </row>
    <row r="24" spans="1:12" x14ac:dyDescent="0.3">
      <c r="A24" s="10" t="s">
        <v>39</v>
      </c>
      <c r="B24" s="9"/>
      <c r="C24" s="11">
        <f t="shared" ref="C24:I24" si="1">SUM(C12:C23)</f>
        <v>0</v>
      </c>
      <c r="D24" s="11">
        <f t="shared" si="1"/>
        <v>0</v>
      </c>
      <c r="E24" s="11">
        <f t="shared" si="1"/>
        <v>0</v>
      </c>
      <c r="F24" s="11">
        <f t="shared" si="1"/>
        <v>0</v>
      </c>
      <c r="G24" s="11">
        <f t="shared" si="1"/>
        <v>0</v>
      </c>
      <c r="H24" s="11">
        <f t="shared" si="1"/>
        <v>100</v>
      </c>
      <c r="I24" s="11">
        <f t="shared" si="1"/>
        <v>0</v>
      </c>
      <c r="J24" s="9"/>
      <c r="K24" s="11">
        <f>SUM(K12:K23)</f>
        <v>5</v>
      </c>
      <c r="L24" s="9"/>
    </row>
    <row r="30" spans="1:12" x14ac:dyDescent="0.3">
      <c r="A30" s="21" t="s">
        <v>86</v>
      </c>
      <c r="B30" s="22"/>
      <c r="C30" s="22"/>
      <c r="F30" s="21"/>
      <c r="I30" s="21" t="s">
        <v>87</v>
      </c>
      <c r="J30" s="22"/>
      <c r="K30" s="22"/>
    </row>
    <row r="31" spans="1:12" x14ac:dyDescent="0.3">
      <c r="A31" s="23" t="s">
        <v>88</v>
      </c>
      <c r="F31" s="23"/>
      <c r="I31" s="23" t="s">
        <v>88</v>
      </c>
    </row>
    <row r="45" spans="1:1" x14ac:dyDescent="0.3">
      <c r="A45" s="24" t="str">
        <f>HYPERLINK("#'INDICE'!A27","&lt;&lt; Volver al Indice")</f>
        <v>&lt;&lt; Volver al Indice</v>
      </c>
    </row>
  </sheetData>
  <mergeCells count="1">
    <mergeCell ref="A10:L10"/>
  </mergeCells>
  <hyperlinks>
    <hyperlink ref="A1" location="ÍNDICE!A1" display="← VOLVER AL ÍNDICE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topLeftCell="B1" workbookViewId="0">
      <selection activeCell="E5" sqref="E5:E8"/>
    </sheetView>
  </sheetViews>
  <sheetFormatPr baseColWidth="10" defaultColWidth="9.109375" defaultRowHeight="15.05" x14ac:dyDescent="0.3"/>
  <cols>
    <col min="1" max="1" width="25" customWidth="1"/>
    <col min="2" max="11" width="18" customWidth="1"/>
    <col min="12" max="12" width="17.33203125" customWidth="1"/>
    <col min="13" max="13" width="11" customWidth="1"/>
  </cols>
  <sheetData>
    <row r="1" spans="1:13" x14ac:dyDescent="0.3">
      <c r="A1" s="5" t="s">
        <v>30</v>
      </c>
    </row>
    <row r="3" spans="1:13" x14ac:dyDescent="0.3">
      <c r="H3" s="43"/>
    </row>
    <row r="4" spans="1:13" ht="18.850000000000001" customHeight="1" x14ac:dyDescent="0.3">
      <c r="H4" s="43"/>
      <c r="M4" s="27" t="s">
        <v>20</v>
      </c>
    </row>
    <row r="5" spans="1:13" x14ac:dyDescent="0.3">
      <c r="D5" s="42"/>
      <c r="E5" s="39" t="s">
        <v>321</v>
      </c>
      <c r="F5" s="43"/>
      <c r="G5" s="43"/>
      <c r="H5" s="43"/>
    </row>
    <row r="6" spans="1:13" x14ac:dyDescent="0.3">
      <c r="D6" s="44"/>
      <c r="E6" s="39" t="s">
        <v>322</v>
      </c>
      <c r="F6" s="43"/>
      <c r="G6" s="43"/>
      <c r="L6" s="36" t="s">
        <v>164</v>
      </c>
      <c r="M6" s="16"/>
    </row>
    <row r="7" spans="1:13" ht="15.75" x14ac:dyDescent="0.3">
      <c r="A7" s="38"/>
      <c r="B7" s="39"/>
      <c r="C7" s="39"/>
      <c r="D7" s="44"/>
      <c r="E7" s="39" t="s">
        <v>323</v>
      </c>
      <c r="F7" s="43"/>
      <c r="G7" s="43"/>
      <c r="L7" s="36" t="s">
        <v>82</v>
      </c>
      <c r="M7" s="16"/>
    </row>
    <row r="8" spans="1:13" x14ac:dyDescent="0.3">
      <c r="E8" s="39" t="s">
        <v>324</v>
      </c>
      <c r="L8" s="36" t="s">
        <v>166</v>
      </c>
      <c r="M8" s="16"/>
    </row>
    <row r="9" spans="1:13" x14ac:dyDescent="0.3">
      <c r="L9" s="36" t="s">
        <v>167</v>
      </c>
      <c r="M9" s="16"/>
    </row>
    <row r="10" spans="1:13" ht="23.25" customHeight="1" x14ac:dyDescent="0.3">
      <c r="A10" s="116" t="s">
        <v>58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</row>
    <row r="12" spans="1:13" ht="21.8" customHeight="1" x14ac:dyDescent="0.3"/>
    <row r="13" spans="1:13" x14ac:dyDescent="0.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31</v>
      </c>
      <c r="H13" s="1" t="s">
        <v>65</v>
      </c>
      <c r="I13" s="1" t="s">
        <v>66</v>
      </c>
      <c r="J13" s="1" t="s">
        <v>67</v>
      </c>
      <c r="K13" s="1" t="s">
        <v>38</v>
      </c>
    </row>
    <row r="14" spans="1:13" x14ac:dyDescent="0.3">
      <c r="A14" s="6" t="s">
        <v>68</v>
      </c>
      <c r="B14" s="7">
        <v>100</v>
      </c>
      <c r="C14" s="6">
        <v>30</v>
      </c>
      <c r="D14" s="14">
        <v>5.0000000000000001E-3</v>
      </c>
      <c r="E14" s="8">
        <f t="shared" ref="E14:E19" si="0">B14*D14</f>
        <v>0.5</v>
      </c>
      <c r="F14" s="7">
        <v>5</v>
      </c>
      <c r="G14" s="8">
        <f t="shared" ref="G14:G19" si="1">E14-F14</f>
        <v>-4.5</v>
      </c>
      <c r="H14" s="7">
        <v>3</v>
      </c>
      <c r="I14" s="7">
        <v>1</v>
      </c>
      <c r="J14" s="7"/>
      <c r="K14" s="6"/>
    </row>
    <row r="15" spans="1:13" x14ac:dyDescent="0.3">
      <c r="A15" s="6" t="s">
        <v>69</v>
      </c>
      <c r="B15" s="7"/>
      <c r="C15" s="6"/>
      <c r="D15" s="14">
        <v>0.01</v>
      </c>
      <c r="E15" s="8">
        <f t="shared" si="0"/>
        <v>0</v>
      </c>
      <c r="F15" s="7"/>
      <c r="G15" s="8">
        <f t="shared" si="1"/>
        <v>0</v>
      </c>
      <c r="H15" s="7"/>
      <c r="I15" s="7"/>
      <c r="J15" s="7"/>
      <c r="K15" s="6"/>
    </row>
    <row r="16" spans="1:13" x14ac:dyDescent="0.3">
      <c r="A16" s="6" t="s">
        <v>70</v>
      </c>
      <c r="B16" s="7"/>
      <c r="C16" s="6"/>
      <c r="D16" s="14">
        <v>0.03</v>
      </c>
      <c r="E16" s="8">
        <f t="shared" si="0"/>
        <v>0</v>
      </c>
      <c r="F16" s="7"/>
      <c r="G16" s="8">
        <f t="shared" si="1"/>
        <v>0</v>
      </c>
      <c r="H16" s="7"/>
      <c r="I16" s="7"/>
      <c r="J16" s="7"/>
      <c r="K16" s="6"/>
    </row>
    <row r="17" spans="1:11" x14ac:dyDescent="0.3">
      <c r="A17" s="6" t="s">
        <v>71</v>
      </c>
      <c r="B17" s="7"/>
      <c r="C17" s="6"/>
      <c r="D17" s="14">
        <v>0.1</v>
      </c>
      <c r="E17" s="8">
        <f t="shared" si="0"/>
        <v>0</v>
      </c>
      <c r="F17" s="7"/>
      <c r="G17" s="8">
        <f t="shared" si="1"/>
        <v>0</v>
      </c>
      <c r="H17" s="7"/>
      <c r="I17" s="7"/>
      <c r="J17" s="7"/>
      <c r="K17" s="6"/>
    </row>
    <row r="18" spans="1:11" x14ac:dyDescent="0.3">
      <c r="A18" s="6" t="s">
        <v>72</v>
      </c>
      <c r="B18" s="7"/>
      <c r="C18" s="6"/>
      <c r="D18" s="14">
        <v>0.3</v>
      </c>
      <c r="E18" s="8">
        <f t="shared" si="0"/>
        <v>0</v>
      </c>
      <c r="F18" s="7"/>
      <c r="G18" s="8">
        <f t="shared" si="1"/>
        <v>0</v>
      </c>
      <c r="H18" s="7"/>
      <c r="I18" s="7"/>
      <c r="J18" s="7"/>
      <c r="K18" s="6"/>
    </row>
    <row r="19" spans="1:11" x14ac:dyDescent="0.3">
      <c r="A19" s="6" t="s">
        <v>73</v>
      </c>
      <c r="B19" s="7"/>
      <c r="C19" s="6"/>
      <c r="D19" s="14">
        <v>0.5</v>
      </c>
      <c r="E19" s="8">
        <f t="shared" si="0"/>
        <v>0</v>
      </c>
      <c r="F19" s="7"/>
      <c r="G19" s="8">
        <f t="shared" si="1"/>
        <v>0</v>
      </c>
      <c r="H19" s="7"/>
      <c r="I19" s="7"/>
      <c r="J19" s="7"/>
      <c r="K19" s="6"/>
    </row>
    <row r="20" spans="1:11" x14ac:dyDescent="0.3">
      <c r="A20" s="10" t="s">
        <v>39</v>
      </c>
      <c r="B20" s="11">
        <f>SUM(B14:B19)</f>
        <v>100</v>
      </c>
      <c r="C20" s="9"/>
      <c r="D20" s="9"/>
      <c r="E20" s="11">
        <f t="shared" ref="E20:J20" si="2">SUM(E14:E19)</f>
        <v>0.5</v>
      </c>
      <c r="F20" s="11">
        <f t="shared" si="2"/>
        <v>5</v>
      </c>
      <c r="G20" s="11">
        <f t="shared" si="2"/>
        <v>-4.5</v>
      </c>
      <c r="H20" s="11">
        <f t="shared" si="2"/>
        <v>3</v>
      </c>
      <c r="I20" s="11">
        <f t="shared" si="2"/>
        <v>1</v>
      </c>
      <c r="J20" s="11">
        <f t="shared" si="2"/>
        <v>0</v>
      </c>
      <c r="K20" s="9"/>
    </row>
    <row r="27" spans="1:11" x14ac:dyDescent="0.3">
      <c r="A27" s="21" t="s">
        <v>86</v>
      </c>
      <c r="B27" s="22"/>
      <c r="C27" s="22"/>
      <c r="F27" s="21"/>
      <c r="I27" s="21" t="s">
        <v>87</v>
      </c>
      <c r="J27" s="22"/>
      <c r="K27" s="22"/>
    </row>
    <row r="28" spans="1:11" x14ac:dyDescent="0.3">
      <c r="A28" s="23" t="s">
        <v>88</v>
      </c>
      <c r="F28" s="23"/>
      <c r="I28" s="23" t="s">
        <v>88</v>
      </c>
    </row>
    <row r="42" spans="1:1" x14ac:dyDescent="0.3">
      <c r="A42" s="24" t="str">
        <f>HYPERLINK("#'INDICE'!A27","&lt;&lt; Volver al Indice")</f>
        <v>&lt;&lt; Volver al Indice</v>
      </c>
    </row>
  </sheetData>
  <mergeCells count="1">
    <mergeCell ref="A10:K10"/>
  </mergeCells>
  <hyperlinks>
    <hyperlink ref="A1" location="ÍNDICE!A1" display="← VOLVER AL ÍNDICE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6"/>
  <sheetViews>
    <sheetView workbookViewId="0">
      <selection activeCell="A4" sqref="A4:G7"/>
    </sheetView>
  </sheetViews>
  <sheetFormatPr baseColWidth="10" defaultColWidth="9.109375" defaultRowHeight="15.05" x14ac:dyDescent="0.3"/>
  <cols>
    <col min="1" max="1" width="25" customWidth="1"/>
    <col min="2" max="6" width="18" customWidth="1"/>
    <col min="7" max="7" width="21.44140625" customWidth="1"/>
    <col min="8" max="8" width="9.109375" customWidth="1"/>
    <col min="9" max="9" width="18" customWidth="1"/>
    <col min="10" max="10" width="13" customWidth="1"/>
  </cols>
  <sheetData>
    <row r="1" spans="1:10" x14ac:dyDescent="0.3">
      <c r="A1" s="5" t="s">
        <v>30</v>
      </c>
    </row>
    <row r="3" spans="1:10" ht="25.55" customHeight="1" x14ac:dyDescent="0.3">
      <c r="A3" s="49"/>
      <c r="J3" s="27" t="s">
        <v>22</v>
      </c>
    </row>
    <row r="4" spans="1:10" ht="22.6" customHeight="1" x14ac:dyDescent="0.3">
      <c r="A4" s="101" t="s">
        <v>321</v>
      </c>
      <c r="B4" s="101"/>
      <c r="C4" s="101"/>
      <c r="D4" s="101"/>
      <c r="E4" s="101"/>
      <c r="F4" s="101"/>
      <c r="G4" s="101"/>
    </row>
    <row r="5" spans="1:10" x14ac:dyDescent="0.3">
      <c r="A5" s="101" t="s">
        <v>322</v>
      </c>
      <c r="B5" s="101"/>
      <c r="C5" s="101"/>
      <c r="D5" s="101"/>
      <c r="E5" s="101"/>
      <c r="F5" s="101"/>
      <c r="G5" s="101"/>
      <c r="I5" s="16"/>
      <c r="J5" s="16"/>
    </row>
    <row r="6" spans="1:10" x14ac:dyDescent="0.3">
      <c r="A6" s="101" t="s">
        <v>323</v>
      </c>
      <c r="B6" s="101"/>
      <c r="C6" s="101"/>
      <c r="D6" s="101"/>
      <c r="E6" s="101"/>
      <c r="F6" s="101"/>
      <c r="G6" s="101"/>
      <c r="I6" s="36" t="s">
        <v>164</v>
      </c>
      <c r="J6" s="16"/>
    </row>
    <row r="7" spans="1:10" x14ac:dyDescent="0.3">
      <c r="A7" s="101" t="s">
        <v>324</v>
      </c>
      <c r="B7" s="101"/>
      <c r="C7" s="101"/>
      <c r="D7" s="101"/>
      <c r="E7" s="101"/>
      <c r="F7" s="101"/>
      <c r="G7" s="101"/>
      <c r="I7" s="36" t="s">
        <v>82</v>
      </c>
      <c r="J7" s="16"/>
    </row>
    <row r="8" spans="1:10" x14ac:dyDescent="0.3">
      <c r="A8" s="39"/>
      <c r="B8" s="39"/>
      <c r="C8" s="39"/>
      <c r="D8" s="39"/>
      <c r="E8" s="39"/>
      <c r="F8" s="39"/>
      <c r="G8" s="39"/>
      <c r="I8" s="36" t="s">
        <v>166</v>
      </c>
      <c r="J8" s="16"/>
    </row>
    <row r="9" spans="1:10" ht="15.75" x14ac:dyDescent="0.3">
      <c r="A9" s="112" t="s">
        <v>234</v>
      </c>
      <c r="B9" s="101"/>
      <c r="C9" s="101"/>
      <c r="D9" s="101"/>
      <c r="E9" s="101"/>
      <c r="F9" s="101"/>
      <c r="G9" s="101"/>
      <c r="I9" s="36" t="s">
        <v>167</v>
      </c>
      <c r="J9" s="16"/>
    </row>
    <row r="11" spans="1:10" x14ac:dyDescent="0.3">
      <c r="A11" s="34" t="s">
        <v>32</v>
      </c>
      <c r="B11" s="34" t="s">
        <v>44</v>
      </c>
      <c r="C11" s="34" t="s">
        <v>75</v>
      </c>
      <c r="D11" s="34" t="s">
        <v>45</v>
      </c>
      <c r="E11" s="34" t="s">
        <v>46</v>
      </c>
      <c r="F11" s="34" t="s">
        <v>235</v>
      </c>
      <c r="G11" s="34" t="s">
        <v>236</v>
      </c>
    </row>
    <row r="12" spans="1:10" x14ac:dyDescent="0.3">
      <c r="A12" s="16" t="s">
        <v>117</v>
      </c>
      <c r="B12" s="29">
        <v>450000</v>
      </c>
      <c r="C12" s="16" t="s">
        <v>237</v>
      </c>
      <c r="D12" s="29">
        <v>450000</v>
      </c>
      <c r="E12" s="16" t="s">
        <v>172</v>
      </c>
      <c r="F12" s="50">
        <v>0.05</v>
      </c>
      <c r="G12" s="16" t="s">
        <v>238</v>
      </c>
    </row>
    <row r="13" spans="1:10" x14ac:dyDescent="0.3">
      <c r="A13" s="16" t="s">
        <v>128</v>
      </c>
      <c r="B13" s="29">
        <v>220000</v>
      </c>
      <c r="C13" s="16" t="s">
        <v>237</v>
      </c>
      <c r="D13" s="29">
        <v>220000</v>
      </c>
      <c r="E13" s="16" t="s">
        <v>239</v>
      </c>
      <c r="F13" s="50">
        <v>0.1</v>
      </c>
      <c r="G13" s="16" t="s">
        <v>238</v>
      </c>
    </row>
    <row r="14" spans="1:10" x14ac:dyDescent="0.3">
      <c r="A14" s="16" t="s">
        <v>124</v>
      </c>
      <c r="B14" s="29">
        <v>280000</v>
      </c>
      <c r="C14" s="16" t="s">
        <v>237</v>
      </c>
      <c r="D14" s="29">
        <v>200000</v>
      </c>
      <c r="E14" s="16" t="s">
        <v>240</v>
      </c>
      <c r="F14" s="50">
        <v>0.3</v>
      </c>
      <c r="G14" s="16" t="s">
        <v>241</v>
      </c>
    </row>
    <row r="15" spans="1:10" x14ac:dyDescent="0.3">
      <c r="A15" s="37" t="s">
        <v>181</v>
      </c>
      <c r="B15" s="113"/>
      <c r="C15" s="113"/>
      <c r="D15" s="113"/>
      <c r="E15" s="113"/>
    </row>
    <row r="23" spans="1:7" x14ac:dyDescent="0.3">
      <c r="A23" s="21" t="s">
        <v>86</v>
      </c>
      <c r="B23" s="22"/>
      <c r="C23" s="22"/>
      <c r="E23" s="21" t="s">
        <v>87</v>
      </c>
      <c r="F23" s="22"/>
      <c r="G23" s="22"/>
    </row>
    <row r="24" spans="1:7" x14ac:dyDescent="0.3">
      <c r="A24" s="23" t="s">
        <v>88</v>
      </c>
      <c r="E24" s="23" t="s">
        <v>88</v>
      </c>
    </row>
    <row r="36" spans="1:1" x14ac:dyDescent="0.3">
      <c r="A36" s="24" t="str">
        <f>HYPERLINK("#'INDICE'!A30","&lt;&lt; Volver al Indice")</f>
        <v>&lt;&lt; Volver al Indice</v>
      </c>
    </row>
  </sheetData>
  <mergeCells count="6">
    <mergeCell ref="B15:E15"/>
    <mergeCell ref="A4:G4"/>
    <mergeCell ref="A5:G5"/>
    <mergeCell ref="A6:G6"/>
    <mergeCell ref="A9:G9"/>
    <mergeCell ref="A7:G7"/>
  </mergeCells>
  <hyperlinks>
    <hyperlink ref="A1" location="ÍNDICE!A1" display="← VOLVER AL ÍNDICE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workbookViewId="0">
      <selection activeCell="A4" sqref="A4:E7"/>
    </sheetView>
  </sheetViews>
  <sheetFormatPr baseColWidth="10" defaultColWidth="9.109375" defaultRowHeight="15.05" x14ac:dyDescent="0.3"/>
  <cols>
    <col min="1" max="1" width="25" customWidth="1"/>
    <col min="2" max="4" width="18" customWidth="1"/>
    <col min="5" max="5" width="39.33203125" customWidth="1"/>
    <col min="6" max="6" width="10.6640625" customWidth="1"/>
    <col min="7" max="7" width="16" customWidth="1"/>
    <col min="8" max="8" width="13.5546875" customWidth="1"/>
    <col min="9" max="9" width="18" customWidth="1"/>
  </cols>
  <sheetData>
    <row r="1" spans="1:9" x14ac:dyDescent="0.3">
      <c r="A1" s="5" t="s">
        <v>30</v>
      </c>
    </row>
    <row r="3" spans="1:9" ht="23.25" customHeight="1" x14ac:dyDescent="0.3">
      <c r="A3" s="49"/>
      <c r="H3" s="27" t="s">
        <v>24</v>
      </c>
    </row>
    <row r="4" spans="1:9" x14ac:dyDescent="0.3">
      <c r="A4" s="101" t="s">
        <v>321</v>
      </c>
      <c r="B4" s="101"/>
      <c r="C4" s="101"/>
      <c r="D4" s="101"/>
      <c r="E4" s="101"/>
    </row>
    <row r="5" spans="1:9" x14ac:dyDescent="0.3">
      <c r="A5" s="101" t="s">
        <v>322</v>
      </c>
      <c r="B5" s="101"/>
      <c r="C5" s="101"/>
      <c r="D5" s="101"/>
      <c r="E5" s="101"/>
      <c r="H5" s="36" t="s">
        <v>164</v>
      </c>
      <c r="I5" s="16"/>
    </row>
    <row r="6" spans="1:9" x14ac:dyDescent="0.3">
      <c r="A6" s="101" t="s">
        <v>323</v>
      </c>
      <c r="B6" s="101"/>
      <c r="C6" s="101"/>
      <c r="D6" s="101"/>
      <c r="E6" s="101"/>
      <c r="H6" s="36" t="s">
        <v>82</v>
      </c>
      <c r="I6" s="16"/>
    </row>
    <row r="7" spans="1:9" x14ac:dyDescent="0.3">
      <c r="A7" s="101" t="s">
        <v>324</v>
      </c>
      <c r="B7" s="101"/>
      <c r="C7" s="101"/>
      <c r="D7" s="101"/>
      <c r="E7" s="101"/>
      <c r="H7" s="36" t="s">
        <v>166</v>
      </c>
      <c r="I7" s="16"/>
    </row>
    <row r="8" spans="1:9" x14ac:dyDescent="0.3">
      <c r="A8" s="41"/>
      <c r="B8" s="41"/>
      <c r="C8" s="41"/>
      <c r="D8" s="41"/>
      <c r="E8" s="41"/>
      <c r="H8" s="36" t="s">
        <v>167</v>
      </c>
      <c r="I8" s="16"/>
    </row>
    <row r="10" spans="1:9" ht="15.75" x14ac:dyDescent="0.3">
      <c r="A10" s="112" t="s">
        <v>242</v>
      </c>
      <c r="B10" s="112"/>
      <c r="C10" s="112"/>
      <c r="D10" s="112"/>
      <c r="E10" s="112"/>
    </row>
    <row r="12" spans="1:9" x14ac:dyDescent="0.3">
      <c r="A12" s="51" t="s">
        <v>74</v>
      </c>
      <c r="B12" s="51" t="s">
        <v>243</v>
      </c>
      <c r="C12" s="51" t="s">
        <v>244</v>
      </c>
      <c r="D12" s="51" t="s">
        <v>245</v>
      </c>
      <c r="E12" s="51" t="s">
        <v>246</v>
      </c>
    </row>
    <row r="13" spans="1:9" ht="24.9" customHeight="1" x14ac:dyDescent="0.3">
      <c r="A13" s="52" t="s">
        <v>247</v>
      </c>
      <c r="B13" s="53">
        <v>500</v>
      </c>
      <c r="C13" s="53">
        <v>-800</v>
      </c>
      <c r="D13" s="54">
        <f>C13-B13</f>
        <v>-1300</v>
      </c>
      <c r="E13" s="55" t="s">
        <v>248</v>
      </c>
    </row>
    <row r="14" spans="1:9" ht="24.9" customHeight="1" x14ac:dyDescent="0.3">
      <c r="A14" s="52" t="s">
        <v>249</v>
      </c>
      <c r="B14" s="53">
        <v>-80000</v>
      </c>
      <c r="C14" s="53">
        <v>-90000</v>
      </c>
      <c r="D14" s="54">
        <f>C14-B14</f>
        <v>-10000</v>
      </c>
      <c r="E14" s="55" t="s">
        <v>250</v>
      </c>
    </row>
    <row r="15" spans="1:9" ht="24.9" customHeight="1" thickBot="1" x14ac:dyDescent="0.35">
      <c r="A15" s="52" t="s">
        <v>251</v>
      </c>
      <c r="B15" s="53">
        <v>-70000</v>
      </c>
      <c r="C15" s="53">
        <v>-70000</v>
      </c>
      <c r="D15" s="54">
        <f>C15-B15</f>
        <v>0</v>
      </c>
      <c r="E15" s="55" t="s">
        <v>252</v>
      </c>
    </row>
    <row r="16" spans="1:9" ht="24.9" customHeight="1" thickBot="1" x14ac:dyDescent="0.35">
      <c r="A16" s="56" t="s">
        <v>135</v>
      </c>
      <c r="B16" s="57">
        <f>SUM(B13:B15)</f>
        <v>-149500</v>
      </c>
      <c r="C16" s="57">
        <f>SUM(C13:C15)</f>
        <v>-160800</v>
      </c>
      <c r="D16" s="58">
        <f>SUM(D13:D15)</f>
        <v>-11300</v>
      </c>
      <c r="E16" s="59"/>
    </row>
    <row r="23" spans="1:5" x14ac:dyDescent="0.3">
      <c r="A23" s="21" t="s">
        <v>86</v>
      </c>
      <c r="B23" s="22"/>
      <c r="C23" s="22"/>
      <c r="E23" s="60" t="s">
        <v>87</v>
      </c>
    </row>
    <row r="24" spans="1:5" x14ac:dyDescent="0.3">
      <c r="A24" s="23" t="s">
        <v>88</v>
      </c>
      <c r="E24" s="23" t="s">
        <v>88</v>
      </c>
    </row>
    <row r="41" spans="1:1" x14ac:dyDescent="0.3">
      <c r="A41" s="24" t="str">
        <f>HYPERLINK("#'INDICE'!A30","&lt;&lt; Volver al Indice")</f>
        <v>&lt;&lt; Volver al Indice</v>
      </c>
    </row>
  </sheetData>
  <mergeCells count="5">
    <mergeCell ref="A4:E4"/>
    <mergeCell ref="A5:E5"/>
    <mergeCell ref="A6:E6"/>
    <mergeCell ref="A10:E10"/>
    <mergeCell ref="A7:E7"/>
  </mergeCells>
  <hyperlinks>
    <hyperlink ref="A1" location="ÍNDICE!A1" display="← VOLVER AL ÍNDICE" xr:uid="{00000000-0004-0000-0B00-000000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1"/>
  <sheetViews>
    <sheetView workbookViewId="0">
      <selection activeCell="A3" sqref="A3:G6"/>
    </sheetView>
  </sheetViews>
  <sheetFormatPr baseColWidth="10" defaultColWidth="9.109375" defaultRowHeight="15.05" x14ac:dyDescent="0.3"/>
  <cols>
    <col min="1" max="1" width="22" customWidth="1"/>
    <col min="2" max="9" width="18" customWidth="1"/>
    <col min="10" max="10" width="12" customWidth="1"/>
  </cols>
  <sheetData>
    <row r="1" spans="1:10" x14ac:dyDescent="0.3">
      <c r="A1" s="5" t="s">
        <v>30</v>
      </c>
    </row>
    <row r="3" spans="1:10" ht="25.55" customHeight="1" x14ac:dyDescent="0.3">
      <c r="A3" s="101" t="s">
        <v>321</v>
      </c>
      <c r="B3" s="101"/>
      <c r="C3" s="101"/>
      <c r="D3" s="101"/>
      <c r="E3" s="101"/>
      <c r="F3" s="101"/>
      <c r="G3" s="101"/>
      <c r="J3" s="27" t="s">
        <v>26</v>
      </c>
    </row>
    <row r="4" spans="1:10" x14ac:dyDescent="0.3">
      <c r="A4" s="101" t="s">
        <v>322</v>
      </c>
      <c r="B4" s="101"/>
      <c r="C4" s="101"/>
      <c r="D4" s="101"/>
      <c r="E4" s="101"/>
      <c r="F4" s="101"/>
      <c r="G4" s="101"/>
    </row>
    <row r="5" spans="1:10" x14ac:dyDescent="0.3">
      <c r="A5" s="101" t="s">
        <v>323</v>
      </c>
      <c r="B5" s="101"/>
      <c r="C5" s="101"/>
      <c r="D5" s="101"/>
      <c r="E5" s="101"/>
      <c r="F5" s="101"/>
      <c r="G5" s="101"/>
      <c r="I5" s="36" t="s">
        <v>164</v>
      </c>
      <c r="J5" s="16"/>
    </row>
    <row r="6" spans="1:10" x14ac:dyDescent="0.3">
      <c r="A6" s="101" t="s">
        <v>324</v>
      </c>
      <c r="B6" s="101"/>
      <c r="C6" s="101"/>
      <c r="D6" s="101"/>
      <c r="E6" s="101"/>
      <c r="F6" s="101"/>
      <c r="G6" s="101"/>
      <c r="I6" s="36" t="s">
        <v>82</v>
      </c>
      <c r="J6" s="16"/>
    </row>
    <row r="7" spans="1:10" x14ac:dyDescent="0.3">
      <c r="I7" s="36" t="s">
        <v>166</v>
      </c>
      <c r="J7" s="16"/>
    </row>
    <row r="8" spans="1:10" ht="15.75" x14ac:dyDescent="0.3">
      <c r="A8" s="112" t="s">
        <v>253</v>
      </c>
      <c r="B8" s="101"/>
      <c r="C8" s="101"/>
      <c r="D8" s="101"/>
      <c r="E8" s="101"/>
      <c r="F8" s="101"/>
      <c r="I8" s="36" t="s">
        <v>167</v>
      </c>
      <c r="J8" s="16"/>
    </row>
    <row r="10" spans="1:10" ht="26.2" x14ac:dyDescent="0.3">
      <c r="A10" s="61" t="s">
        <v>254</v>
      </c>
      <c r="B10" s="61" t="s">
        <v>77</v>
      </c>
      <c r="C10" s="61" t="s">
        <v>76</v>
      </c>
      <c r="D10" s="61" t="s">
        <v>74</v>
      </c>
      <c r="E10" s="61" t="s">
        <v>255</v>
      </c>
      <c r="F10" s="61" t="s">
        <v>37</v>
      </c>
      <c r="G10" s="61" t="s">
        <v>256</v>
      </c>
    </row>
    <row r="11" spans="1:10" x14ac:dyDescent="0.3">
      <c r="A11" s="52" t="s">
        <v>257</v>
      </c>
      <c r="B11" s="62">
        <v>100</v>
      </c>
      <c r="C11" s="63" t="s">
        <v>258</v>
      </c>
      <c r="D11" s="36" t="s">
        <v>259</v>
      </c>
      <c r="E11" s="64" t="s">
        <v>260</v>
      </c>
      <c r="F11" s="65" t="s">
        <v>261</v>
      </c>
      <c r="G11" s="66" t="e">
        <f ca="1">TODAY()-C11</f>
        <v>#VALUE!</v>
      </c>
    </row>
    <row r="12" spans="1:10" x14ac:dyDescent="0.3">
      <c r="A12" s="52" t="s">
        <v>262</v>
      </c>
      <c r="B12" s="62">
        <v>50000</v>
      </c>
      <c r="C12" s="63" t="s">
        <v>263</v>
      </c>
      <c r="D12" s="36" t="s">
        <v>264</v>
      </c>
      <c r="E12" s="64" t="s">
        <v>260</v>
      </c>
      <c r="F12" s="65" t="s">
        <v>261</v>
      </c>
      <c r="G12" s="66" t="e">
        <f ca="1">TODAY()-C12</f>
        <v>#VALUE!</v>
      </c>
    </row>
    <row r="13" spans="1:10" ht="15.75" thickBot="1" x14ac:dyDescent="0.35">
      <c r="A13" s="52" t="s">
        <v>265</v>
      </c>
      <c r="B13" s="62">
        <v>20000</v>
      </c>
      <c r="C13" s="63" t="s">
        <v>266</v>
      </c>
      <c r="D13" s="36" t="s">
        <v>267</v>
      </c>
      <c r="E13" s="64" t="s">
        <v>260</v>
      </c>
      <c r="F13" s="65" t="s">
        <v>261</v>
      </c>
      <c r="G13" s="66" t="e">
        <f ca="1">TODAY()-C13</f>
        <v>#VALUE!</v>
      </c>
    </row>
    <row r="14" spans="1:10" ht="15.75" thickBot="1" x14ac:dyDescent="0.35">
      <c r="A14" s="67" t="s">
        <v>135</v>
      </c>
      <c r="B14" s="68">
        <f>SUM(B11:B13)</f>
        <v>70100</v>
      </c>
      <c r="C14" s="69"/>
      <c r="D14" s="69"/>
      <c r="E14" s="69"/>
      <c r="F14" s="69"/>
      <c r="G14" s="69"/>
    </row>
    <row r="16" spans="1:10" x14ac:dyDescent="0.3">
      <c r="A16" s="70" t="s">
        <v>268</v>
      </c>
    </row>
    <row r="18" spans="1:6" x14ac:dyDescent="0.3">
      <c r="A18" s="37" t="s">
        <v>269</v>
      </c>
      <c r="B18" s="71">
        <f>COUNTIF(F11:F13,"Pendiente")</f>
        <v>3</v>
      </c>
      <c r="D18" s="72" t="s">
        <v>270</v>
      </c>
    </row>
    <row r="19" spans="1:6" x14ac:dyDescent="0.3">
      <c r="A19" s="37" t="s">
        <v>271</v>
      </c>
      <c r="B19" s="73">
        <f>COUNTIF(F11:F13,"Aplicado")</f>
        <v>0</v>
      </c>
      <c r="D19" s="74" t="s">
        <v>272</v>
      </c>
    </row>
    <row r="20" spans="1:6" x14ac:dyDescent="0.3">
      <c r="A20" s="37" t="s">
        <v>273</v>
      </c>
      <c r="B20" s="75">
        <f>SUMIF(F11:F13,"Pendiente",B11:B13)</f>
        <v>70100</v>
      </c>
      <c r="D20" s="74" t="s">
        <v>274</v>
      </c>
    </row>
    <row r="21" spans="1:6" x14ac:dyDescent="0.3">
      <c r="D21" s="74" t="s">
        <v>275</v>
      </c>
    </row>
    <row r="22" spans="1:6" x14ac:dyDescent="0.3">
      <c r="D22" s="74" t="s">
        <v>276</v>
      </c>
    </row>
    <row r="31" spans="1:6" x14ac:dyDescent="0.3">
      <c r="A31" s="21" t="s">
        <v>86</v>
      </c>
      <c r="B31" s="22"/>
      <c r="C31" s="22"/>
      <c r="E31" s="60" t="s">
        <v>87</v>
      </c>
      <c r="F31" s="22"/>
    </row>
    <row r="32" spans="1:6" x14ac:dyDescent="0.3">
      <c r="A32" s="23" t="s">
        <v>88</v>
      </c>
      <c r="E32" s="23" t="s">
        <v>88</v>
      </c>
    </row>
    <row r="41" spans="1:1" x14ac:dyDescent="0.3">
      <c r="A41" s="24" t="str">
        <f>HYPERLINK("#'INDICE'!A32","&lt;&lt; Volver al Indice")</f>
        <v>&lt;&lt; Volver al Indice</v>
      </c>
    </row>
  </sheetData>
  <mergeCells count="5">
    <mergeCell ref="A8:F8"/>
    <mergeCell ref="A3:G3"/>
    <mergeCell ref="A4:G4"/>
    <mergeCell ref="A5:G5"/>
    <mergeCell ref="A6:G6"/>
  </mergeCells>
  <dataValidations disablePrompts="1" count="1">
    <dataValidation type="list" allowBlank="1" showInputMessage="1" showErrorMessage="1" sqref="F11:F13" xr:uid="{00000000-0002-0000-0C00-000000000000}">
      <formula1>"Pendiente, Aprobado"</formula1>
    </dataValidation>
  </dataValidations>
  <hyperlinks>
    <hyperlink ref="A1" location="ÍNDICE!A1" display="← VOLVER AL ÍNDICE" xr:uid="{00000000-0004-0000-0C00-000000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3"/>
  <sheetViews>
    <sheetView workbookViewId="0">
      <selection activeCell="A8" sqref="A8:XFD8"/>
    </sheetView>
  </sheetViews>
  <sheetFormatPr baseColWidth="10" defaultColWidth="9.109375" defaultRowHeight="15.05" x14ac:dyDescent="0.3"/>
  <cols>
    <col min="1" max="1" width="25" customWidth="1"/>
    <col min="2" max="6" width="18" customWidth="1"/>
    <col min="7" max="7" width="26.109375" customWidth="1"/>
    <col min="8" max="8" width="10.5546875" customWidth="1"/>
    <col min="9" max="9" width="16" customWidth="1"/>
    <col min="10" max="10" width="14.44140625" customWidth="1"/>
    <col min="11" max="11" width="18" customWidth="1"/>
  </cols>
  <sheetData>
    <row r="1" spans="1:10" x14ac:dyDescent="0.3">
      <c r="A1" s="5" t="s">
        <v>30</v>
      </c>
    </row>
    <row r="4" spans="1:10" x14ac:dyDescent="0.3">
      <c r="A4" s="101" t="s">
        <v>321</v>
      </c>
      <c r="B4" s="101"/>
      <c r="C4" s="101"/>
      <c r="D4" s="101"/>
      <c r="E4" s="101"/>
      <c r="F4" s="101"/>
      <c r="G4" s="101"/>
    </row>
    <row r="5" spans="1:10" x14ac:dyDescent="0.3">
      <c r="A5" s="101" t="s">
        <v>322</v>
      </c>
      <c r="B5" s="101"/>
      <c r="C5" s="101"/>
      <c r="D5" s="101"/>
      <c r="E5" s="101"/>
      <c r="F5" s="101"/>
      <c r="G5" s="101"/>
    </row>
    <row r="6" spans="1:10" ht="19.649999999999999" x14ac:dyDescent="0.3">
      <c r="A6" s="101" t="s">
        <v>323</v>
      </c>
      <c r="B6" s="101"/>
      <c r="C6" s="101"/>
      <c r="D6" s="101"/>
      <c r="E6" s="101"/>
      <c r="F6" s="101"/>
      <c r="G6" s="101"/>
      <c r="J6" s="27" t="s">
        <v>28</v>
      </c>
    </row>
    <row r="7" spans="1:10" x14ac:dyDescent="0.3">
      <c r="A7" s="101" t="s">
        <v>324</v>
      </c>
      <c r="B7" s="101"/>
      <c r="C7" s="101"/>
      <c r="D7" s="101"/>
      <c r="E7" s="101"/>
      <c r="F7" s="101"/>
      <c r="G7" s="101"/>
    </row>
    <row r="8" spans="1:10" x14ac:dyDescent="0.3">
      <c r="A8" s="39"/>
      <c r="B8" s="39"/>
      <c r="C8" s="39"/>
      <c r="D8" s="39"/>
      <c r="E8" s="39"/>
      <c r="F8" s="39"/>
      <c r="G8" s="39"/>
    </row>
    <row r="9" spans="1:10" ht="15.75" x14ac:dyDescent="0.3">
      <c r="A9" s="112" t="s">
        <v>277</v>
      </c>
      <c r="B9" s="101"/>
      <c r="C9" s="101"/>
      <c r="D9" s="101"/>
      <c r="E9" s="101"/>
      <c r="F9" s="101"/>
      <c r="G9" s="101"/>
      <c r="I9" s="36" t="s">
        <v>164</v>
      </c>
      <c r="J9" s="16"/>
    </row>
    <row r="10" spans="1:10" x14ac:dyDescent="0.3">
      <c r="A10" s="100" t="s">
        <v>278</v>
      </c>
      <c r="B10" s="100"/>
      <c r="C10" s="100"/>
      <c r="D10" s="100"/>
      <c r="E10" s="100"/>
      <c r="F10" s="100"/>
      <c r="G10" s="100"/>
      <c r="I10" s="36" t="s">
        <v>82</v>
      </c>
      <c r="J10" s="16"/>
    </row>
    <row r="11" spans="1:10" x14ac:dyDescent="0.3">
      <c r="I11" s="36" t="s">
        <v>166</v>
      </c>
      <c r="J11" s="16"/>
    </row>
    <row r="12" spans="1:10" ht="22.6" customHeight="1" x14ac:dyDescent="0.3">
      <c r="A12" s="61" t="s">
        <v>78</v>
      </c>
      <c r="B12" s="61" t="s">
        <v>279</v>
      </c>
      <c r="C12" s="61" t="s">
        <v>44</v>
      </c>
      <c r="D12" s="61" t="s">
        <v>80</v>
      </c>
      <c r="E12" s="61" t="s">
        <v>79</v>
      </c>
      <c r="F12" s="61" t="s">
        <v>280</v>
      </c>
      <c r="G12" s="61" t="s">
        <v>281</v>
      </c>
      <c r="I12" s="36" t="s">
        <v>167</v>
      </c>
      <c r="J12" s="16"/>
    </row>
    <row r="13" spans="1:10" x14ac:dyDescent="0.3">
      <c r="A13" s="76" t="s">
        <v>282</v>
      </c>
      <c r="B13" s="64" t="s">
        <v>283</v>
      </c>
      <c r="C13" s="77">
        <v>8</v>
      </c>
      <c r="D13" s="78">
        <v>0.08</v>
      </c>
      <c r="E13" s="64" t="s">
        <v>284</v>
      </c>
      <c r="F13" s="64" t="s">
        <v>285</v>
      </c>
      <c r="G13" s="55" t="s">
        <v>286</v>
      </c>
    </row>
    <row r="14" spans="1:10" x14ac:dyDescent="0.3">
      <c r="A14" s="76" t="s">
        <v>287</v>
      </c>
      <c r="B14" s="64" t="s">
        <v>288</v>
      </c>
      <c r="C14" s="77">
        <v>-200000</v>
      </c>
      <c r="D14" s="78">
        <v>0.1</v>
      </c>
      <c r="E14" s="64" t="s">
        <v>289</v>
      </c>
      <c r="F14" s="64" t="s">
        <v>290</v>
      </c>
      <c r="G14" s="55" t="s">
        <v>291</v>
      </c>
    </row>
    <row r="15" spans="1:10" ht="15.75" thickBot="1" x14ac:dyDescent="0.35">
      <c r="A15" s="76" t="s">
        <v>292</v>
      </c>
      <c r="B15" s="64" t="s">
        <v>293</v>
      </c>
      <c r="C15" s="77">
        <v>-100000</v>
      </c>
      <c r="D15" s="78">
        <v>0</v>
      </c>
      <c r="E15" s="64" t="s">
        <v>294</v>
      </c>
      <c r="F15" s="64" t="s">
        <v>132</v>
      </c>
      <c r="G15" s="55" t="s">
        <v>295</v>
      </c>
    </row>
    <row r="16" spans="1:10" ht="15.75" thickBot="1" x14ac:dyDescent="0.35">
      <c r="A16" s="67" t="s">
        <v>135</v>
      </c>
      <c r="B16" s="69"/>
      <c r="C16" s="79">
        <f>SUM(C13:C15)</f>
        <v>-299992</v>
      </c>
      <c r="D16" s="69"/>
      <c r="E16" s="69"/>
      <c r="F16" s="69"/>
      <c r="G16" s="69"/>
    </row>
    <row r="18" spans="1:5" x14ac:dyDescent="0.3">
      <c r="A18" s="70" t="s">
        <v>296</v>
      </c>
    </row>
    <row r="20" spans="1:5" x14ac:dyDescent="0.3">
      <c r="A20" s="37" t="s">
        <v>297</v>
      </c>
      <c r="D20" s="37" t="s">
        <v>298</v>
      </c>
    </row>
    <row r="21" spans="1:5" x14ac:dyDescent="0.3">
      <c r="A21" s="80" t="s">
        <v>299</v>
      </c>
      <c r="B21" s="81">
        <f>SUMIF(B13:B15,"Subsidiaria",C13:C15)</f>
        <v>8</v>
      </c>
      <c r="D21" s="80" t="s">
        <v>300</v>
      </c>
      <c r="E21" s="65">
        <f>COUNTA(A13:A15)</f>
        <v>3</v>
      </c>
    </row>
    <row r="22" spans="1:5" x14ac:dyDescent="0.3">
      <c r="A22" s="80" t="s">
        <v>301</v>
      </c>
      <c r="B22" s="81">
        <f>SUMIF(B13:B15,"Asociada",C13:C15)</f>
        <v>-200000</v>
      </c>
      <c r="D22" s="80" t="s">
        <v>302</v>
      </c>
      <c r="E22" s="65">
        <f>COUNTIF(D13:D15,"&gt;0")</f>
        <v>2</v>
      </c>
    </row>
    <row r="23" spans="1:5" x14ac:dyDescent="0.3">
      <c r="A23" s="80" t="s">
        <v>303</v>
      </c>
      <c r="B23" s="81">
        <f>SUMIF(B13:B15,"Alta dirección",C13:C15)</f>
        <v>-100000</v>
      </c>
      <c r="D23" s="80" t="s">
        <v>304</v>
      </c>
      <c r="E23" s="65">
        <f>COUNTIF(D13:D15,"=0")</f>
        <v>1</v>
      </c>
    </row>
    <row r="25" spans="1:5" x14ac:dyDescent="0.3">
      <c r="A25" s="72" t="s">
        <v>270</v>
      </c>
    </row>
    <row r="26" spans="1:5" x14ac:dyDescent="0.3">
      <c r="A26" s="74" t="s">
        <v>305</v>
      </c>
    </row>
    <row r="27" spans="1:5" x14ac:dyDescent="0.3">
      <c r="A27" s="74" t="s">
        <v>306</v>
      </c>
    </row>
    <row r="28" spans="1:5" x14ac:dyDescent="0.3">
      <c r="A28" s="74" t="s">
        <v>307</v>
      </c>
    </row>
    <row r="29" spans="1:5" x14ac:dyDescent="0.3">
      <c r="A29" s="74" t="s">
        <v>308</v>
      </c>
    </row>
    <row r="36" spans="1:6" x14ac:dyDescent="0.3">
      <c r="A36" s="21" t="s">
        <v>86</v>
      </c>
      <c r="B36" s="22"/>
      <c r="C36" s="22"/>
      <c r="E36" s="60" t="s">
        <v>87</v>
      </c>
      <c r="F36" s="22"/>
    </row>
    <row r="37" spans="1:6" x14ac:dyDescent="0.3">
      <c r="A37" s="23" t="s">
        <v>88</v>
      </c>
      <c r="E37" s="23" t="s">
        <v>88</v>
      </c>
    </row>
    <row r="53" spans="1:1" x14ac:dyDescent="0.3">
      <c r="A53" s="24" t="str">
        <f>HYPERLINK("#'INDICE'!A33","&lt;&lt; Volver al Indice")</f>
        <v>&lt;&lt; Volver al Indice</v>
      </c>
    </row>
  </sheetData>
  <mergeCells count="6">
    <mergeCell ref="A10:G10"/>
    <mergeCell ref="A4:G4"/>
    <mergeCell ref="A5:G5"/>
    <mergeCell ref="A6:G6"/>
    <mergeCell ref="A9:G9"/>
    <mergeCell ref="A7:G7"/>
  </mergeCells>
  <hyperlinks>
    <hyperlink ref="A1" location="ÍNDICE!A1" display="← VOLVER AL ÍNDICE" xr:uid="{00000000-0004-0000-0D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Programa</vt:lpstr>
      <vt:lpstr>C CUENTAS POR COBRAR</vt:lpstr>
      <vt:lpstr>CIRCULARIZACION</vt:lpstr>
      <vt:lpstr>C-1 CIRCULARIZACIÓN</vt:lpstr>
      <vt:lpstr>C-1.1 RESPUESTAS</vt:lpstr>
      <vt:lpstr>PROCED ALTERNATIVOS</vt:lpstr>
      <vt:lpstr>C-1.3 PROC ALTERNATIVOS</vt:lpstr>
      <vt:lpstr>C-2 ANTIGÜEDAD</vt:lpstr>
      <vt:lpstr>C-3 DETERIORO</vt:lpstr>
      <vt:lpstr>C-4 RECUPERABILIDAD</vt:lpstr>
      <vt:lpstr>C-5 OTRAS CXC</vt:lpstr>
      <vt:lpstr>C-6 ANTICIPOS</vt:lpstr>
      <vt:lpstr>C-7 PARTES RELACIONADAS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2025-11-12T17:46:28Z</dcterms:created>
  <dcterms:modified xsi:type="dcterms:W3CDTF">2025-12-08T03:51:39Z</dcterms:modified>
</cp:coreProperties>
</file>