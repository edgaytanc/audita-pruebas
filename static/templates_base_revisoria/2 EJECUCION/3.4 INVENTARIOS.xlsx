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audita-revisoria\static\templates_base_revisoria\2 EJECUCION\"/>
    </mc:Choice>
  </mc:AlternateContent>
  <xr:revisionPtr revIDLastSave="0" documentId="13_ncr:1_{1B4C6333-9173-485C-83C6-8F7F907F3975}" xr6:coauthVersionLast="47" xr6:coauthVersionMax="47" xr10:uidLastSave="{00000000-0000-0000-0000-000000000000}"/>
  <bookViews>
    <workbookView xWindow="-118" yWindow="-118" windowWidth="25370" windowHeight="13667" activeTab="3" xr2:uid="{00000000-000D-0000-FFFF-FFFF00000000}"/>
  </bookViews>
  <sheets>
    <sheet name="INDICE" sheetId="1" r:id="rId1"/>
    <sheet name="PROGRAMA" sheetId="44" r:id="rId2"/>
    <sheet name="D" sheetId="33" r:id="rId3"/>
    <sheet name="D-SUM" sheetId="34" r:id="rId4"/>
    <sheet name="D-1" sheetId="35" r:id="rId5"/>
    <sheet name="D-1.1" sheetId="36" r:id="rId6"/>
    <sheet name="D-1.2" sheetId="37" r:id="rId7"/>
    <sheet name="D-2" sheetId="38" r:id="rId8"/>
    <sheet name="D-2.1" sheetId="39" r:id="rId9"/>
    <sheet name="D-2.2" sheetId="40" r:id="rId10"/>
    <sheet name="D-3" sheetId="41" r:id="rId11"/>
    <sheet name="D-4" sheetId="42" r:id="rId12"/>
    <sheet name="D-5" sheetId="4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34" l="1"/>
  <c r="H20" i="34"/>
  <c r="G20" i="34"/>
  <c r="F20" i="34"/>
  <c r="E20" i="34"/>
  <c r="D20" i="34"/>
  <c r="D5" i="1" l="1"/>
  <c r="D20" i="43" l="1"/>
  <c r="D19" i="43"/>
  <c r="D18" i="43"/>
  <c r="F15" i="43"/>
  <c r="D21" i="43" s="1"/>
  <c r="D22" i="42"/>
  <c r="D21" i="42"/>
  <c r="D20" i="42"/>
  <c r="D19" i="42"/>
  <c r="E16" i="42"/>
  <c r="D17" i="41"/>
  <c r="H17" i="41" s="1"/>
  <c r="D16" i="41"/>
  <c r="H16" i="41" s="1"/>
  <c r="D15" i="41"/>
  <c r="H15" i="41" s="1"/>
  <c r="D14" i="41"/>
  <c r="H14" i="41" s="1"/>
  <c r="D13" i="41"/>
  <c r="H13" i="41" s="1"/>
  <c r="E18" i="39"/>
  <c r="G18" i="39" s="1"/>
  <c r="H18" i="39" s="1"/>
  <c r="I18" i="39" s="1"/>
  <c r="E17" i="39"/>
  <c r="G17" i="39" s="1"/>
  <c r="H17" i="39" s="1"/>
  <c r="I17" i="39" s="1"/>
  <c r="E16" i="39"/>
  <c r="G16" i="39" s="1"/>
  <c r="H16" i="39" s="1"/>
  <c r="I16" i="39" s="1"/>
  <c r="E15" i="39"/>
  <c r="G15" i="39" s="1"/>
  <c r="H15" i="39" s="1"/>
  <c r="I15" i="39" s="1"/>
  <c r="E14" i="39"/>
  <c r="G14" i="39" s="1"/>
  <c r="H14" i="39" s="1"/>
  <c r="I14" i="39" s="1"/>
  <c r="G23" i="38"/>
  <c r="E23" i="38"/>
  <c r="G22" i="38"/>
  <c r="E22" i="38"/>
  <c r="G21" i="38"/>
  <c r="E21" i="38"/>
  <c r="G20" i="38"/>
  <c r="E20" i="38"/>
  <c r="G19" i="38"/>
  <c r="E19" i="38"/>
  <c r="G18" i="38"/>
  <c r="E18" i="38"/>
  <c r="G17" i="38"/>
  <c r="E17" i="38"/>
  <c r="G16" i="38"/>
  <c r="E16" i="38"/>
  <c r="H16" i="38" s="1"/>
  <c r="G15" i="38"/>
  <c r="E15" i="38"/>
  <c r="G14" i="38"/>
  <c r="E14" i="38"/>
  <c r="E24" i="38" l="1"/>
  <c r="H21" i="38"/>
  <c r="H20" i="38"/>
  <c r="H19" i="38"/>
  <c r="H23" i="38"/>
  <c r="G24" i="38"/>
  <c r="H18" i="38"/>
  <c r="H15" i="38"/>
  <c r="H22" i="38"/>
  <c r="H17" i="38"/>
  <c r="H18" i="41"/>
  <c r="D21" i="41" s="1"/>
  <c r="D22" i="41" s="1"/>
  <c r="D18" i="41"/>
  <c r="H14" i="38"/>
  <c r="G22" i="36"/>
  <c r="G21" i="36"/>
  <c r="G20" i="36"/>
  <c r="G19" i="36"/>
  <c r="G18" i="36"/>
  <c r="G17" i="36"/>
  <c r="G16" i="36"/>
  <c r="G15" i="36"/>
  <c r="G14" i="36"/>
  <c r="G13" i="36"/>
  <c r="H24" i="38" l="1"/>
  <c r="A45" i="43"/>
  <c r="A47" i="42"/>
  <c r="A48" i="41"/>
  <c r="A46" i="40"/>
  <c r="A48" i="39"/>
  <c r="A54" i="38"/>
  <c r="A52" i="37"/>
  <c r="A44" i="36"/>
  <c r="B27" i="36"/>
  <c r="B26" i="36"/>
  <c r="B28" i="36"/>
  <c r="A56" i="35"/>
  <c r="A48" i="34"/>
  <c r="A55" i="33"/>
  <c r="D14" i="1"/>
  <c r="D13" i="1"/>
  <c r="D12" i="1"/>
  <c r="D11" i="1"/>
  <c r="D10" i="1"/>
  <c r="D9" i="1"/>
  <c r="D8" i="1"/>
  <c r="D7" i="1"/>
  <c r="D6" i="1"/>
  <c r="D3" i="1"/>
</calcChain>
</file>

<file path=xl/sharedStrings.xml><?xml version="1.0" encoding="utf-8"?>
<sst xmlns="http://schemas.openxmlformats.org/spreadsheetml/2006/main" count="686" uniqueCount="386">
  <si>
    <t>Auditoria y Revisoria Fiscal</t>
  </si>
  <si>
    <t>FASE</t>
  </si>
  <si>
    <t>REFERENCIA</t>
  </si>
  <si>
    <t>DESCRIPCION</t>
  </si>
  <si>
    <t>ACCESO</t>
  </si>
  <si>
    <t>D</t>
  </si>
  <si>
    <t>INVENTARIOS</t>
  </si>
  <si>
    <t>D-SUM</t>
  </si>
  <si>
    <t>Cedula sumaria de inventarios</t>
  </si>
  <si>
    <t>D-1</t>
  </si>
  <si>
    <t>Acta de asistencia a toma fisica</t>
  </si>
  <si>
    <t>D-1.1</t>
  </si>
  <si>
    <t>Pruebas de observacion fisica</t>
  </si>
  <si>
    <t>D-1.2</t>
  </si>
  <si>
    <t>Corte de documentos</t>
  </si>
  <si>
    <t>D-2</t>
  </si>
  <si>
    <t>Valoracion de inventarios</t>
  </si>
  <si>
    <t>D-2.1</t>
  </si>
  <si>
    <t>Prueba de costeo</t>
  </si>
  <si>
    <t>D-2.2</t>
  </si>
  <si>
    <t>Verificacion de metodo de valuacion</t>
  </si>
  <si>
    <t>D-3</t>
  </si>
  <si>
    <t>Analisis de obsolescencia y deterioro</t>
  </si>
  <si>
    <t>D-4</t>
  </si>
  <si>
    <t>Inventarios en poder de terceros</t>
  </si>
  <si>
    <t>D-5</t>
  </si>
  <si>
    <t>Inventarios en transito</t>
  </si>
  <si>
    <t>Fecha Elaboración</t>
  </si>
  <si>
    <t>TOTAL</t>
  </si>
  <si>
    <t>No.</t>
  </si>
  <si>
    <t>Auditor</t>
  </si>
  <si>
    <t>Sí</t>
  </si>
  <si>
    <t>Juan Pérez</t>
  </si>
  <si>
    <t>DIFERENCIA</t>
  </si>
  <si>
    <t>REF</t>
  </si>
  <si>
    <t>CONCEPTO</t>
  </si>
  <si>
    <t>CLIENTE</t>
  </si>
  <si>
    <t>MARCA</t>
  </si>
  <si>
    <t>No</t>
  </si>
  <si>
    <t>15/01/2025</t>
  </si>
  <si>
    <t>16/01/2025</t>
  </si>
  <si>
    <t>EXPLICACIÓN</t>
  </si>
  <si>
    <t>✓</t>
  </si>
  <si>
    <t>Supervisor</t>
  </si>
  <si>
    <t>Fecha Aprobación</t>
  </si>
  <si>
    <t>PROCEDIMIENTO</t>
  </si>
  <si>
    <t>FECHA</t>
  </si>
  <si>
    <t>OBJETIVO:</t>
  </si>
  <si>
    <t>PROCEDIMIENTOS Y HALLAZGOS:</t>
  </si>
  <si>
    <t>HALLAZGO</t>
  </si>
  <si>
    <t>HECHO POR</t>
  </si>
  <si>
    <t>CATEGORÍA</t>
  </si>
  <si>
    <t>Deterioro registrado en libros:</t>
  </si>
  <si>
    <t>Deterioro calculado por auditoría:</t>
  </si>
  <si>
    <t>COMENTARIOS</t>
  </si>
  <si>
    <t>PROVEEDOR</t>
  </si>
  <si>
    <t>20/12/2024</t>
  </si>
  <si>
    <t>28/12/2024</t>
  </si>
  <si>
    <t>31/12/2024</t>
  </si>
  <si>
    <t>Materia prima</t>
  </si>
  <si>
    <t>Producto en proceso</t>
  </si>
  <si>
    <t>Producto terminado</t>
  </si>
  <si>
    <t>INFORMACIÓN GENERAL</t>
  </si>
  <si>
    <t>Fecha de la toma física:</t>
  </si>
  <si>
    <t>Hora de inicio:</t>
  </si>
  <si>
    <t>08:00 AM</t>
  </si>
  <si>
    <t>Hora de término:</t>
  </si>
  <si>
    <t>05:00 PM</t>
  </si>
  <si>
    <t>Ubicación:</t>
  </si>
  <si>
    <t>Almacén Central - Bodega Principal</t>
  </si>
  <si>
    <t>PARTICIPANTES DE LA EMPRESA</t>
  </si>
  <si>
    <t>NOMBRE</t>
  </si>
  <si>
    <t>PUESTO</t>
  </si>
  <si>
    <t>ÁREA</t>
  </si>
  <si>
    <t>FUNCIÓN EN TOMA</t>
  </si>
  <si>
    <t>FIRMA</t>
  </si>
  <si>
    <t>Gerente de Almacén</t>
  </si>
  <si>
    <t>Logística</t>
  </si>
  <si>
    <t>Coordinador general</t>
  </si>
  <si>
    <t>María García</t>
  </si>
  <si>
    <t>Jefe de Inventarios</t>
  </si>
  <si>
    <t>Contabilidad</t>
  </si>
  <si>
    <t>Registro y control</t>
  </si>
  <si>
    <t>Pedro Martínez</t>
  </si>
  <si>
    <t>Auxiliar de Almacén</t>
  </si>
  <si>
    <t>Conteo físico</t>
  </si>
  <si>
    <t>PARTICIPANTES DEL EQUIPO DE AUDITORÍA</t>
  </si>
  <si>
    <t>CARGO</t>
  </si>
  <si>
    <t>FUNCIÓN</t>
  </si>
  <si>
    <t>HORARIO</t>
  </si>
  <si>
    <t>Ana López</t>
  </si>
  <si>
    <t>Socio</t>
  </si>
  <si>
    <t>Supervisión</t>
  </si>
  <si>
    <t>08:00-11:00</t>
  </si>
  <si>
    <t>Carlos Ruiz</t>
  </si>
  <si>
    <t>Senior</t>
  </si>
  <si>
    <t>Coordinación</t>
  </si>
  <si>
    <t>08:00-17:00</t>
  </si>
  <si>
    <t>Laura Sánchez</t>
  </si>
  <si>
    <t>Asistente</t>
  </si>
  <si>
    <t>Conteos de prueba</t>
  </si>
  <si>
    <t>PROCEDIMIENTOS DE CONTROL OBSERVADOS</t>
  </si>
  <si>
    <t>La empresa suspendió todas las operaciones durante el conteo</t>
  </si>
  <si>
    <t>Se utilizaron marbetes prenumerados consecutivos</t>
  </si>
  <si>
    <t>Los conteos fueron realizados por equipos de dos personas</t>
  </si>
  <si>
    <t>Se realizó un segundo conteo de verificación</t>
  </si>
  <si>
    <t>Se identificaron inventarios obsoletos o de lento movimiento</t>
  </si>
  <si>
    <t>Se realizó corte de documentos (entradas y salidas)</t>
  </si>
  <si>
    <t>Se identificaron inventarios de terceros o en consignación</t>
  </si>
  <si>
    <t>PRUEBAS DE OBSERVACIÓN FÍSICA</t>
  </si>
  <si>
    <t>Conteos de prueba realizados por el equipo de auditoría</t>
  </si>
  <si>
    <t>MARBETE</t>
  </si>
  <si>
    <t>PRODUCTO</t>
  </si>
  <si>
    <t>UBICACIÓN</t>
  </si>
  <si>
    <t>CANT. EMPRESA</t>
  </si>
  <si>
    <t>UM</t>
  </si>
  <si>
    <t>AJUSTE</t>
  </si>
  <si>
    <t>M-001</t>
  </si>
  <si>
    <t>Materia Prima A</t>
  </si>
  <si>
    <t>Rack A-1</t>
  </si>
  <si>
    <t>KG</t>
  </si>
  <si>
    <t>M-015</t>
  </si>
  <si>
    <t>Materia Prima B</t>
  </si>
  <si>
    <t>Rack A-5</t>
  </si>
  <si>
    <t>M-032</t>
  </si>
  <si>
    <t>Producto en Proceso X</t>
  </si>
  <si>
    <t>Línea 1</t>
  </si>
  <si>
    <t>PZA</t>
  </si>
  <si>
    <t>M-048</t>
  </si>
  <si>
    <t>Producto en Proceso Y</t>
  </si>
  <si>
    <t>Línea 2</t>
  </si>
  <si>
    <t>M-075</t>
  </si>
  <si>
    <t>Producto Terminado 101</t>
  </si>
  <si>
    <t>Bodega B-3</t>
  </si>
  <si>
    <t>M-089</t>
  </si>
  <si>
    <t>Producto Terminado 105</t>
  </si>
  <si>
    <t>Bodega B-7</t>
  </si>
  <si>
    <t>M-112</t>
  </si>
  <si>
    <t>Producto Terminado 110</t>
  </si>
  <si>
    <t>Bodega C-1</t>
  </si>
  <si>
    <t>M-145</t>
  </si>
  <si>
    <t>Materia Prima C</t>
  </si>
  <si>
    <t>Rack D-2</t>
  </si>
  <si>
    <t>LT</t>
  </si>
  <si>
    <t>M-178</t>
  </si>
  <si>
    <t>Refacciones</t>
  </si>
  <si>
    <t>Almacén Aux</t>
  </si>
  <si>
    <t>M-203</t>
  </si>
  <si>
    <t>Empaques</t>
  </si>
  <si>
    <t>Bodega E-4</t>
  </si>
  <si>
    <t>RESUMEN DE CONTEOS:</t>
  </si>
  <si>
    <t>Total de conteos realizados:</t>
  </si>
  <si>
    <t>Conteos sin diferencia:</t>
  </si>
  <si>
    <t>Conteos con diferencia:</t>
  </si>
  <si>
    <t>Efectividad del conteo:</t>
  </si>
  <si>
    <t>CORTE DE DOCUMENTOS</t>
  </si>
  <si>
    <t>Objetivo: Asegurar que las transacciones se registren en el período correcto</t>
  </si>
  <si>
    <t>ÚLTIMAS ENTRADAS ANTES DEL CORTE (31/12/2024)</t>
  </si>
  <si>
    <t>NO. RECEPCIÓN</t>
  </si>
  <si>
    <t>CANTIDAD</t>
  </si>
  <si>
    <t>REGISTRADO</t>
  </si>
  <si>
    <t>REC-2458</t>
  </si>
  <si>
    <t>29/12/2024</t>
  </si>
  <si>
    <t>PROVEEDOR A</t>
  </si>
  <si>
    <t>1,500 KG</t>
  </si>
  <si>
    <t>2024</t>
  </si>
  <si>
    <t>REC-2459</t>
  </si>
  <si>
    <t>30/12/2024</t>
  </si>
  <si>
    <t>PROVEEDOR B</t>
  </si>
  <si>
    <t>2,300 KG</t>
  </si>
  <si>
    <t>REC-2460</t>
  </si>
  <si>
    <t>PROVEEDOR C</t>
  </si>
  <si>
    <t>150 PZA</t>
  </si>
  <si>
    <t>REC-2461</t>
  </si>
  <si>
    <t>PROVEEDOR D</t>
  </si>
  <si>
    <t>5,000 PZA</t>
  </si>
  <si>
    <t>PRIMERAS ENTRADAS DESPUÉS DEL CORTE (01/01/2025)</t>
  </si>
  <si>
    <t>REC-2462</t>
  </si>
  <si>
    <t>02/01/2025</t>
  </si>
  <si>
    <t>PROVEEDOR E</t>
  </si>
  <si>
    <t>1,800 KG</t>
  </si>
  <si>
    <t>2025</t>
  </si>
  <si>
    <t>REC-2463</t>
  </si>
  <si>
    <t>PROVEEDOR F</t>
  </si>
  <si>
    <t>Componentes</t>
  </si>
  <si>
    <t>450 PZA</t>
  </si>
  <si>
    <t>REC-2464</t>
  </si>
  <si>
    <t>03/01/2025</t>
  </si>
  <si>
    <t>PROVEEDOR G</t>
  </si>
  <si>
    <t>3,200 KG</t>
  </si>
  <si>
    <t>ÚLTIMAS SALIDAS ANTES DEL CORTE (31/12/2024)</t>
  </si>
  <si>
    <t>NO. REMISIÓN</t>
  </si>
  <si>
    <t>REM-3845</t>
  </si>
  <si>
    <t>CLIENTE A</t>
  </si>
  <si>
    <t>800 PZA</t>
  </si>
  <si>
    <t>REM-3846</t>
  </si>
  <si>
    <t>CLIENTE B</t>
  </si>
  <si>
    <t>1,200 PZA</t>
  </si>
  <si>
    <t>REM-3847</t>
  </si>
  <si>
    <t>CLIENTE C</t>
  </si>
  <si>
    <t>650 PZA</t>
  </si>
  <si>
    <t>PRIMERAS SALIDAS DESPUÉS DEL CORTE (01/01/2025)</t>
  </si>
  <si>
    <t>REM-3848</t>
  </si>
  <si>
    <t>CLIENTE D</t>
  </si>
  <si>
    <t>950 PZA</t>
  </si>
  <si>
    <t>REM-3849</t>
  </si>
  <si>
    <t>CLIENTE E</t>
  </si>
  <si>
    <t>1,100 PZA</t>
  </si>
  <si>
    <t>Método de valuación: PEPS (Primeras Entradas, Primeras Salidas)</t>
  </si>
  <si>
    <t>COSTO UNITARIO</t>
  </si>
  <si>
    <t>COSTO TOTAL</t>
  </si>
  <si>
    <t>VNR UNITARIO</t>
  </si>
  <si>
    <t>VNR TOTAL</t>
  </si>
  <si>
    <t>DETERIORO</t>
  </si>
  <si>
    <t>Verificación de cálculo de costos según método PEPS</t>
  </si>
  <si>
    <t>FECHA COMPRA</t>
  </si>
  <si>
    <t>COSTO SEGÚN EMPRESA</t>
  </si>
  <si>
    <t>COSTO RECALCULADO</t>
  </si>
  <si>
    <t>15/11/2024</t>
  </si>
  <si>
    <t>22/11/2024</t>
  </si>
  <si>
    <t>Producto Term. 101</t>
  </si>
  <si>
    <t>05/12/2024</t>
  </si>
  <si>
    <t>Producto Term. 105</t>
  </si>
  <si>
    <t>10/12/2024</t>
  </si>
  <si>
    <t>Producto Term. 110</t>
  </si>
  <si>
    <t>18/12/2024</t>
  </si>
  <si>
    <t>CONCLUSIÓN: Los costos están correctamente calculados según el método PEPS.</t>
  </si>
  <si>
    <t>VERIFICACIÓN DE MÉTODO DE VALUACIÓN</t>
  </si>
  <si>
    <t>INFORMACIÓN DEL MÉTODO</t>
  </si>
  <si>
    <t>Método utilizado:</t>
  </si>
  <si>
    <t>PEPS (Primeras Entradas, Primeras Salidas)</t>
  </si>
  <si>
    <t>Base normativa:</t>
  </si>
  <si>
    <t>NIC 2 - Inventarios</t>
  </si>
  <si>
    <t>Aplicación consistente:</t>
  </si>
  <si>
    <t>Sí - mismo método año anterior</t>
  </si>
  <si>
    <t>Cambio de método:</t>
  </si>
  <si>
    <t>Revelación en notas:</t>
  </si>
  <si>
    <t>Sí - Nota 8 de estados financieros</t>
  </si>
  <si>
    <t>VERIFICACIÓN DE CONSISTENCIA</t>
  </si>
  <si>
    <t>ASPECTO</t>
  </si>
  <si>
    <t>CUMPLE</t>
  </si>
  <si>
    <t>EVIDENCIA</t>
  </si>
  <si>
    <t>Método documentado en políticas</t>
  </si>
  <si>
    <t>Manual de políticas contables</t>
  </si>
  <si>
    <t>Actualizado 2024</t>
  </si>
  <si>
    <t>Sistema registra automáticamente PEPS</t>
  </si>
  <si>
    <t>Prueba de sistema</t>
  </si>
  <si>
    <t>SAP configurado correctamente</t>
  </si>
  <si>
    <t>Aplicación uniforme en todas las categorías</t>
  </si>
  <si>
    <t>Revisión de costeo</t>
  </si>
  <si>
    <t>Sin excepciones</t>
  </si>
  <si>
    <t>Valuación no excede VNR</t>
  </si>
  <si>
    <t>Cédula D-2</t>
  </si>
  <si>
    <t>Ver análisis de deterioro</t>
  </si>
  <si>
    <t>Revelación adecuada</t>
  </si>
  <si>
    <t>Nota 8 EEFF</t>
  </si>
  <si>
    <t>Descripción completa del método</t>
  </si>
  <si>
    <t>CANT.</t>
  </si>
  <si>
    <t>COSTO UNIT.</t>
  </si>
  <si>
    <t>ROTACIÓN</t>
  </si>
  <si>
    <t>DÍAS INVENT.</t>
  </si>
  <si>
    <t>% DETERIO</t>
  </si>
  <si>
    <t>Mat. Prima sin mov. &gt; 180 días</t>
  </si>
  <si>
    <t>Mat. Prima sin mov. &gt; 90 días</t>
  </si>
  <si>
    <t>Producto Term. modelo descont.</t>
  </si>
  <si>
    <t>Producto Term. defectuoso</t>
  </si>
  <si>
    <t>Refacciones obsoletas</t>
  </si>
  <si>
    <t>TOTAL DETERIORO CALCULADO</t>
  </si>
  <si>
    <t>TERCERO</t>
  </si>
  <si>
    <t>VALOR</t>
  </si>
  <si>
    <t>CONFIRMADO</t>
  </si>
  <si>
    <t>FECHA CONF.</t>
  </si>
  <si>
    <t>Maquilador XYZ, S.A.</t>
  </si>
  <si>
    <t>Monterrey, NL</t>
  </si>
  <si>
    <t>850 PZA</t>
  </si>
  <si>
    <t>Almacén ABC, S.A.</t>
  </si>
  <si>
    <t>Guadalajara, JAL</t>
  </si>
  <si>
    <t>Transportista DEF</t>
  </si>
  <si>
    <t>En tránsito</t>
  </si>
  <si>
    <t>500 KG</t>
  </si>
  <si>
    <t>NO. PEDIDO</t>
  </si>
  <si>
    <t>FECHA EMBARQUE</t>
  </si>
  <si>
    <t>FECHA EST. LLEGADA</t>
  </si>
  <si>
    <t>INCOTERM</t>
  </si>
  <si>
    <t>PROVEEDOR INT A</t>
  </si>
  <si>
    <t>PO-8845</t>
  </si>
  <si>
    <t>2,500 KG</t>
  </si>
  <si>
    <t>05/01/2025</t>
  </si>
  <si>
    <t>FOB</t>
  </si>
  <si>
    <t>PROVEEDOR INT B</t>
  </si>
  <si>
    <t>PO-8912</t>
  </si>
  <si>
    <t>10/01/2025</t>
  </si>
  <si>
    <t>CIF</t>
  </si>
  <si>
    <t>PROVEEDOR NAC C</t>
  </si>
  <si>
    <t>PO-8956</t>
  </si>
  <si>
    <t>1,200 KG</t>
  </si>
  <si>
    <t>LAB</t>
  </si>
  <si>
    <t xml:space="preserve">                                                                                       INVENTARIOS</t>
  </si>
  <si>
    <t xml:space="preserve">                   CÉDULA SUMARIA DE INVENTARIOS</t>
  </si>
  <si>
    <t xml:space="preserve">                             ACTA DE ASISTENCIA A TOMA FÍSICA DE INVENTARIOS</t>
  </si>
  <si>
    <t>CANT. AUDITORÍA</t>
  </si>
  <si>
    <t>ninguna</t>
  </si>
  <si>
    <t xml:space="preserve">si </t>
  </si>
  <si>
    <t>no</t>
  </si>
  <si>
    <t xml:space="preserve">                                                                            VALORACIÓN DE INVENTARIOS</t>
  </si>
  <si>
    <t xml:space="preserve">                                                                                                         PRUEBA DE COSTEO</t>
  </si>
  <si>
    <t>DIFERENCIA / AJUSTE PROPUESTO</t>
  </si>
  <si>
    <t xml:space="preserve">                                                              ANÁLISIS DE OBSOLESCENCIA Y DETERIORO</t>
  </si>
  <si>
    <t xml:space="preserve">                  INVENTARIOS EN PODER DE TERCEROS</t>
  </si>
  <si>
    <t>@</t>
  </si>
  <si>
    <t>RESUMEN DE CONFIRMACIONES</t>
  </si>
  <si>
    <t>Total registros:</t>
  </si>
  <si>
    <t>Confirmados:</t>
  </si>
  <si>
    <t>Pendientes:</t>
  </si>
  <si>
    <t>% Confirmado:</t>
  </si>
  <si>
    <t>√</t>
  </si>
  <si>
    <t>RESUMEN DE TRÁNSITO</t>
  </si>
  <si>
    <t>Total de pedidos:</t>
  </si>
  <si>
    <t>Proveedores internacionales:</t>
  </si>
  <si>
    <t>Proveedores nacionales:</t>
  </si>
  <si>
    <t>Valor promedio por pedido:</t>
  </si>
  <si>
    <t xml:space="preserve">Programa de Auditoría </t>
  </si>
  <si>
    <t>PD-1</t>
  </si>
  <si>
    <t>PROGRAMA DE AUDITORÍA - INVENTARIOS</t>
  </si>
  <si>
    <t>ÁREA: Inventarios</t>
  </si>
  <si>
    <t>CUENTA: D - Inventarios de Mercancías, Productos en Proceso y Terminados</t>
  </si>
  <si>
    <t>RESPONSABLE:</t>
  </si>
  <si>
    <t>OBJETIVO GENERAL</t>
  </si>
  <si>
    <t>Obtener evidencia de auditoría suficiente y adecuada sobre la existencia, integridad, valuación y presentación de los inventarios, cumpliendo con NIA 501, NIA 500 y NIA 330.</t>
  </si>
  <si>
    <t>OBJETIVOS ESPECÍFICOS</t>
  </si>
  <si>
    <t>• Verificar la existencia física de los inventarios mediante observación de conteos físicos</t>
  </si>
  <si>
    <t>• Confirmar la integridad y completitud de los registros de inventarios</t>
  </si>
  <si>
    <t>• Evaluar la razonabilidad de las valuaciones de inventarios</t>
  </si>
  <si>
    <t>• Verificar el método de valuación utilizado (PEPS, promedio ponderado, etc.)</t>
  </si>
  <si>
    <t>• Evaluar la adecuada clasificación y presentación en estados financieros</t>
  </si>
  <si>
    <t>• Verificar el cumplimiento de controles internos sobre inventarios</t>
  </si>
  <si>
    <t>• Evaluar la obsolescencia y deterioro de inventarios</t>
  </si>
  <si>
    <t>Ref.</t>
  </si>
  <si>
    <t>PROCEDIMIENTO DE AUDITORÍA</t>
  </si>
  <si>
    <t>REVISADO
POR</t>
  </si>
  <si>
    <t>CÉDULA SUMARIA: Prepare o actualice la cédula sumaria de inventarios, verificando el cuadre con el mayor general y el balance de comprobación</t>
  </si>
  <si>
    <t>ACTA DE ASISTENCIA A TOMA FÍSICA: Obtenga copia del acta de inicio de la toma física de inventarios, verificando la presencia del auditor y los procedimientos aplicados</t>
  </si>
  <si>
    <t>PRUEBAS DE OBSERVACIÓN FÍSICA: Efectúe pruebas de observación durante el conteo físico, verificando:
- Procedimientos de conteo
- Segregación de funciones
- Control de etiquetas
- Mercancía dañada u obsoleta</t>
  </si>
  <si>
    <t>CORTE DE DOCUMENTOS: Verifique el adecuado corte de entradas y salidas de inventario al cierre, registrando los últimos números de:
- Remisiones de entrada
- Facturas de venta
- Notas de devolución</t>
  </si>
  <si>
    <t>VALORACIÓN DE INVENTARIOS: Verifique la correcta valoración de inventarios mediante:
- Método de valuación aplicado (PEPS, Promedio)
- Revisión de costos unitarios
- Recálculo de extensiones</t>
  </si>
  <si>
    <t>PRUEBA DE COSTEO: Seleccione una muestra de productos y verifique:
- Hoja de costos
- Facturas de compra
- Mano de obra y CIF aplicados</t>
  </si>
  <si>
    <t>VERIFICACIÓN DE MÉTODO DE VALUACIÓN: Confirme que el método de valuación se aplica consistentemente y cumple con NIIF (NIC 2)</t>
  </si>
  <si>
    <t>ANÁLISIS DE OBSOLESCENCIA Y DETERIORO: Identifique inventarios obsoletos, dañados o de lento movimiento mediante:
- Análisis de rotación
- Inspección física
- Listados de antigüedad</t>
  </si>
  <si>
    <t>INVENTARIOS EN PODER DE TERCEROS: Obtenga confirmaciones de inventarios en:
- Consignación
- Bodegas externas
- Proceso en maquiladoras</t>
  </si>
  <si>
    <t>INVENTARIOS EN TRÁNSITO: Verifique inventarios en tránsito mediante:
- Guías de transporte
- Términos INCOTERMS
- Cut-off de propiedad</t>
  </si>
  <si>
    <t>D-6</t>
  </si>
  <si>
    <t>CONCILIACIÓN FÍSICO VS CONTABLE: Prepare conciliación entre conteo físico y registros contables, investigando diferencias significativas</t>
  </si>
  <si>
    <t>D-7</t>
  </si>
  <si>
    <t>PRUEBA DE PROPIEDAD: Verifique la propiedad legal de los inventarios mediante:
- Facturas de compra
- Exclusión de mercancía en consignación
- Mercancía recibida en garantía</t>
  </si>
  <si>
    <t>D-8</t>
  </si>
  <si>
    <t>ANÁLISIS DE ROTACIÓN: Calcule índices de rotación de inventarios y días de inventario, comparando con períodos anteriores</t>
  </si>
  <si>
    <t>D-9</t>
  </si>
  <si>
    <t>INVENTARIOS DADOS EN GARANTÍA: Identifique inventarios pignorados o dados en garantía, verificando su adecuada revelación</t>
  </si>
  <si>
    <t>D-10</t>
  </si>
  <si>
    <t>PRESENTACIÓN Y REVELACIÓN: Verifique la adecuada presentación y revelación de inventarios en estados financieros según NIC 2</t>
  </si>
  <si>
    <t>CONCLUSIÓN DEL PROGRAMA</t>
  </si>
  <si>
    <t xml:space="preserve">Basado en los procedimientos ejecutados, concluimos que:
</t>
  </si>
  <si>
    <t>Elaborado por:</t>
  </si>
  <si>
    <t>Revisado por:</t>
  </si>
  <si>
    <t xml:space="preserve">
Nombre y Firma</t>
  </si>
  <si>
    <t>&lt;&lt; Volver al Índice</t>
  </si>
  <si>
    <t>Preparado por: Firma</t>
  </si>
  <si>
    <t xml:space="preserve">Revisado por: </t>
  </si>
  <si>
    <t xml:space="preserve">Nombre </t>
  </si>
  <si>
    <t xml:space="preserve">SALDOS S/ BALANCE GENERAL </t>
  </si>
  <si>
    <t>AJUSTES / RECLASIFICACIONES</t>
  </si>
  <si>
    <t>SALDOS SEGÚN AUDITORIA</t>
  </si>
  <si>
    <t>Código</t>
  </si>
  <si>
    <t>Ref P/T</t>
  </si>
  <si>
    <t>Debe</t>
  </si>
  <si>
    <t>Haber</t>
  </si>
  <si>
    <t xml:space="preserve">Suma </t>
  </si>
  <si>
    <t>FUENTE: Balance general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</si>
  <si>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</si>
  <si>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 xml:space="preserve">CONCLUSIÓN: </t>
  </si>
  <si>
    <t>Sub Cuenta</t>
  </si>
  <si>
    <t>Entidad XXXXXXX</t>
  </si>
  <si>
    <t>Revisoría Fiscal</t>
  </si>
  <si>
    <t>Del 01 de Enero al 31 de Diciembre de 2024</t>
  </si>
  <si>
    <t>Cifras expresadas en [MONEDA]</t>
  </si>
  <si>
    <t xml:space="preserve"> INVENTARIOS EN TRÁNSITO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</si>
</sst>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"/>
    <numFmt numFmtId="165" formatCode="dd/mm/yyyy"/>
    <numFmt numFmtId="166" formatCode="0.0%"/>
    <numFmt numFmtId="167" formatCode="\$#,##0.00"/>
    <numFmt numFmtId="168" formatCode="0.0"/>
    <numFmt numFmtId="169" formatCode="\$#,##0.00;\(\$#,##0.00\);&quot;-&quot;"/>
    <numFmt numFmtId="170" formatCode="\$#,##0.00;[Red]\(\$#,##0.00\);&quot;-&quot;"/>
    <numFmt numFmtId="171" formatCode="\$#,##0;\(\$#,##0\);&quot;-&quot;"/>
  </numFmts>
  <fonts count="3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u/>
      <sz val="11"/>
      <color rgb="FF0563C1"/>
      <name val="Arial"/>
      <family val="2"/>
    </font>
    <font>
      <b/>
      <sz val="11"/>
      <color rgb="FFFFFFFF"/>
      <name val="Cambria"/>
      <family val="1"/>
    </font>
    <font>
      <b/>
      <sz val="11"/>
      <name val="Cambria"/>
      <family val="1"/>
    </font>
    <font>
      <b/>
      <sz val="12"/>
      <name val="Cambria"/>
      <family val="1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4"/>
      <name val="Cambria"/>
      <family val="1"/>
    </font>
    <font>
      <b/>
      <sz val="10"/>
      <color rgb="FFC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C00000"/>
      <name val="Arial"/>
      <family val="2"/>
    </font>
    <font>
      <sz val="10"/>
      <name val="Calibri"/>
      <family val="2"/>
    </font>
    <font>
      <b/>
      <sz val="12"/>
      <color rgb="FFFF000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b/>
      <u/>
      <sz val="11"/>
      <color rgb="FF0563C1"/>
      <name val="Calibri"/>
      <family val="2"/>
    </font>
    <font>
      <b/>
      <sz val="15"/>
      <color rgb="FFC00000"/>
      <name val="Arial"/>
      <family val="2"/>
    </font>
    <font>
      <u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theme="0"/>
        <bgColor rgb="FF003366"/>
      </patternFill>
    </fill>
    <fill>
      <patternFill patternType="solid">
        <fgColor rgb="FF003366"/>
        <bgColor rgb="FF003366"/>
      </patternFill>
    </fill>
    <fill>
      <patternFill patternType="solid">
        <fgColor rgb="FFFF6B00"/>
        <bgColor rgb="FFFF6B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D9D9D9"/>
        <bgColor rgb="FFD9D9D9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18" fillId="0" borderId="0" applyNumberFormat="0" applyFill="0" applyBorder="0" applyAlignment="0" applyProtection="0"/>
    <xf numFmtId="0" fontId="4" fillId="0" borderId="0"/>
  </cellStyleXfs>
  <cellXfs count="13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0" fillId="0" borderId="2" xfId="0" applyBorder="1"/>
    <xf numFmtId="0" fontId="9" fillId="0" borderId="0" xfId="0" applyFont="1"/>
    <xf numFmtId="0" fontId="3" fillId="0" borderId="0" xfId="0" applyFont="1"/>
    <xf numFmtId="0" fontId="0" fillId="0" borderId="2" xfId="0" applyBorder="1" applyAlignment="1">
      <alignment horizontal="center"/>
    </xf>
    <xf numFmtId="0" fontId="11" fillId="0" borderId="0" xfId="0" applyFont="1"/>
    <xf numFmtId="166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5" xfId="0" applyBorder="1"/>
    <xf numFmtId="0" fontId="14" fillId="0" borderId="5" xfId="0" applyFont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/>
    </xf>
    <xf numFmtId="0" fontId="0" fillId="6" borderId="0" xfId="0" applyFill="1"/>
    <xf numFmtId="0" fontId="0" fillId="6" borderId="2" xfId="0" applyFill="1" applyBorder="1"/>
    <xf numFmtId="0" fontId="0" fillId="0" borderId="0" xfId="0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8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8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3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169" fontId="0" fillId="0" borderId="5" xfId="0" applyNumberFormat="1" applyBorder="1" applyAlignment="1">
      <alignment horizontal="right"/>
    </xf>
    <xf numFmtId="0" fontId="7" fillId="0" borderId="5" xfId="0" applyFont="1" applyBorder="1" applyAlignment="1">
      <alignment horizontal="left"/>
    </xf>
    <xf numFmtId="169" fontId="7" fillId="0" borderId="5" xfId="0" applyNumberFormat="1" applyFont="1" applyBorder="1" applyAlignment="1">
      <alignment horizontal="right"/>
    </xf>
    <xf numFmtId="0" fontId="8" fillId="2" borderId="5" xfId="0" applyFont="1" applyFill="1" applyBorder="1" applyAlignment="1">
      <alignment horizontal="center" vertical="center" wrapText="1"/>
    </xf>
    <xf numFmtId="165" fontId="0" fillId="0" borderId="5" xfId="0" applyNumberFormat="1" applyBorder="1" applyAlignment="1">
      <alignment horizontal="center"/>
    </xf>
    <xf numFmtId="170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center"/>
    </xf>
    <xf numFmtId="167" fontId="0" fillId="0" borderId="5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8" fontId="0" fillId="0" borderId="5" xfId="0" applyNumberFormat="1" applyBorder="1" applyAlignment="1">
      <alignment horizontal="right"/>
    </xf>
    <xf numFmtId="0" fontId="7" fillId="0" borderId="5" xfId="0" applyFont="1" applyBorder="1"/>
    <xf numFmtId="0" fontId="8" fillId="2" borderId="5" xfId="0" applyFont="1" applyFill="1" applyBorder="1"/>
    <xf numFmtId="164" fontId="0" fillId="0" borderId="0" xfId="0" applyNumberFormat="1" applyAlignment="1">
      <alignment horizontal="right"/>
    </xf>
    <xf numFmtId="164" fontId="8" fillId="9" borderId="0" xfId="0" applyNumberFormat="1" applyFont="1" applyFill="1" applyAlignment="1">
      <alignment horizontal="right"/>
    </xf>
    <xf numFmtId="0" fontId="10" fillId="7" borderId="0" xfId="0" applyFont="1" applyFill="1" applyAlignment="1">
      <alignment horizontal="center" wrapText="1"/>
    </xf>
    <xf numFmtId="0" fontId="8" fillId="2" borderId="5" xfId="0" applyFont="1" applyFill="1" applyBorder="1" applyAlignment="1">
      <alignment horizontal="left"/>
    </xf>
    <xf numFmtId="164" fontId="8" fillId="2" borderId="5" xfId="0" applyNumberFormat="1" applyFont="1" applyFill="1" applyBorder="1" applyAlignment="1">
      <alignment horizontal="right"/>
    </xf>
    <xf numFmtId="9" fontId="0" fillId="0" borderId="0" xfId="0" applyNumberFormat="1" applyAlignment="1">
      <alignment horizontal="center"/>
    </xf>
    <xf numFmtId="171" fontId="0" fillId="0" borderId="5" xfId="0" applyNumberFormat="1" applyBorder="1" applyAlignment="1">
      <alignment horizontal="right"/>
    </xf>
    <xf numFmtId="171" fontId="8" fillId="2" borderId="5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center"/>
    </xf>
    <xf numFmtId="0" fontId="19" fillId="10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23" fillId="10" borderId="5" xfId="0" applyFont="1" applyFill="1" applyBorder="1" applyAlignment="1">
      <alignment horizontal="left" vertical="top" wrapText="1"/>
    </xf>
    <xf numFmtId="0" fontId="21" fillId="11" borderId="5" xfId="0" applyFont="1" applyFill="1" applyBorder="1" applyAlignment="1">
      <alignment horizontal="center" vertical="center" wrapText="1"/>
    </xf>
    <xf numFmtId="0" fontId="20" fillId="0" borderId="0" xfId="0" applyFont="1"/>
    <xf numFmtId="0" fontId="0" fillId="0" borderId="14" xfId="0" applyBorder="1"/>
    <xf numFmtId="0" fontId="23" fillId="0" borderId="0" xfId="0" applyFont="1"/>
    <xf numFmtId="0" fontId="20" fillId="0" borderId="14" xfId="0" applyFont="1" applyBorder="1"/>
    <xf numFmtId="0" fontId="25" fillId="4" borderId="1" xfId="0" applyFont="1" applyFill="1" applyBorder="1" applyAlignment="1">
      <alignment horizontal="center" vertical="center"/>
    </xf>
    <xf numFmtId="0" fontId="26" fillId="0" borderId="5" xfId="1" applyFont="1" applyBorder="1" applyAlignment="1">
      <alignment horizontal="center" vertical="center" wrapText="1"/>
    </xf>
    <xf numFmtId="0" fontId="28" fillId="14" borderId="0" xfId="0" applyFont="1" applyFill="1"/>
    <xf numFmtId="0" fontId="28" fillId="14" borderId="0" xfId="0" applyFont="1" applyFill="1" applyAlignment="1">
      <alignment horizontal="center"/>
    </xf>
    <xf numFmtId="0" fontId="29" fillId="14" borderId="0" xfId="0" applyFont="1" applyFill="1" applyAlignment="1">
      <alignment horizontal="center" wrapText="1"/>
    </xf>
    <xf numFmtId="0" fontId="31" fillId="15" borderId="0" xfId="0" applyFont="1" applyFill="1" applyAlignment="1">
      <alignment horizontal="center" vertical="center"/>
    </xf>
    <xf numFmtId="0" fontId="29" fillId="14" borderId="0" xfId="0" applyFont="1" applyFill="1" applyAlignment="1">
      <alignment horizontal="left" vertical="center"/>
    </xf>
    <xf numFmtId="0" fontId="29" fillId="14" borderId="0" xfId="2" applyFont="1" applyFill="1" applyAlignment="1">
      <alignment horizontal="center" vertical="center"/>
    </xf>
    <xf numFmtId="0" fontId="31" fillId="0" borderId="0" xfId="0" applyFont="1"/>
    <xf numFmtId="0" fontId="32" fillId="0" borderId="0" xfId="0" applyFont="1"/>
    <xf numFmtId="4" fontId="32" fillId="0" borderId="0" xfId="0" applyNumberFormat="1" applyFont="1"/>
    <xf numFmtId="0" fontId="33" fillId="0" borderId="0" xfId="0" applyFont="1"/>
    <xf numFmtId="0" fontId="33" fillId="0" borderId="0" xfId="0" applyFont="1" applyAlignment="1">
      <alignment horizontal="left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4" fillId="14" borderId="15" xfId="0" applyFont="1" applyFill="1" applyBorder="1" applyAlignment="1">
      <alignment horizontal="center" vertical="center" wrapText="1"/>
    </xf>
    <xf numFmtId="0" fontId="34" fillId="14" borderId="16" xfId="0" applyFont="1" applyFill="1" applyBorder="1" applyAlignment="1">
      <alignment horizontal="center" vertical="center" wrapText="1"/>
    </xf>
    <xf numFmtId="0" fontId="34" fillId="14" borderId="17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0" fillId="0" borderId="5" xfId="0" applyFont="1" applyBorder="1" applyAlignment="1">
      <alignment horizontal="left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left" vertical="top" wrapText="1"/>
    </xf>
    <xf numFmtId="0" fontId="7" fillId="1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2" fillId="12" borderId="5" xfId="0" applyFont="1" applyFill="1" applyBorder="1" applyAlignment="1">
      <alignment horizontal="left" vertical="center" wrapText="1"/>
    </xf>
    <xf numFmtId="0" fontId="20" fillId="12" borderId="5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9" fillId="1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/>
    <xf numFmtId="0" fontId="10" fillId="5" borderId="0" xfId="0" applyFont="1" applyFill="1"/>
    <xf numFmtId="0" fontId="0" fillId="0" borderId="18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6" borderId="0" xfId="0" applyFill="1"/>
    <xf numFmtId="0" fontId="12" fillId="0" borderId="0" xfId="0" applyFont="1"/>
    <xf numFmtId="0" fontId="11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3" xfId="0" applyBorder="1"/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8" fillId="2" borderId="5" xfId="0" applyFont="1" applyFill="1" applyBorder="1"/>
    <xf numFmtId="0" fontId="8" fillId="9" borderId="0" xfId="0" applyFont="1" applyFill="1" applyAlignment="1">
      <alignment horizontal="left"/>
    </xf>
    <xf numFmtId="0" fontId="7" fillId="0" borderId="0" xfId="0" applyFont="1"/>
    <xf numFmtId="4" fontId="29" fillId="14" borderId="0" xfId="0" applyNumberFormat="1" applyFont="1" applyFill="1" applyAlignment="1">
      <alignment horizontal="center" vertical="center"/>
    </xf>
  </cellXfs>
  <cellStyles count="3">
    <cellStyle name="Hipervínculo" xfId="1" builtinId="8"/>
    <cellStyle name="Normal" xfId="0" builtinId="0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2"/>
  <sheetViews>
    <sheetView workbookViewId="0">
      <selection sqref="A1:D1"/>
    </sheetView>
  </sheetViews>
  <sheetFormatPr baseColWidth="10" defaultColWidth="9.109375" defaultRowHeight="15.05" x14ac:dyDescent="0.3"/>
  <cols>
    <col min="1" max="1" width="18.33203125" customWidth="1"/>
    <col min="2" max="2" width="22.5546875" customWidth="1"/>
    <col min="3" max="3" width="46.6640625" customWidth="1"/>
    <col min="4" max="4" width="33.33203125" customWidth="1"/>
  </cols>
  <sheetData>
    <row r="1" spans="1:4" ht="29.95" customHeight="1" x14ac:dyDescent="0.3">
      <c r="A1" s="86" t="s">
        <v>0</v>
      </c>
      <c r="B1" s="87"/>
      <c r="C1" s="87"/>
      <c r="D1" s="87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3"/>
      <c r="B3" s="20" t="s">
        <v>5</v>
      </c>
      <c r="C3" s="3" t="s">
        <v>6</v>
      </c>
      <c r="D3" s="2" t="str">
        <f>HYPERLINK("#'D'!A1","IR A HOJA &gt;&gt;")</f>
        <v>IR A HOJA &gt;&gt;</v>
      </c>
    </row>
    <row r="4" spans="1:4" x14ac:dyDescent="0.3">
      <c r="A4" s="3"/>
      <c r="B4" s="54" t="s">
        <v>322</v>
      </c>
      <c r="C4" s="55" t="s">
        <v>321</v>
      </c>
      <c r="D4" s="66"/>
    </row>
    <row r="5" spans="1:4" x14ac:dyDescent="0.3">
      <c r="A5" s="3"/>
      <c r="B5" s="21" t="s">
        <v>7</v>
      </c>
      <c r="C5" s="4" t="s">
        <v>8</v>
      </c>
      <c r="D5" s="2" t="str">
        <f>HYPERLINK("#'D-SUM'!A1","IR A HOJA &gt;&gt;")</f>
        <v>IR A HOJA &gt;&gt;</v>
      </c>
    </row>
    <row r="6" spans="1:4" x14ac:dyDescent="0.3">
      <c r="A6" s="3"/>
      <c r="B6" s="21" t="s">
        <v>9</v>
      </c>
      <c r="C6" s="4" t="s">
        <v>10</v>
      </c>
      <c r="D6" s="2" t="str">
        <f>HYPERLINK("#'D-1'!A1","IR A HOJA &gt;&gt;")</f>
        <v>IR A HOJA &gt;&gt;</v>
      </c>
    </row>
    <row r="7" spans="1:4" x14ac:dyDescent="0.3">
      <c r="A7" s="3"/>
      <c r="B7" s="21" t="s">
        <v>11</v>
      </c>
      <c r="C7" s="4" t="s">
        <v>12</v>
      </c>
      <c r="D7" s="2" t="str">
        <f>HYPERLINK("#'D-1.1'!A1","IR A HOJA &gt;&gt;")</f>
        <v>IR A HOJA &gt;&gt;</v>
      </c>
    </row>
    <row r="8" spans="1:4" x14ac:dyDescent="0.3">
      <c r="A8" s="3"/>
      <c r="B8" s="21" t="s">
        <v>13</v>
      </c>
      <c r="C8" s="4" t="s">
        <v>14</v>
      </c>
      <c r="D8" s="2" t="str">
        <f>HYPERLINK("#'D-1.2'!A1","IR A HOJA &gt;&gt;")</f>
        <v>IR A HOJA &gt;&gt;</v>
      </c>
    </row>
    <row r="9" spans="1:4" x14ac:dyDescent="0.3">
      <c r="A9" s="3"/>
      <c r="B9" s="21" t="s">
        <v>15</v>
      </c>
      <c r="C9" s="4" t="s">
        <v>16</v>
      </c>
      <c r="D9" s="2" t="str">
        <f>HYPERLINK("#'D-2'!A1","IR A HOJA &gt;&gt;")</f>
        <v>IR A HOJA &gt;&gt;</v>
      </c>
    </row>
    <row r="10" spans="1:4" x14ac:dyDescent="0.3">
      <c r="A10" s="3"/>
      <c r="B10" s="21" t="s">
        <v>17</v>
      </c>
      <c r="C10" s="4" t="s">
        <v>18</v>
      </c>
      <c r="D10" s="2" t="str">
        <f>HYPERLINK("#'D-2.1'!A1","IR A HOJA &gt;&gt;")</f>
        <v>IR A HOJA &gt;&gt;</v>
      </c>
    </row>
    <row r="11" spans="1:4" x14ac:dyDescent="0.3">
      <c r="A11" s="3"/>
      <c r="B11" s="21" t="s">
        <v>19</v>
      </c>
      <c r="C11" s="4" t="s">
        <v>20</v>
      </c>
      <c r="D11" s="2" t="str">
        <f>HYPERLINK("#'D-2.2'!A1","IR A HOJA &gt;&gt;")</f>
        <v>IR A HOJA &gt;&gt;</v>
      </c>
    </row>
    <row r="12" spans="1:4" x14ac:dyDescent="0.3">
      <c r="A12" s="3"/>
      <c r="B12" s="21" t="s">
        <v>21</v>
      </c>
      <c r="C12" s="4" t="s">
        <v>22</v>
      </c>
      <c r="D12" s="2" t="str">
        <f>HYPERLINK("#'D-3'!A1","IR A HOJA &gt;&gt;")</f>
        <v>IR A HOJA &gt;&gt;</v>
      </c>
    </row>
    <row r="13" spans="1:4" x14ac:dyDescent="0.3">
      <c r="A13" s="3"/>
      <c r="B13" s="21" t="s">
        <v>23</v>
      </c>
      <c r="C13" s="4" t="s">
        <v>24</v>
      </c>
      <c r="D13" s="2" t="str">
        <f>HYPERLINK("#'D-4'!A1","IR A HOJA &gt;&gt;")</f>
        <v>IR A HOJA &gt;&gt;</v>
      </c>
    </row>
    <row r="14" spans="1:4" x14ac:dyDescent="0.3">
      <c r="A14" s="3"/>
      <c r="B14" s="21" t="s">
        <v>25</v>
      </c>
      <c r="C14" s="4" t="s">
        <v>26</v>
      </c>
      <c r="D14" s="2" t="str">
        <f>HYPERLINK("#'D-5'!A1","IR A HOJA &gt;&gt;")</f>
        <v>IR A HOJA &gt;&gt;</v>
      </c>
    </row>
    <row r="15" spans="1:4" x14ac:dyDescent="0.3">
      <c r="A15" s="3"/>
      <c r="B15" s="20"/>
      <c r="C15" s="3"/>
      <c r="D15" s="2"/>
    </row>
    <row r="16" spans="1:4" x14ac:dyDescent="0.3">
      <c r="A16" s="3"/>
      <c r="B16" s="21"/>
      <c r="C16" s="4"/>
      <c r="D16" s="2"/>
    </row>
    <row r="17" spans="1:4" x14ac:dyDescent="0.3">
      <c r="A17" s="3"/>
      <c r="B17" s="21"/>
      <c r="C17" s="4"/>
      <c r="D17" s="2"/>
    </row>
    <row r="18" spans="1:4" x14ac:dyDescent="0.3">
      <c r="A18" s="3"/>
      <c r="B18" s="21"/>
      <c r="C18" s="4"/>
      <c r="D18" s="2"/>
    </row>
    <row r="19" spans="1:4" x14ac:dyDescent="0.3">
      <c r="A19" s="3"/>
      <c r="B19" s="21"/>
      <c r="C19" s="4"/>
      <c r="D19" s="2"/>
    </row>
    <row r="20" spans="1:4" x14ac:dyDescent="0.3">
      <c r="A20" s="3"/>
      <c r="B20" s="21"/>
      <c r="C20" s="4"/>
      <c r="D20" s="2"/>
    </row>
    <row r="21" spans="1:4" x14ac:dyDescent="0.3">
      <c r="A21" s="3"/>
      <c r="B21" s="21"/>
      <c r="C21" s="4"/>
      <c r="D21" s="2"/>
    </row>
    <row r="22" spans="1:4" x14ac:dyDescent="0.3">
      <c r="A22" s="3"/>
      <c r="B22" s="21"/>
      <c r="C22" s="4"/>
      <c r="D22" s="2"/>
    </row>
    <row r="23" spans="1:4" x14ac:dyDescent="0.3">
      <c r="A23" s="3"/>
      <c r="B23" s="21"/>
      <c r="C23" s="4"/>
      <c r="D23" s="2"/>
    </row>
    <row r="24" spans="1:4" x14ac:dyDescent="0.3">
      <c r="A24" s="3"/>
      <c r="B24" s="21"/>
      <c r="C24" s="4"/>
      <c r="D24" s="2"/>
    </row>
    <row r="25" spans="1:4" x14ac:dyDescent="0.3">
      <c r="A25" s="3"/>
      <c r="B25" s="21"/>
      <c r="C25" s="4"/>
      <c r="D25" s="2"/>
    </row>
    <row r="26" spans="1:4" x14ac:dyDescent="0.3">
      <c r="A26" s="3"/>
      <c r="B26" s="21"/>
      <c r="C26" s="4"/>
      <c r="D26" s="2"/>
    </row>
    <row r="27" spans="1:4" x14ac:dyDescent="0.3">
      <c r="A27" s="3"/>
      <c r="B27" s="21"/>
      <c r="C27" s="4"/>
      <c r="D27" s="2"/>
    </row>
    <row r="28" spans="1:4" x14ac:dyDescent="0.3">
      <c r="A28" s="3"/>
      <c r="B28" s="21"/>
      <c r="C28" s="4"/>
      <c r="D28" s="2"/>
    </row>
    <row r="29" spans="1:4" x14ac:dyDescent="0.3">
      <c r="A29" s="3"/>
      <c r="B29" s="21"/>
      <c r="C29" s="4"/>
      <c r="D29" s="2"/>
    </row>
    <row r="30" spans="1:4" x14ac:dyDescent="0.3">
      <c r="A30" s="3"/>
      <c r="B30" s="21"/>
      <c r="C30" s="4"/>
      <c r="D30" s="2"/>
    </row>
    <row r="31" spans="1:4" x14ac:dyDescent="0.3">
      <c r="A31" s="3"/>
      <c r="B31" s="21"/>
      <c r="C31" s="4"/>
      <c r="D31" s="2"/>
    </row>
    <row r="32" spans="1:4" x14ac:dyDescent="0.3">
      <c r="A32" s="3"/>
      <c r="B32" s="21"/>
      <c r="C32" s="4"/>
      <c r="D32" s="2"/>
    </row>
    <row r="33" spans="1:4" x14ac:dyDescent="0.3">
      <c r="A33" s="3"/>
      <c r="B33" s="21"/>
      <c r="C33" s="4"/>
      <c r="D33" s="2"/>
    </row>
    <row r="34" spans="1:4" x14ac:dyDescent="0.3">
      <c r="A34" s="3"/>
      <c r="B34" s="21"/>
      <c r="C34" s="4"/>
      <c r="D34" s="2"/>
    </row>
    <row r="35" spans="1:4" x14ac:dyDescent="0.3">
      <c r="A35" s="3"/>
      <c r="B35" s="21"/>
      <c r="C35" s="4"/>
      <c r="D35" s="2"/>
    </row>
    <row r="36" spans="1:4" x14ac:dyDescent="0.3">
      <c r="A36" s="3"/>
      <c r="B36" s="21"/>
      <c r="C36" s="4"/>
      <c r="D36" s="2"/>
    </row>
    <row r="37" spans="1:4" x14ac:dyDescent="0.3">
      <c r="A37" s="3"/>
      <c r="B37" s="21"/>
      <c r="C37" s="4"/>
      <c r="D37" s="2"/>
    </row>
    <row r="38" spans="1:4" x14ac:dyDescent="0.3">
      <c r="A38" s="3"/>
      <c r="B38" s="21"/>
      <c r="C38" s="4"/>
      <c r="D38" s="2"/>
    </row>
    <row r="39" spans="1:4" x14ac:dyDescent="0.3">
      <c r="A39" s="3"/>
      <c r="B39" s="21"/>
      <c r="C39" s="4"/>
      <c r="D39" s="2"/>
    </row>
    <row r="40" spans="1:4" x14ac:dyDescent="0.3">
      <c r="A40" s="3"/>
      <c r="B40" s="21"/>
      <c r="C40" s="4"/>
      <c r="D40" s="2"/>
    </row>
    <row r="41" spans="1:4" x14ac:dyDescent="0.3">
      <c r="A41" s="3"/>
      <c r="B41" s="21"/>
      <c r="C41" s="4"/>
      <c r="D41" s="2"/>
    </row>
    <row r="42" spans="1:4" x14ac:dyDescent="0.3">
      <c r="A42" s="3"/>
      <c r="B42" s="21"/>
      <c r="C42" s="4"/>
      <c r="D42" s="2"/>
    </row>
    <row r="43" spans="1:4" x14ac:dyDescent="0.3">
      <c r="A43" s="3"/>
      <c r="B43" s="21"/>
      <c r="C43" s="4"/>
      <c r="D43" s="2"/>
    </row>
    <row r="44" spans="1:4" x14ac:dyDescent="0.3">
      <c r="A44" s="3"/>
      <c r="B44" s="21"/>
      <c r="C44" s="4"/>
      <c r="D44" s="2"/>
    </row>
    <row r="45" spans="1:4" x14ac:dyDescent="0.3">
      <c r="A45" s="3"/>
      <c r="B45" s="21"/>
      <c r="C45" s="4"/>
      <c r="D45" s="2"/>
    </row>
    <row r="46" spans="1:4" x14ac:dyDescent="0.3">
      <c r="A46" s="3"/>
      <c r="B46" s="20"/>
      <c r="C46" s="3"/>
      <c r="D46" s="2"/>
    </row>
    <row r="47" spans="1:4" x14ac:dyDescent="0.3">
      <c r="A47" s="3"/>
      <c r="B47" s="20"/>
      <c r="C47" s="3"/>
      <c r="D47" s="2"/>
    </row>
    <row r="48" spans="1:4" x14ac:dyDescent="0.3">
      <c r="A48" s="3"/>
      <c r="B48" s="20"/>
      <c r="C48" s="3"/>
      <c r="D48" s="2"/>
    </row>
    <row r="49" spans="1:4" x14ac:dyDescent="0.3">
      <c r="A49" s="3"/>
      <c r="B49" s="20"/>
      <c r="C49" s="3"/>
      <c r="D49" s="2"/>
    </row>
    <row r="50" spans="1:4" x14ac:dyDescent="0.3">
      <c r="A50" s="3"/>
      <c r="B50" s="20"/>
      <c r="C50" s="3"/>
      <c r="D50" s="2"/>
    </row>
    <row r="51" spans="1:4" x14ac:dyDescent="0.3">
      <c r="A51" s="3"/>
      <c r="B51" s="20"/>
      <c r="C51" s="3"/>
      <c r="D51" s="2"/>
    </row>
    <row r="52" spans="1:4" x14ac:dyDescent="0.3">
      <c r="A52" s="3"/>
      <c r="B52" s="20"/>
      <c r="C52" s="3"/>
      <c r="D52" s="2"/>
    </row>
    <row r="53" spans="1:4" x14ac:dyDescent="0.3">
      <c r="A53" s="3"/>
      <c r="B53" s="20"/>
      <c r="C53" s="3"/>
      <c r="D53" s="2"/>
    </row>
    <row r="54" spans="1:4" x14ac:dyDescent="0.3">
      <c r="A54" s="3"/>
      <c r="B54" s="20"/>
      <c r="C54" s="3"/>
      <c r="D54" s="2"/>
    </row>
    <row r="55" spans="1:4" x14ac:dyDescent="0.3">
      <c r="A55" s="3"/>
      <c r="B55" s="20"/>
      <c r="C55" s="3"/>
      <c r="D55" s="2"/>
    </row>
    <row r="56" spans="1:4" x14ac:dyDescent="0.3">
      <c r="A56" s="3"/>
      <c r="B56" s="20"/>
      <c r="C56" s="3"/>
      <c r="D56" s="2"/>
    </row>
    <row r="57" spans="1:4" x14ac:dyDescent="0.3">
      <c r="A57" s="3"/>
      <c r="B57" s="21"/>
      <c r="C57" s="4"/>
      <c r="D57" s="2"/>
    </row>
    <row r="58" spans="1:4" x14ac:dyDescent="0.3">
      <c r="A58" s="3"/>
      <c r="B58" s="21"/>
      <c r="C58" s="4"/>
      <c r="D58" s="2"/>
    </row>
    <row r="59" spans="1:4" x14ac:dyDescent="0.3">
      <c r="A59" s="3"/>
      <c r="B59" s="21"/>
      <c r="C59" s="4"/>
      <c r="D59" s="2"/>
    </row>
    <row r="60" spans="1:4" x14ac:dyDescent="0.3">
      <c r="A60" s="3"/>
      <c r="B60" s="21"/>
      <c r="C60" s="4"/>
      <c r="D60" s="2"/>
    </row>
    <row r="61" spans="1:4" x14ac:dyDescent="0.3">
      <c r="A61" s="3"/>
      <c r="B61" s="21"/>
      <c r="C61" s="4"/>
      <c r="D61" s="2"/>
    </row>
    <row r="62" spans="1:4" x14ac:dyDescent="0.3">
      <c r="A62" s="3"/>
      <c r="B62" s="21"/>
      <c r="C62" s="4"/>
      <c r="D62" s="2"/>
    </row>
    <row r="63" spans="1:4" x14ac:dyDescent="0.3">
      <c r="A63" s="3"/>
      <c r="B63" s="21"/>
      <c r="C63" s="4"/>
      <c r="D63" s="2"/>
    </row>
    <row r="64" spans="1:4" x14ac:dyDescent="0.3">
      <c r="A64" s="3"/>
      <c r="B64" s="21"/>
      <c r="C64" s="4"/>
      <c r="D64" s="2"/>
    </row>
    <row r="65" spans="1:4" x14ac:dyDescent="0.3">
      <c r="A65" s="3"/>
      <c r="B65" s="21"/>
      <c r="C65" s="4"/>
      <c r="D65" s="2"/>
    </row>
    <row r="66" spans="1:4" x14ac:dyDescent="0.3">
      <c r="A66" s="3"/>
      <c r="B66" s="21"/>
      <c r="C66" s="4"/>
      <c r="D66" s="2"/>
    </row>
    <row r="67" spans="1:4" x14ac:dyDescent="0.3">
      <c r="A67" s="3"/>
      <c r="B67" s="21"/>
      <c r="C67" s="4"/>
      <c r="D67" s="2"/>
    </row>
    <row r="68" spans="1:4" x14ac:dyDescent="0.3">
      <c r="A68" s="3"/>
      <c r="B68" s="21"/>
      <c r="C68" s="4"/>
      <c r="D68" s="2"/>
    </row>
    <row r="69" spans="1:4" x14ac:dyDescent="0.3">
      <c r="A69" s="3"/>
      <c r="B69" s="21"/>
      <c r="C69" s="4"/>
      <c r="D69" s="2"/>
    </row>
    <row r="70" spans="1:4" x14ac:dyDescent="0.3">
      <c r="A70" s="3"/>
      <c r="B70" s="21"/>
      <c r="C70" s="4"/>
      <c r="D70" s="2"/>
    </row>
    <row r="71" spans="1:4" x14ac:dyDescent="0.3">
      <c r="A71" s="3"/>
      <c r="B71" s="21"/>
      <c r="C71" s="4"/>
      <c r="D71" s="2"/>
    </row>
    <row r="72" spans="1:4" x14ac:dyDescent="0.3">
      <c r="A72" s="3"/>
      <c r="B72" s="21"/>
      <c r="C72" s="4"/>
      <c r="D72" s="2"/>
    </row>
    <row r="73" spans="1:4" x14ac:dyDescent="0.3">
      <c r="A73" s="3"/>
      <c r="B73" s="21"/>
      <c r="C73" s="4"/>
      <c r="D73" s="2"/>
    </row>
    <row r="74" spans="1:4" x14ac:dyDescent="0.3">
      <c r="A74" s="3"/>
      <c r="B74" s="21"/>
      <c r="C74" s="4"/>
      <c r="D74" s="2"/>
    </row>
    <row r="75" spans="1:4" x14ac:dyDescent="0.3">
      <c r="A75" s="3"/>
      <c r="B75" s="21"/>
      <c r="C75" s="4"/>
      <c r="D75" s="2"/>
    </row>
    <row r="76" spans="1:4" x14ac:dyDescent="0.3">
      <c r="A76" s="3"/>
      <c r="B76" s="21"/>
      <c r="C76" s="4"/>
      <c r="D76" s="2"/>
    </row>
    <row r="77" spans="1:4" x14ac:dyDescent="0.3">
      <c r="A77" s="3"/>
      <c r="B77" s="21"/>
      <c r="C77" s="4"/>
      <c r="D77" s="2"/>
    </row>
    <row r="78" spans="1:4" x14ac:dyDescent="0.3">
      <c r="A78" s="3"/>
      <c r="B78" s="21"/>
      <c r="C78" s="4"/>
      <c r="D78" s="2"/>
    </row>
    <row r="79" spans="1:4" x14ac:dyDescent="0.3">
      <c r="A79" s="3"/>
      <c r="B79" s="21"/>
      <c r="C79" s="4"/>
      <c r="D79" s="2"/>
    </row>
    <row r="80" spans="1:4" x14ac:dyDescent="0.3">
      <c r="A80" s="3"/>
      <c r="B80" s="21"/>
      <c r="C80" s="4"/>
      <c r="D80" s="2"/>
    </row>
    <row r="81" spans="1:4" x14ac:dyDescent="0.3">
      <c r="A81" s="3"/>
      <c r="B81" s="21"/>
      <c r="C81" s="4"/>
      <c r="D81" s="2"/>
    </row>
    <row r="82" spans="1:4" x14ac:dyDescent="0.3">
      <c r="A82" s="3"/>
      <c r="B82" s="21"/>
      <c r="C82" s="4"/>
      <c r="D82" s="2"/>
    </row>
    <row r="83" spans="1:4" x14ac:dyDescent="0.3">
      <c r="A83" s="3"/>
      <c r="B83" s="21"/>
      <c r="C83" s="4"/>
      <c r="D83" s="2"/>
    </row>
    <row r="84" spans="1:4" x14ac:dyDescent="0.3">
      <c r="A84" s="3"/>
      <c r="B84" s="21"/>
      <c r="C84" s="4"/>
      <c r="D84" s="2"/>
    </row>
    <row r="85" spans="1:4" x14ac:dyDescent="0.3">
      <c r="A85" s="3"/>
      <c r="B85" s="21"/>
      <c r="C85" s="4"/>
      <c r="D85" s="2"/>
    </row>
    <row r="86" spans="1:4" x14ac:dyDescent="0.3">
      <c r="A86" s="3"/>
      <c r="B86" s="21"/>
      <c r="C86" s="4"/>
      <c r="D86" s="2"/>
    </row>
    <row r="87" spans="1:4" x14ac:dyDescent="0.3">
      <c r="A87" s="3"/>
      <c r="B87" s="21"/>
      <c r="C87" s="4"/>
      <c r="D87" s="2"/>
    </row>
    <row r="88" spans="1:4" x14ac:dyDescent="0.3">
      <c r="A88" s="3"/>
      <c r="B88" s="21"/>
      <c r="C88" s="4"/>
      <c r="D88" s="2"/>
    </row>
    <row r="89" spans="1:4" x14ac:dyDescent="0.3">
      <c r="A89" s="3"/>
      <c r="B89" s="21"/>
      <c r="C89" s="4"/>
      <c r="D89" s="2"/>
    </row>
    <row r="90" spans="1:4" x14ac:dyDescent="0.3">
      <c r="A90" s="3"/>
      <c r="B90" s="21"/>
      <c r="C90" s="4"/>
      <c r="D90" s="2"/>
    </row>
    <row r="91" spans="1:4" x14ac:dyDescent="0.3">
      <c r="A91" s="3"/>
      <c r="B91" s="21"/>
      <c r="C91" s="4"/>
      <c r="D91" s="2"/>
    </row>
    <row r="92" spans="1:4" x14ac:dyDescent="0.3">
      <c r="A92" s="3"/>
      <c r="B92" s="21"/>
      <c r="C92" s="4"/>
      <c r="D92" s="2"/>
    </row>
    <row r="93" spans="1:4" x14ac:dyDescent="0.3">
      <c r="A93" s="3"/>
      <c r="B93" s="21"/>
      <c r="C93" s="4"/>
      <c r="D93" s="2"/>
    </row>
    <row r="94" spans="1:4" x14ac:dyDescent="0.3">
      <c r="A94" s="3"/>
      <c r="B94" s="21"/>
      <c r="C94" s="4"/>
      <c r="D94" s="2"/>
    </row>
    <row r="95" spans="1:4" x14ac:dyDescent="0.3">
      <c r="A95" s="3"/>
      <c r="B95" s="21"/>
      <c r="C95" s="4"/>
      <c r="D95" s="2"/>
    </row>
    <row r="96" spans="1:4" x14ac:dyDescent="0.3">
      <c r="A96" s="3"/>
      <c r="B96" s="21"/>
      <c r="C96" s="4"/>
      <c r="D96" s="2"/>
    </row>
    <row r="97" spans="1:4" x14ac:dyDescent="0.3">
      <c r="A97" s="3"/>
      <c r="B97" s="21"/>
      <c r="C97" s="4"/>
      <c r="D97" s="2"/>
    </row>
    <row r="98" spans="1:4" x14ac:dyDescent="0.3">
      <c r="A98" s="3"/>
      <c r="B98" s="21"/>
      <c r="C98" s="4"/>
      <c r="D98" s="2"/>
    </row>
    <row r="99" spans="1:4" x14ac:dyDescent="0.3">
      <c r="A99" s="3"/>
      <c r="B99" s="21"/>
      <c r="C99" s="4"/>
      <c r="D99" s="2"/>
    </row>
    <row r="100" spans="1:4" x14ac:dyDescent="0.3">
      <c r="A100" s="3"/>
      <c r="B100" s="21"/>
      <c r="C100" s="4"/>
      <c r="D100" s="2"/>
    </row>
    <row r="101" spans="1:4" x14ac:dyDescent="0.3">
      <c r="A101" s="3"/>
      <c r="B101" s="21"/>
      <c r="C101" s="4"/>
      <c r="D101" s="2"/>
    </row>
    <row r="102" spans="1:4" x14ac:dyDescent="0.3">
      <c r="A102" s="3"/>
      <c r="B102" s="21"/>
      <c r="C102" s="4"/>
      <c r="D102" s="2"/>
    </row>
    <row r="103" spans="1:4" x14ac:dyDescent="0.3">
      <c r="A103" s="3"/>
      <c r="B103" s="21"/>
      <c r="C103" s="4"/>
      <c r="D103" s="2"/>
    </row>
    <row r="104" spans="1:4" x14ac:dyDescent="0.3">
      <c r="A104" s="3"/>
      <c r="B104" s="21"/>
      <c r="C104" s="4"/>
      <c r="D104" s="2"/>
    </row>
    <row r="105" spans="1:4" x14ac:dyDescent="0.3">
      <c r="A105" s="3"/>
      <c r="B105" s="21"/>
      <c r="C105" s="4"/>
      <c r="D105" s="2"/>
    </row>
    <row r="106" spans="1:4" x14ac:dyDescent="0.3">
      <c r="A106" s="3"/>
      <c r="B106" s="21"/>
      <c r="C106" s="4"/>
      <c r="D106" s="2"/>
    </row>
    <row r="107" spans="1:4" x14ac:dyDescent="0.3">
      <c r="A107" s="3"/>
      <c r="B107" s="21"/>
      <c r="C107" s="4"/>
      <c r="D107" s="2"/>
    </row>
    <row r="108" spans="1:4" x14ac:dyDescent="0.3">
      <c r="A108" s="3"/>
      <c r="B108" s="21"/>
      <c r="C108" s="4"/>
      <c r="D108" s="2"/>
    </row>
    <row r="109" spans="1:4" x14ac:dyDescent="0.3">
      <c r="A109" s="3"/>
      <c r="B109" s="21"/>
      <c r="C109" s="4"/>
      <c r="D109" s="2"/>
    </row>
    <row r="110" spans="1:4" x14ac:dyDescent="0.3">
      <c r="A110" s="3"/>
      <c r="B110" s="21"/>
      <c r="C110" s="4"/>
      <c r="D110" s="2"/>
    </row>
    <row r="111" spans="1:4" x14ac:dyDescent="0.3">
      <c r="A111" s="3"/>
      <c r="B111" s="21"/>
      <c r="C111" s="4"/>
      <c r="D111" s="2"/>
    </row>
    <row r="112" spans="1:4" x14ac:dyDescent="0.3">
      <c r="A112" s="3"/>
      <c r="B112" s="21"/>
      <c r="C112" s="4"/>
      <c r="D112" s="2"/>
    </row>
    <row r="113" spans="1:4" x14ac:dyDescent="0.3">
      <c r="A113" s="3"/>
      <c r="B113" s="21"/>
      <c r="C113" s="4"/>
      <c r="D113" s="2"/>
    </row>
    <row r="114" spans="1:4" x14ac:dyDescent="0.3">
      <c r="A114" s="3"/>
      <c r="B114" s="21"/>
      <c r="C114" s="4"/>
      <c r="D114" s="2"/>
    </row>
    <row r="115" spans="1:4" x14ac:dyDescent="0.3">
      <c r="A115" s="3"/>
      <c r="B115" s="21"/>
      <c r="C115" s="4"/>
      <c r="D115" s="2"/>
    </row>
    <row r="116" spans="1:4" x14ac:dyDescent="0.3">
      <c r="A116" s="3"/>
      <c r="B116" s="21"/>
      <c r="C116" s="4"/>
      <c r="D116" s="2"/>
    </row>
    <row r="117" spans="1:4" x14ac:dyDescent="0.3">
      <c r="A117" s="3"/>
      <c r="B117" s="21"/>
      <c r="C117" s="4"/>
      <c r="D117" s="2"/>
    </row>
    <row r="118" spans="1:4" x14ac:dyDescent="0.3">
      <c r="A118" s="3"/>
      <c r="B118" s="21"/>
      <c r="C118" s="4"/>
      <c r="D118" s="2"/>
    </row>
    <row r="119" spans="1:4" x14ac:dyDescent="0.3">
      <c r="A119" s="3"/>
      <c r="B119" s="21"/>
      <c r="C119" s="4"/>
      <c r="D119" s="2"/>
    </row>
    <row r="120" spans="1:4" x14ac:dyDescent="0.3">
      <c r="A120" s="3"/>
      <c r="B120" s="21"/>
      <c r="C120" s="4"/>
      <c r="D120" s="2"/>
    </row>
    <row r="121" spans="1:4" x14ac:dyDescent="0.3">
      <c r="A121" s="3"/>
      <c r="B121" s="21"/>
      <c r="C121" s="4"/>
      <c r="D121" s="2"/>
    </row>
    <row r="122" spans="1:4" x14ac:dyDescent="0.3">
      <c r="A122" s="3"/>
      <c r="B122" s="21"/>
      <c r="C122" s="4"/>
      <c r="D122" s="2"/>
    </row>
    <row r="123" spans="1:4" x14ac:dyDescent="0.3">
      <c r="A123" s="3"/>
      <c r="B123" s="21"/>
      <c r="C123" s="4"/>
      <c r="D123" s="2"/>
    </row>
    <row r="124" spans="1:4" x14ac:dyDescent="0.3">
      <c r="A124" s="3"/>
      <c r="B124" s="21"/>
      <c r="C124" s="4"/>
      <c r="D124" s="2"/>
    </row>
    <row r="125" spans="1:4" x14ac:dyDescent="0.3">
      <c r="A125" s="3"/>
      <c r="B125" s="21"/>
      <c r="C125" s="4"/>
      <c r="D125" s="2"/>
    </row>
    <row r="126" spans="1:4" x14ac:dyDescent="0.3">
      <c r="A126" s="3"/>
      <c r="B126" s="21"/>
      <c r="C126" s="4"/>
      <c r="D126" s="2"/>
    </row>
    <row r="127" spans="1:4" x14ac:dyDescent="0.3">
      <c r="A127" s="3"/>
      <c r="B127" s="21"/>
      <c r="C127" s="4"/>
      <c r="D127" s="2"/>
    </row>
    <row r="128" spans="1:4" x14ac:dyDescent="0.3">
      <c r="A128" s="3"/>
      <c r="B128" s="21"/>
      <c r="C128" s="4"/>
      <c r="D128" s="2"/>
    </row>
    <row r="129" spans="1:4" x14ac:dyDescent="0.3">
      <c r="A129" s="3"/>
      <c r="B129" s="21"/>
      <c r="C129" s="4"/>
      <c r="D129" s="2"/>
    </row>
    <row r="130" spans="1:4" x14ac:dyDescent="0.3">
      <c r="A130" s="3"/>
      <c r="B130" s="21"/>
      <c r="C130" s="4"/>
      <c r="D130" s="2"/>
    </row>
    <row r="131" spans="1:4" x14ac:dyDescent="0.3">
      <c r="A131" s="3"/>
      <c r="B131" s="21"/>
      <c r="C131" s="4"/>
      <c r="D131" s="2"/>
    </row>
    <row r="132" spans="1:4" x14ac:dyDescent="0.3">
      <c r="A132" s="3"/>
      <c r="B132" s="21"/>
      <c r="C132" s="4"/>
      <c r="D132" s="2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I56"/>
  <sheetViews>
    <sheetView workbookViewId="0">
      <selection activeCell="A3" sqref="A3:G6"/>
    </sheetView>
  </sheetViews>
  <sheetFormatPr baseColWidth="10" defaultRowHeight="15.05" x14ac:dyDescent="0.3"/>
  <cols>
    <col min="1" max="1" width="7.109375" customWidth="1"/>
    <col min="3" max="3" width="45.33203125" customWidth="1"/>
    <col min="8" max="8" width="18.33203125" customWidth="1"/>
    <col min="9" max="9" width="12.6640625" customWidth="1"/>
  </cols>
  <sheetData>
    <row r="3" spans="1:9" ht="15.05" customHeight="1" x14ac:dyDescent="0.3">
      <c r="A3" s="88" t="s">
        <v>381</v>
      </c>
      <c r="B3" s="88"/>
      <c r="C3" s="88"/>
      <c r="D3" s="88"/>
      <c r="E3" s="88"/>
      <c r="F3" s="88"/>
      <c r="G3" s="88"/>
    </row>
    <row r="4" spans="1:9" ht="20.3" customHeight="1" x14ac:dyDescent="0.3">
      <c r="A4" s="88" t="s">
        <v>382</v>
      </c>
      <c r="B4" s="88"/>
      <c r="C4" s="88"/>
      <c r="D4" s="88"/>
      <c r="E4" s="88"/>
      <c r="F4" s="88"/>
      <c r="G4" s="88"/>
      <c r="I4" s="60" t="s">
        <v>322</v>
      </c>
    </row>
    <row r="5" spans="1:9" ht="15.05" customHeight="1" x14ac:dyDescent="0.3">
      <c r="A5" s="88" t="s">
        <v>383</v>
      </c>
      <c r="B5" s="88"/>
      <c r="C5" s="88"/>
      <c r="D5" s="88"/>
      <c r="E5" s="88"/>
      <c r="F5" s="88"/>
      <c r="G5" s="88"/>
    </row>
    <row r="6" spans="1:9" x14ac:dyDescent="0.3">
      <c r="A6" s="88" t="s">
        <v>384</v>
      </c>
      <c r="B6" s="88"/>
      <c r="C6" s="88"/>
      <c r="D6" s="88"/>
      <c r="E6" s="88"/>
      <c r="F6" s="88"/>
      <c r="G6" s="88"/>
    </row>
    <row r="7" spans="1:9" x14ac:dyDescent="0.3">
      <c r="A7" s="78"/>
    </row>
    <row r="8" spans="1:9" x14ac:dyDescent="0.3">
      <c r="H8" s="13" t="s">
        <v>30</v>
      </c>
      <c r="I8" s="13"/>
    </row>
    <row r="9" spans="1:9" x14ac:dyDescent="0.3">
      <c r="A9" s="91" t="s">
        <v>323</v>
      </c>
      <c r="B9" s="87"/>
      <c r="C9" s="87"/>
      <c r="D9" s="87"/>
      <c r="E9" s="87"/>
      <c r="F9" s="87"/>
      <c r="G9" s="87"/>
      <c r="H9" s="13" t="s">
        <v>27</v>
      </c>
      <c r="I9" s="13"/>
    </row>
    <row r="10" spans="1:9" x14ac:dyDescent="0.3">
      <c r="A10" s="95" t="s">
        <v>324</v>
      </c>
      <c r="B10" s="87"/>
      <c r="C10" s="87"/>
      <c r="D10" s="87"/>
      <c r="E10" s="87"/>
      <c r="F10" s="87"/>
      <c r="G10" s="87"/>
      <c r="H10" s="13" t="s">
        <v>43</v>
      </c>
      <c r="I10" s="13"/>
    </row>
    <row r="11" spans="1:9" x14ac:dyDescent="0.3">
      <c r="A11" s="96" t="s">
        <v>325</v>
      </c>
      <c r="B11" s="87"/>
      <c r="C11" s="87"/>
      <c r="D11" s="87"/>
      <c r="E11" s="87"/>
      <c r="F11" s="87"/>
      <c r="G11" s="87"/>
      <c r="H11" s="13" t="s">
        <v>44</v>
      </c>
      <c r="I11" s="13"/>
    </row>
    <row r="12" spans="1:9" x14ac:dyDescent="0.3">
      <c r="A12" s="95" t="s">
        <v>326</v>
      </c>
      <c r="B12" s="87"/>
      <c r="C12" s="87"/>
      <c r="D12" s="87"/>
      <c r="E12" s="87"/>
      <c r="F12" s="87"/>
      <c r="G12" s="87"/>
    </row>
    <row r="14" spans="1:9" x14ac:dyDescent="0.3">
      <c r="A14" s="91" t="s">
        <v>327</v>
      </c>
      <c r="B14" s="87"/>
      <c r="C14" s="87"/>
      <c r="D14" s="87"/>
      <c r="E14" s="87"/>
      <c r="F14" s="87"/>
      <c r="G14" s="87"/>
    </row>
    <row r="15" spans="1:9" x14ac:dyDescent="0.3">
      <c r="A15" s="90" t="s">
        <v>328</v>
      </c>
      <c r="B15" s="87"/>
      <c r="C15" s="87"/>
      <c r="D15" s="87"/>
      <c r="E15" s="87"/>
      <c r="F15" s="87"/>
      <c r="G15" s="87"/>
    </row>
    <row r="16" spans="1:9" x14ac:dyDescent="0.3">
      <c r="A16" s="87"/>
      <c r="B16" s="87"/>
      <c r="C16" s="87"/>
      <c r="D16" s="87"/>
      <c r="E16" s="87"/>
      <c r="F16" s="87"/>
      <c r="G16" s="87"/>
    </row>
    <row r="18" spans="1:7" x14ac:dyDescent="0.3">
      <c r="A18" s="91" t="s">
        <v>329</v>
      </c>
      <c r="B18" s="87"/>
      <c r="C18" s="87"/>
      <c r="D18" s="87"/>
      <c r="E18" s="87"/>
      <c r="F18" s="87"/>
      <c r="G18" s="87"/>
    </row>
    <row r="19" spans="1:7" x14ac:dyDescent="0.3">
      <c r="A19" s="90" t="s">
        <v>330</v>
      </c>
      <c r="B19" s="87"/>
      <c r="C19" s="87"/>
      <c r="D19" s="87"/>
      <c r="E19" s="87"/>
      <c r="F19" s="87"/>
      <c r="G19" s="87"/>
    </row>
    <row r="20" spans="1:7" x14ac:dyDescent="0.3">
      <c r="A20" s="90" t="s">
        <v>331</v>
      </c>
      <c r="B20" s="87"/>
      <c r="C20" s="87"/>
      <c r="D20" s="87"/>
      <c r="E20" s="87"/>
      <c r="F20" s="87"/>
      <c r="G20" s="87"/>
    </row>
    <row r="21" spans="1:7" x14ac:dyDescent="0.3">
      <c r="A21" s="90" t="s">
        <v>332</v>
      </c>
      <c r="B21" s="87"/>
      <c r="C21" s="87"/>
      <c r="D21" s="87"/>
      <c r="E21" s="87"/>
      <c r="F21" s="87"/>
      <c r="G21" s="87"/>
    </row>
    <row r="22" spans="1:7" x14ac:dyDescent="0.3">
      <c r="A22" s="90" t="s">
        <v>333</v>
      </c>
      <c r="B22" s="87"/>
      <c r="C22" s="87"/>
      <c r="D22" s="87"/>
      <c r="E22" s="87"/>
      <c r="F22" s="87"/>
      <c r="G22" s="87"/>
    </row>
    <row r="23" spans="1:7" x14ac:dyDescent="0.3">
      <c r="A23" s="90" t="s">
        <v>334</v>
      </c>
      <c r="B23" s="87"/>
      <c r="C23" s="87"/>
      <c r="D23" s="87"/>
      <c r="E23" s="87"/>
      <c r="F23" s="87"/>
      <c r="G23" s="87"/>
    </row>
    <row r="24" spans="1:7" x14ac:dyDescent="0.3">
      <c r="A24" s="90" t="s">
        <v>335</v>
      </c>
      <c r="B24" s="87"/>
      <c r="C24" s="87"/>
      <c r="D24" s="87"/>
      <c r="E24" s="87"/>
      <c r="F24" s="87"/>
      <c r="G24" s="87"/>
    </row>
    <row r="25" spans="1:7" x14ac:dyDescent="0.3">
      <c r="A25" s="90" t="s">
        <v>336</v>
      </c>
      <c r="B25" s="87"/>
      <c r="C25" s="87"/>
      <c r="D25" s="87"/>
      <c r="E25" s="87"/>
      <c r="F25" s="87"/>
      <c r="G25" s="87"/>
    </row>
    <row r="27" spans="1:7" ht="30.15" x14ac:dyDescent="0.3">
      <c r="A27" s="56" t="s">
        <v>29</v>
      </c>
      <c r="B27" s="56" t="s">
        <v>337</v>
      </c>
      <c r="C27" s="56" t="s">
        <v>338</v>
      </c>
      <c r="D27" s="56" t="s">
        <v>50</v>
      </c>
      <c r="E27" s="56" t="s">
        <v>46</v>
      </c>
      <c r="F27" s="56" t="s">
        <v>339</v>
      </c>
      <c r="G27" s="56" t="s">
        <v>46</v>
      </c>
    </row>
    <row r="28" spans="1:7" ht="39.799999999999997" customHeight="1" x14ac:dyDescent="0.3">
      <c r="A28" s="57">
        <v>1</v>
      </c>
      <c r="B28" s="58" t="s">
        <v>7</v>
      </c>
      <c r="C28" s="59" t="s">
        <v>340</v>
      </c>
      <c r="D28" s="13"/>
      <c r="E28" s="13"/>
      <c r="F28" s="13"/>
      <c r="G28" s="13"/>
    </row>
    <row r="29" spans="1:7" ht="55" customHeight="1" x14ac:dyDescent="0.3">
      <c r="A29" s="57">
        <v>2</v>
      </c>
      <c r="B29" s="58" t="s">
        <v>9</v>
      </c>
      <c r="C29" s="59" t="s">
        <v>341</v>
      </c>
      <c r="D29" s="13"/>
      <c r="E29" s="13"/>
      <c r="F29" s="13"/>
      <c r="G29" s="13"/>
    </row>
    <row r="30" spans="1:7" ht="55" customHeight="1" x14ac:dyDescent="0.3">
      <c r="A30" s="57">
        <v>3</v>
      </c>
      <c r="B30" s="58" t="s">
        <v>11</v>
      </c>
      <c r="C30" s="59" t="s">
        <v>342</v>
      </c>
      <c r="D30" s="13"/>
      <c r="E30" s="13"/>
      <c r="F30" s="13"/>
      <c r="G30" s="13"/>
    </row>
    <row r="31" spans="1:7" ht="63" customHeight="1" x14ac:dyDescent="0.3">
      <c r="A31" s="57">
        <v>4</v>
      </c>
      <c r="B31" s="58" t="s">
        <v>13</v>
      </c>
      <c r="C31" s="59" t="s">
        <v>343</v>
      </c>
      <c r="D31" s="13"/>
      <c r="E31" s="13"/>
      <c r="F31" s="13"/>
      <c r="G31" s="13"/>
    </row>
    <row r="32" spans="1:7" ht="55" customHeight="1" x14ac:dyDescent="0.3">
      <c r="A32" s="57">
        <v>5</v>
      </c>
      <c r="B32" s="58" t="s">
        <v>15</v>
      </c>
      <c r="C32" s="59" t="s">
        <v>344</v>
      </c>
      <c r="D32" s="13"/>
      <c r="E32" s="13"/>
      <c r="F32" s="13"/>
      <c r="G32" s="13"/>
    </row>
    <row r="33" spans="1:7" ht="64.5" customHeight="1" x14ac:dyDescent="0.3">
      <c r="A33" s="57">
        <v>6</v>
      </c>
      <c r="B33" s="58" t="s">
        <v>17</v>
      </c>
      <c r="C33" s="59" t="s">
        <v>345</v>
      </c>
      <c r="D33" s="13"/>
      <c r="E33" s="13"/>
      <c r="F33" s="13"/>
      <c r="G33" s="13"/>
    </row>
    <row r="34" spans="1:7" ht="55" customHeight="1" x14ac:dyDescent="0.3">
      <c r="A34" s="57">
        <v>7</v>
      </c>
      <c r="B34" s="58" t="s">
        <v>19</v>
      </c>
      <c r="C34" s="59" t="s">
        <v>346</v>
      </c>
      <c r="D34" s="13"/>
      <c r="E34" s="13"/>
      <c r="F34" s="13"/>
      <c r="G34" s="13"/>
    </row>
    <row r="35" spans="1:7" ht="62.2" customHeight="1" x14ac:dyDescent="0.3">
      <c r="A35" s="57">
        <v>8</v>
      </c>
      <c r="B35" s="58" t="s">
        <v>21</v>
      </c>
      <c r="C35" s="59" t="s">
        <v>347</v>
      </c>
      <c r="D35" s="13"/>
      <c r="E35" s="13"/>
      <c r="F35" s="13"/>
      <c r="G35" s="13"/>
    </row>
    <row r="36" spans="1:7" ht="60.75" customHeight="1" x14ac:dyDescent="0.3">
      <c r="A36" s="57">
        <v>9</v>
      </c>
      <c r="B36" s="58" t="s">
        <v>23</v>
      </c>
      <c r="C36" s="59" t="s">
        <v>348</v>
      </c>
      <c r="D36" s="13"/>
      <c r="E36" s="13"/>
      <c r="F36" s="13"/>
      <c r="G36" s="13"/>
    </row>
    <row r="37" spans="1:7" ht="69.05" customHeight="1" x14ac:dyDescent="0.3">
      <c r="A37" s="57">
        <v>10</v>
      </c>
      <c r="B37" s="58" t="s">
        <v>25</v>
      </c>
      <c r="C37" s="59" t="s">
        <v>349</v>
      </c>
      <c r="D37" s="13"/>
      <c r="E37" s="13"/>
      <c r="F37" s="13"/>
      <c r="G37" s="13"/>
    </row>
    <row r="38" spans="1:7" ht="55" customHeight="1" x14ac:dyDescent="0.3">
      <c r="A38" s="57">
        <v>11</v>
      </c>
      <c r="B38" s="58" t="s">
        <v>350</v>
      </c>
      <c r="C38" s="59" t="s">
        <v>351</v>
      </c>
      <c r="D38" s="13"/>
      <c r="E38" s="13"/>
      <c r="F38" s="13"/>
      <c r="G38" s="13"/>
    </row>
    <row r="39" spans="1:7" ht="55" customHeight="1" x14ac:dyDescent="0.3">
      <c r="A39" s="57">
        <v>12</v>
      </c>
      <c r="B39" s="58" t="s">
        <v>352</v>
      </c>
      <c r="C39" s="59" t="s">
        <v>353</v>
      </c>
      <c r="D39" s="13"/>
      <c r="E39" s="13"/>
      <c r="F39" s="13"/>
      <c r="G39" s="13"/>
    </row>
    <row r="40" spans="1:7" ht="55" customHeight="1" x14ac:dyDescent="0.3">
      <c r="A40" s="57">
        <v>13</v>
      </c>
      <c r="B40" s="58" t="s">
        <v>354</v>
      </c>
      <c r="C40" s="59" t="s">
        <v>355</v>
      </c>
      <c r="D40" s="13"/>
      <c r="E40" s="13"/>
      <c r="F40" s="13"/>
      <c r="G40" s="13"/>
    </row>
    <row r="41" spans="1:7" ht="55" customHeight="1" x14ac:dyDescent="0.3">
      <c r="A41" s="57">
        <v>14</v>
      </c>
      <c r="B41" s="58" t="s">
        <v>356</v>
      </c>
      <c r="C41" s="59" t="s">
        <v>357</v>
      </c>
      <c r="D41" s="13"/>
      <c r="E41" s="13"/>
      <c r="F41" s="13"/>
      <c r="G41" s="13"/>
    </row>
    <row r="42" spans="1:7" ht="55" customHeight="1" x14ac:dyDescent="0.3">
      <c r="A42" s="57">
        <v>15</v>
      </c>
      <c r="B42" s="58" t="s">
        <v>358</v>
      </c>
      <c r="C42" s="59" t="s">
        <v>359</v>
      </c>
      <c r="D42" s="13"/>
      <c r="E42" s="13"/>
      <c r="F42" s="13"/>
      <c r="G42" s="13"/>
    </row>
    <row r="45" spans="1:7" x14ac:dyDescent="0.3">
      <c r="A45" s="91" t="s">
        <v>360</v>
      </c>
      <c r="B45" s="87"/>
      <c r="C45" s="87"/>
      <c r="D45" s="87"/>
      <c r="E45" s="87"/>
      <c r="F45" s="87"/>
      <c r="G45" s="87"/>
    </row>
    <row r="46" spans="1:7" x14ac:dyDescent="0.3">
      <c r="A46" s="92" t="s">
        <v>361</v>
      </c>
      <c r="B46" s="87"/>
      <c r="C46" s="87"/>
      <c r="D46" s="87"/>
      <c r="E46" s="87"/>
      <c r="F46" s="87"/>
      <c r="G46" s="87"/>
    </row>
    <row r="47" spans="1:7" x14ac:dyDescent="0.3">
      <c r="A47" s="87"/>
      <c r="B47" s="87"/>
      <c r="C47" s="87"/>
      <c r="D47" s="87"/>
      <c r="E47" s="87"/>
      <c r="F47" s="87"/>
      <c r="G47" s="87"/>
    </row>
    <row r="48" spans="1:7" x14ac:dyDescent="0.3">
      <c r="A48" s="87"/>
      <c r="B48" s="87"/>
      <c r="C48" s="87"/>
      <c r="D48" s="87"/>
      <c r="E48" s="87"/>
      <c r="F48" s="87"/>
      <c r="G48" s="87"/>
    </row>
    <row r="49" spans="1:7" x14ac:dyDescent="0.3">
      <c r="A49" s="87"/>
      <c r="B49" s="87"/>
      <c r="C49" s="87"/>
      <c r="D49" s="87"/>
      <c r="E49" s="87"/>
      <c r="F49" s="87"/>
      <c r="G49" s="87"/>
    </row>
    <row r="51" spans="1:7" x14ac:dyDescent="0.3">
      <c r="A51" s="93" t="s">
        <v>362</v>
      </c>
      <c r="B51" s="87"/>
      <c r="C51" s="87"/>
      <c r="D51" s="87"/>
      <c r="E51" s="93" t="s">
        <v>363</v>
      </c>
      <c r="F51" s="87"/>
      <c r="G51" s="87"/>
    </row>
    <row r="52" spans="1:7" x14ac:dyDescent="0.3">
      <c r="A52" s="94" t="s">
        <v>364</v>
      </c>
      <c r="B52" s="87"/>
      <c r="C52" s="87"/>
      <c r="D52" s="87"/>
      <c r="E52" s="94" t="s">
        <v>364</v>
      </c>
      <c r="F52" s="87"/>
      <c r="G52" s="87"/>
    </row>
    <row r="53" spans="1:7" x14ac:dyDescent="0.3">
      <c r="A53" s="87"/>
      <c r="B53" s="87"/>
      <c r="C53" s="87"/>
      <c r="D53" s="87"/>
      <c r="E53" s="87"/>
      <c r="F53" s="87"/>
      <c r="G53" s="87"/>
    </row>
    <row r="54" spans="1:7" x14ac:dyDescent="0.3">
      <c r="A54" s="87"/>
      <c r="B54" s="87"/>
      <c r="C54" s="87"/>
      <c r="D54" s="87"/>
      <c r="E54" s="87"/>
      <c r="F54" s="87"/>
      <c r="G54" s="87"/>
    </row>
    <row r="56" spans="1:7" x14ac:dyDescent="0.3">
      <c r="A56" s="89" t="s">
        <v>365</v>
      </c>
      <c r="B56" s="87"/>
      <c r="C56" s="87"/>
      <c r="D56" s="87"/>
      <c r="E56" s="87"/>
      <c r="F56" s="87"/>
      <c r="G56" s="87"/>
    </row>
  </sheetData>
  <mergeCells count="25">
    <mergeCell ref="A14:G14"/>
    <mergeCell ref="A15:G16"/>
    <mergeCell ref="A18:G18"/>
    <mergeCell ref="A19:G19"/>
    <mergeCell ref="A3:G3"/>
    <mergeCell ref="A4:G4"/>
    <mergeCell ref="A5:G5"/>
    <mergeCell ref="A9:G9"/>
    <mergeCell ref="A10:G10"/>
    <mergeCell ref="A6:G6"/>
    <mergeCell ref="A56:G56"/>
    <mergeCell ref="A21:G21"/>
    <mergeCell ref="A22:G22"/>
    <mergeCell ref="A23:G23"/>
    <mergeCell ref="A24:G24"/>
    <mergeCell ref="A25:G25"/>
    <mergeCell ref="A45:G45"/>
    <mergeCell ref="A46:G49"/>
    <mergeCell ref="A51:D51"/>
    <mergeCell ref="E51:G51"/>
    <mergeCell ref="A52:D54"/>
    <mergeCell ref="E52:G54"/>
    <mergeCell ref="A20:G20"/>
    <mergeCell ref="A11:G11"/>
    <mergeCell ref="A12:G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3:H55"/>
  <sheetViews>
    <sheetView workbookViewId="0"/>
  </sheetViews>
  <sheetFormatPr baseColWidth="10" defaultColWidth="9.109375" defaultRowHeight="15.05" x14ac:dyDescent="0.3"/>
  <cols>
    <col min="1" max="1" width="5.44140625" customWidth="1"/>
    <col min="2" max="2" width="46.88671875" customWidth="1"/>
    <col min="3" max="3" width="34.6640625" customWidth="1"/>
    <col min="4" max="4" width="11.6640625" customWidth="1"/>
    <col min="5" max="5" width="16.5546875" customWidth="1"/>
    <col min="7" max="7" width="17.109375" customWidth="1"/>
    <col min="8" max="8" width="11.5546875" customWidth="1"/>
  </cols>
  <sheetData>
    <row r="3" spans="1:8" x14ac:dyDescent="0.3">
      <c r="A3" s="107"/>
      <c r="B3" s="87"/>
      <c r="C3" s="87"/>
      <c r="D3" s="87"/>
      <c r="E3" s="87"/>
      <c r="F3" s="87"/>
    </row>
    <row r="4" spans="1:8" x14ac:dyDescent="0.3">
      <c r="A4" s="22"/>
    </row>
    <row r="5" spans="1:8" ht="20.95" customHeight="1" x14ac:dyDescent="0.3">
      <c r="A5" s="88" t="s">
        <v>381</v>
      </c>
      <c r="B5" s="88"/>
      <c r="C5" s="88"/>
      <c r="D5" s="88"/>
      <c r="E5" s="88"/>
      <c r="F5" s="88"/>
      <c r="G5" s="88"/>
      <c r="H5" s="20" t="s">
        <v>5</v>
      </c>
    </row>
    <row r="6" spans="1:8" x14ac:dyDescent="0.3">
      <c r="A6" s="88" t="s">
        <v>382</v>
      </c>
      <c r="B6" s="88"/>
      <c r="C6" s="88"/>
      <c r="D6" s="88"/>
      <c r="E6" s="88"/>
      <c r="F6" s="88"/>
      <c r="G6" s="88"/>
    </row>
    <row r="7" spans="1:8" x14ac:dyDescent="0.3">
      <c r="A7" s="88" t="s">
        <v>383</v>
      </c>
      <c r="B7" s="88"/>
      <c r="C7" s="88"/>
      <c r="D7" s="88"/>
      <c r="E7" s="88"/>
      <c r="F7" s="88"/>
      <c r="G7" s="88"/>
    </row>
    <row r="8" spans="1:8" x14ac:dyDescent="0.3">
      <c r="A8" s="88" t="s">
        <v>384</v>
      </c>
      <c r="B8" s="88"/>
      <c r="C8" s="88"/>
      <c r="D8" s="88"/>
      <c r="E8" s="88"/>
      <c r="F8" s="88"/>
      <c r="G8" s="88"/>
    </row>
    <row r="9" spans="1:8" x14ac:dyDescent="0.3">
      <c r="G9" s="14" t="s">
        <v>30</v>
      </c>
      <c r="H9" s="13"/>
    </row>
    <row r="10" spans="1:8" x14ac:dyDescent="0.3">
      <c r="G10" s="14" t="s">
        <v>27</v>
      </c>
      <c r="H10" s="13"/>
    </row>
    <row r="11" spans="1:8" ht="15.05" customHeight="1" x14ac:dyDescent="0.3">
      <c r="B11" s="108" t="s">
        <v>297</v>
      </c>
      <c r="C11" s="109"/>
      <c r="D11" s="109"/>
      <c r="E11" s="109"/>
      <c r="G11" s="14" t="s">
        <v>43</v>
      </c>
      <c r="H11" s="13"/>
    </row>
    <row r="12" spans="1:8" x14ac:dyDescent="0.3">
      <c r="G12" s="14" t="s">
        <v>44</v>
      </c>
      <c r="H12" s="13"/>
    </row>
    <row r="13" spans="1:8" x14ac:dyDescent="0.3">
      <c r="A13" s="7"/>
      <c r="B13" s="105"/>
      <c r="C13" s="106"/>
      <c r="D13" s="106"/>
      <c r="E13" s="106"/>
    </row>
    <row r="14" spans="1:8" x14ac:dyDescent="0.3">
      <c r="A14" s="7" t="s">
        <v>47</v>
      </c>
    </row>
    <row r="15" spans="1:8" x14ac:dyDescent="0.3">
      <c r="A15" s="97"/>
      <c r="B15" s="98"/>
      <c r="C15" s="98"/>
      <c r="D15" s="98"/>
      <c r="E15" s="99"/>
    </row>
    <row r="16" spans="1:8" x14ac:dyDescent="0.3">
      <c r="A16" s="100"/>
      <c r="B16" s="87"/>
      <c r="C16" s="87"/>
      <c r="D16" s="87"/>
      <c r="E16" s="101"/>
    </row>
    <row r="17" spans="1:5" x14ac:dyDescent="0.3">
      <c r="A17" s="100"/>
      <c r="B17" s="87"/>
      <c r="C17" s="87"/>
      <c r="D17" s="87"/>
      <c r="E17" s="101"/>
    </row>
    <row r="18" spans="1:5" x14ac:dyDescent="0.3">
      <c r="A18" s="100"/>
      <c r="B18" s="87"/>
      <c r="C18" s="87"/>
      <c r="D18" s="87"/>
      <c r="E18" s="101"/>
    </row>
    <row r="19" spans="1:5" x14ac:dyDescent="0.3">
      <c r="A19" s="100"/>
      <c r="B19" s="87"/>
      <c r="C19" s="87"/>
      <c r="D19" s="87"/>
      <c r="E19" s="101"/>
    </row>
    <row r="20" spans="1:5" x14ac:dyDescent="0.3">
      <c r="A20" s="102"/>
      <c r="B20" s="103"/>
      <c r="C20" s="103"/>
      <c r="D20" s="103"/>
      <c r="E20" s="104"/>
    </row>
    <row r="22" spans="1:5" x14ac:dyDescent="0.3">
      <c r="A22" s="7" t="s">
        <v>48</v>
      </c>
    </row>
    <row r="23" spans="1:5" x14ac:dyDescent="0.3">
      <c r="A23" s="15" t="s">
        <v>29</v>
      </c>
      <c r="B23" s="15" t="s">
        <v>45</v>
      </c>
      <c r="C23" s="15" t="s">
        <v>49</v>
      </c>
      <c r="D23" s="15" t="s">
        <v>34</v>
      </c>
      <c r="E23" s="15" t="s">
        <v>50</v>
      </c>
    </row>
    <row r="24" spans="1:5" x14ac:dyDescent="0.3">
      <c r="A24" s="11"/>
      <c r="B24" s="12"/>
      <c r="C24" s="12"/>
      <c r="D24" s="12"/>
      <c r="E24" s="12"/>
    </row>
    <row r="25" spans="1:5" x14ac:dyDescent="0.3">
      <c r="A25" s="11"/>
      <c r="B25" s="12"/>
      <c r="C25" s="12"/>
      <c r="D25" s="12"/>
      <c r="E25" s="12"/>
    </row>
    <row r="26" spans="1:5" x14ac:dyDescent="0.3">
      <c r="A26" s="11"/>
      <c r="B26" s="12"/>
      <c r="C26" s="12"/>
      <c r="D26" s="12"/>
      <c r="E26" s="12"/>
    </row>
    <row r="27" spans="1:5" x14ac:dyDescent="0.3">
      <c r="A27" s="11"/>
      <c r="B27" s="12"/>
      <c r="C27" s="12"/>
      <c r="D27" s="12"/>
      <c r="E27" s="12"/>
    </row>
    <row r="28" spans="1:5" x14ac:dyDescent="0.3">
      <c r="A28" s="11"/>
      <c r="B28" s="12"/>
      <c r="C28" s="12"/>
      <c r="D28" s="12"/>
      <c r="E28" s="12"/>
    </row>
    <row r="29" spans="1:5" x14ac:dyDescent="0.3">
      <c r="A29" s="11"/>
      <c r="B29" s="12"/>
      <c r="C29" s="12"/>
      <c r="D29" s="12"/>
      <c r="E29" s="12"/>
    </row>
    <row r="30" spans="1:5" x14ac:dyDescent="0.3">
      <c r="A30" s="11"/>
      <c r="B30" s="12"/>
      <c r="C30" s="12"/>
      <c r="D30" s="12"/>
      <c r="E30" s="12"/>
    </row>
    <row r="31" spans="1:5" x14ac:dyDescent="0.3">
      <c r="A31" s="11"/>
      <c r="B31" s="12"/>
      <c r="C31" s="12"/>
      <c r="D31" s="12"/>
      <c r="E31" s="12"/>
    </row>
    <row r="32" spans="1:5" x14ac:dyDescent="0.3">
      <c r="A32" s="11"/>
      <c r="B32" s="12"/>
      <c r="C32" s="12"/>
      <c r="D32" s="12"/>
      <c r="E32" s="12"/>
    </row>
    <row r="33" spans="1:7" x14ac:dyDescent="0.3">
      <c r="A33" s="11"/>
      <c r="B33" s="12"/>
      <c r="C33" s="12"/>
      <c r="D33" s="12"/>
      <c r="E33" s="12"/>
    </row>
    <row r="43" spans="1:7" x14ac:dyDescent="0.3">
      <c r="B43" s="64" t="s">
        <v>366</v>
      </c>
      <c r="D43" s="61" t="s">
        <v>367</v>
      </c>
      <c r="E43" s="62"/>
      <c r="F43" s="62"/>
      <c r="G43" s="62"/>
    </row>
    <row r="44" spans="1:7" x14ac:dyDescent="0.3">
      <c r="B44" s="63" t="s">
        <v>368</v>
      </c>
      <c r="D44" s="63" t="s">
        <v>368</v>
      </c>
    </row>
    <row r="55" spans="1:1" x14ac:dyDescent="0.3">
      <c r="A55" s="6" t="str">
        <f>HYPERLINK("#'INDICE'!A34","&lt;&lt; Volver al Indice")</f>
        <v>&lt;&lt; Volver al Indice</v>
      </c>
    </row>
  </sheetData>
  <mergeCells count="8">
    <mergeCell ref="A15:E20"/>
    <mergeCell ref="B13:E13"/>
    <mergeCell ref="A3:F3"/>
    <mergeCell ref="B11:E11"/>
    <mergeCell ref="A5:G5"/>
    <mergeCell ref="A6:G6"/>
    <mergeCell ref="A7:G7"/>
    <mergeCell ref="A8:G8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I48"/>
  <sheetViews>
    <sheetView tabSelected="1" workbookViewId="0">
      <selection activeCell="D20" sqref="D20"/>
    </sheetView>
  </sheetViews>
  <sheetFormatPr baseColWidth="10" defaultColWidth="9.109375" defaultRowHeight="15.05" x14ac:dyDescent="0.3"/>
  <cols>
    <col min="2" max="2" width="35.6640625" customWidth="1"/>
    <col min="3" max="3" width="16.33203125" customWidth="1"/>
    <col min="4" max="4" width="14.44140625" customWidth="1"/>
    <col min="5" max="5" width="15.88671875" customWidth="1"/>
    <col min="6" max="6" width="20.44140625" customWidth="1"/>
    <col min="8" max="8" width="16.88671875" customWidth="1"/>
    <col min="9" max="9" width="11.5546875" customWidth="1"/>
  </cols>
  <sheetData>
    <row r="3" spans="1:9" x14ac:dyDescent="0.3">
      <c r="A3" s="107"/>
      <c r="B3" s="87"/>
      <c r="C3" s="87"/>
      <c r="D3" s="87"/>
      <c r="E3" s="87"/>
      <c r="F3" s="87"/>
    </row>
    <row r="4" spans="1:9" ht="25.55" customHeight="1" x14ac:dyDescent="0.3">
      <c r="A4" s="88" t="s">
        <v>381</v>
      </c>
      <c r="B4" s="88"/>
      <c r="C4" s="88"/>
      <c r="D4" s="88"/>
      <c r="E4" s="88"/>
      <c r="F4" s="88"/>
      <c r="G4" s="88"/>
      <c r="I4" s="21" t="s">
        <v>7</v>
      </c>
    </row>
    <row r="5" spans="1:9" x14ac:dyDescent="0.3">
      <c r="A5" s="88" t="s">
        <v>382</v>
      </c>
      <c r="B5" s="88"/>
      <c r="C5" s="88"/>
      <c r="D5" s="88"/>
      <c r="E5" s="88"/>
      <c r="F5" s="88"/>
      <c r="G5" s="88"/>
    </row>
    <row r="6" spans="1:9" x14ac:dyDescent="0.3">
      <c r="A6" s="88" t="s">
        <v>383</v>
      </c>
      <c r="B6" s="88"/>
      <c r="C6" s="88"/>
      <c r="D6" s="88"/>
      <c r="E6" s="88"/>
      <c r="F6" s="88"/>
      <c r="G6" s="88"/>
      <c r="H6" s="14" t="s">
        <v>30</v>
      </c>
      <c r="I6" s="13"/>
    </row>
    <row r="7" spans="1:9" x14ac:dyDescent="0.3">
      <c r="A7" s="88" t="s">
        <v>384</v>
      </c>
      <c r="B7" s="88"/>
      <c r="C7" s="88"/>
      <c r="D7" s="88"/>
      <c r="E7" s="88"/>
      <c r="F7" s="88"/>
      <c r="G7" s="88"/>
      <c r="H7" s="14" t="s">
        <v>27</v>
      </c>
      <c r="I7" s="13"/>
    </row>
    <row r="8" spans="1:9" ht="18" customHeight="1" x14ac:dyDescent="0.3">
      <c r="A8" s="113"/>
      <c r="B8" s="87"/>
      <c r="C8" s="87"/>
      <c r="D8" s="87"/>
      <c r="E8" s="87"/>
      <c r="F8" s="87"/>
      <c r="H8" s="14" t="s">
        <v>43</v>
      </c>
      <c r="I8" s="13"/>
    </row>
    <row r="9" spans="1:9" ht="15.75" customHeight="1" x14ac:dyDescent="0.3">
      <c r="A9" s="111" t="s">
        <v>298</v>
      </c>
      <c r="B9" s="112"/>
      <c r="C9" s="112"/>
      <c r="D9" s="112"/>
      <c r="E9" s="112"/>
      <c r="F9" s="112"/>
      <c r="H9" s="14" t="s">
        <v>44</v>
      </c>
      <c r="I9" s="13"/>
    </row>
    <row r="11" spans="1:9" ht="42.75" customHeight="1" x14ac:dyDescent="0.3">
      <c r="A11" s="67"/>
      <c r="B11" s="67"/>
      <c r="C11" s="68"/>
      <c r="D11" s="69" t="s">
        <v>369</v>
      </c>
      <c r="E11" s="69" t="s">
        <v>369</v>
      </c>
      <c r="F11" s="69" t="s">
        <v>369</v>
      </c>
      <c r="G11" s="110" t="s">
        <v>370</v>
      </c>
      <c r="H11" s="110"/>
      <c r="I11" s="69" t="s">
        <v>371</v>
      </c>
    </row>
    <row r="12" spans="1:9" x14ac:dyDescent="0.3">
      <c r="A12" s="80" t="s">
        <v>372</v>
      </c>
      <c r="B12" s="81" t="s">
        <v>380</v>
      </c>
      <c r="C12" s="81" t="s">
        <v>373</v>
      </c>
      <c r="D12" s="81"/>
      <c r="E12" s="81"/>
      <c r="F12" s="81"/>
      <c r="G12" s="81" t="s">
        <v>374</v>
      </c>
      <c r="H12" s="81" t="s">
        <v>375</v>
      </c>
      <c r="I12" s="82"/>
    </row>
    <row r="13" spans="1:9" x14ac:dyDescent="0.3">
      <c r="A13" s="79"/>
      <c r="C13" s="83"/>
    </row>
    <row r="14" spans="1:9" x14ac:dyDescent="0.3">
      <c r="A14" s="79"/>
      <c r="C14" s="84"/>
    </row>
    <row r="15" spans="1:9" x14ac:dyDescent="0.3">
      <c r="A15" s="79"/>
      <c r="C15" s="84"/>
    </row>
    <row r="16" spans="1:9" x14ac:dyDescent="0.3">
      <c r="A16" s="79"/>
      <c r="C16" s="83"/>
    </row>
    <row r="17" spans="1:9" x14ac:dyDescent="0.3">
      <c r="A17" s="79"/>
      <c r="C17" s="83"/>
    </row>
    <row r="18" spans="1:9" x14ac:dyDescent="0.3">
      <c r="A18" s="79"/>
      <c r="C18" s="83"/>
    </row>
    <row r="19" spans="1:9" x14ac:dyDescent="0.3">
      <c r="A19" s="79"/>
      <c r="C19" s="83"/>
    </row>
    <row r="20" spans="1:9" x14ac:dyDescent="0.3">
      <c r="A20" s="70"/>
      <c r="B20" s="71" t="s">
        <v>376</v>
      </c>
      <c r="C20" s="72"/>
      <c r="D20" s="129">
        <f ca="1">SUM(D13:INDIRECT("D" &amp; ROW()-1))</f>
        <v>0</v>
      </c>
      <c r="E20" s="129">
        <f ca="1">SUM(E13:INDIRECT("E" &amp; ROW()-1))</f>
        <v>0</v>
      </c>
      <c r="F20" s="129">
        <f ca="1">SUM(F13:INDIRECT("F" &amp; ROW()-1))</f>
        <v>0</v>
      </c>
      <c r="G20" s="129">
        <f ca="1">SUM(G13:INDIRECT("G" &amp; ROW()-1))</f>
        <v>0</v>
      </c>
      <c r="H20" s="129">
        <f ca="1">SUM(H13:INDIRECT("H" &amp; ROW()-1))</f>
        <v>0</v>
      </c>
      <c r="I20" s="129">
        <f ca="1">SUM(I13:INDIRECT("I" &amp; ROW()-1))</f>
        <v>0</v>
      </c>
    </row>
    <row r="21" spans="1:9" x14ac:dyDescent="0.3">
      <c r="A21" s="73" t="s">
        <v>377</v>
      </c>
      <c r="B21" s="74"/>
      <c r="C21" s="75"/>
      <c r="D21" s="74"/>
      <c r="E21" s="74"/>
      <c r="F21" s="74"/>
      <c r="G21" s="74"/>
      <c r="H21" s="74"/>
      <c r="I21" s="74"/>
    </row>
    <row r="22" spans="1:9" x14ac:dyDescent="0.3">
      <c r="A22" s="73"/>
      <c r="B22" s="74"/>
      <c r="C22" s="75"/>
      <c r="D22" s="74"/>
      <c r="E22" s="74"/>
      <c r="F22" s="74"/>
      <c r="G22" s="74"/>
      <c r="H22" s="74"/>
      <c r="I22" s="74"/>
    </row>
    <row r="23" spans="1:9" x14ac:dyDescent="0.3">
      <c r="A23" s="73" t="s">
        <v>378</v>
      </c>
      <c r="B23" s="74"/>
      <c r="C23" s="74"/>
      <c r="D23" s="74"/>
      <c r="E23" s="74"/>
      <c r="F23" s="74"/>
      <c r="G23" s="74"/>
      <c r="H23" s="74"/>
      <c r="I23" s="76"/>
    </row>
    <row r="24" spans="1:9" x14ac:dyDescent="0.3">
      <c r="A24" s="73"/>
      <c r="B24" s="74"/>
      <c r="C24" s="74"/>
      <c r="D24" s="74"/>
      <c r="E24" s="74"/>
      <c r="F24" s="74"/>
      <c r="G24" s="74"/>
      <c r="H24" s="74"/>
      <c r="I24" s="76"/>
    </row>
    <row r="25" spans="1:9" x14ac:dyDescent="0.3">
      <c r="A25" s="73" t="s">
        <v>379</v>
      </c>
      <c r="B25" s="74"/>
      <c r="C25" s="77"/>
      <c r="D25" s="77"/>
      <c r="E25" s="77"/>
      <c r="F25" s="77"/>
      <c r="G25" s="74"/>
      <c r="H25" s="74"/>
      <c r="I25" s="76"/>
    </row>
    <row r="34" spans="1:8" x14ac:dyDescent="0.3">
      <c r="A34" s="64" t="s">
        <v>366</v>
      </c>
      <c r="B34" s="62"/>
      <c r="E34" s="61" t="s">
        <v>367</v>
      </c>
      <c r="F34" s="62"/>
      <c r="G34" s="62"/>
      <c r="H34" s="62"/>
    </row>
    <row r="35" spans="1:8" x14ac:dyDescent="0.3">
      <c r="A35" s="63" t="s">
        <v>368</v>
      </c>
      <c r="E35" s="63" t="s">
        <v>368</v>
      </c>
    </row>
    <row r="48" spans="1:8" x14ac:dyDescent="0.3">
      <c r="A48" s="6" t="str">
        <f>HYPERLINK("#'INDICE'!A35","&lt;&lt; Volver al Indice")</f>
        <v>&lt;&lt; Volver al Indice</v>
      </c>
    </row>
  </sheetData>
  <mergeCells count="8">
    <mergeCell ref="G11:H11"/>
    <mergeCell ref="A3:F3"/>
    <mergeCell ref="A9:F9"/>
    <mergeCell ref="A8:F8"/>
    <mergeCell ref="A4:G4"/>
    <mergeCell ref="A5:G5"/>
    <mergeCell ref="A6:G6"/>
    <mergeCell ref="A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H56"/>
  <sheetViews>
    <sheetView workbookViewId="0">
      <selection activeCell="A5" sqref="A5:E5"/>
    </sheetView>
  </sheetViews>
  <sheetFormatPr baseColWidth="10" defaultColWidth="9.109375" defaultRowHeight="15.05" x14ac:dyDescent="0.3"/>
  <cols>
    <col min="1" max="1" width="26.6640625" customWidth="1"/>
    <col min="2" max="2" width="33.109375" customWidth="1"/>
    <col min="3" max="3" width="20.88671875" customWidth="1"/>
    <col min="4" max="4" width="23" customWidth="1"/>
    <col min="5" max="5" width="32.6640625" customWidth="1"/>
    <col min="6" max="6" width="12.44140625" customWidth="1"/>
    <col min="7" max="7" width="16.33203125" customWidth="1"/>
    <col min="8" max="8" width="13.44140625" customWidth="1"/>
  </cols>
  <sheetData>
    <row r="3" spans="1:8" x14ac:dyDescent="0.3">
      <c r="A3" s="107"/>
      <c r="B3" s="87"/>
      <c r="C3" s="87"/>
      <c r="D3" s="87"/>
      <c r="E3" s="87"/>
    </row>
    <row r="4" spans="1:8" x14ac:dyDescent="0.3">
      <c r="A4" s="22"/>
    </row>
    <row r="5" spans="1:8" ht="21.8" customHeight="1" x14ac:dyDescent="0.3">
      <c r="A5" s="88" t="s">
        <v>381</v>
      </c>
      <c r="B5" s="88"/>
      <c r="C5" s="88"/>
      <c r="D5" s="88"/>
      <c r="E5" s="88"/>
      <c r="F5" s="85"/>
      <c r="G5" s="85"/>
      <c r="H5" s="65" t="s">
        <v>9</v>
      </c>
    </row>
    <row r="6" spans="1:8" x14ac:dyDescent="0.3">
      <c r="A6" s="88" t="s">
        <v>382</v>
      </c>
      <c r="B6" s="88"/>
      <c r="C6" s="88"/>
      <c r="D6" s="88"/>
      <c r="E6" s="88"/>
      <c r="F6" s="85"/>
      <c r="G6" s="85"/>
    </row>
    <row r="7" spans="1:8" x14ac:dyDescent="0.3">
      <c r="A7" s="88" t="s">
        <v>383</v>
      </c>
      <c r="B7" s="88"/>
      <c r="C7" s="88"/>
      <c r="D7" s="88"/>
      <c r="E7" s="88"/>
      <c r="F7" s="85"/>
      <c r="G7" s="85"/>
    </row>
    <row r="8" spans="1:8" x14ac:dyDescent="0.3">
      <c r="A8" s="88" t="s">
        <v>384</v>
      </c>
      <c r="B8" s="88"/>
      <c r="C8" s="88"/>
      <c r="D8" s="88"/>
      <c r="E8" s="88"/>
      <c r="F8" s="85"/>
      <c r="G8" s="85"/>
    </row>
    <row r="9" spans="1:8" x14ac:dyDescent="0.3">
      <c r="G9" s="14" t="s">
        <v>30</v>
      </c>
      <c r="H9" s="13"/>
    </row>
    <row r="10" spans="1:8" x14ac:dyDescent="0.3">
      <c r="G10" s="14" t="s">
        <v>27</v>
      </c>
      <c r="H10" s="13"/>
    </row>
    <row r="11" spans="1:8" ht="18" customHeight="1" x14ac:dyDescent="0.3">
      <c r="A11" s="113"/>
      <c r="B11" s="87"/>
      <c r="C11" s="87"/>
      <c r="D11" s="87"/>
      <c r="E11" s="87"/>
      <c r="G11" s="14" t="s">
        <v>43</v>
      </c>
      <c r="H11" s="13"/>
    </row>
    <row r="12" spans="1:8" ht="15.75" customHeight="1" x14ac:dyDescent="0.3">
      <c r="A12" s="111" t="s">
        <v>299</v>
      </c>
      <c r="B12" s="112"/>
      <c r="C12" s="112"/>
      <c r="D12" s="112"/>
      <c r="E12" s="112"/>
      <c r="F12" s="19"/>
      <c r="G12" s="14" t="s">
        <v>44</v>
      </c>
      <c r="H12" s="13"/>
    </row>
    <row r="14" spans="1:8" x14ac:dyDescent="0.3">
      <c r="A14" s="114" t="s">
        <v>62</v>
      </c>
      <c r="B14" s="87"/>
      <c r="C14" s="87"/>
      <c r="D14" s="87"/>
      <c r="E14" s="87"/>
    </row>
    <row r="15" spans="1:8" x14ac:dyDescent="0.3">
      <c r="A15" t="s">
        <v>63</v>
      </c>
      <c r="B15" s="17" t="s">
        <v>58</v>
      </c>
    </row>
    <row r="16" spans="1:8" x14ac:dyDescent="0.3">
      <c r="A16" t="s">
        <v>64</v>
      </c>
      <c r="B16" s="17" t="s">
        <v>65</v>
      </c>
    </row>
    <row r="17" spans="1:5" x14ac:dyDescent="0.3">
      <c r="A17" t="s">
        <v>66</v>
      </c>
      <c r="B17" s="17" t="s">
        <v>67</v>
      </c>
    </row>
    <row r="18" spans="1:5" x14ac:dyDescent="0.3">
      <c r="A18" t="s">
        <v>68</v>
      </c>
      <c r="B18" s="17" t="s">
        <v>69</v>
      </c>
    </row>
    <row r="20" spans="1:5" x14ac:dyDescent="0.3">
      <c r="A20" s="114" t="s">
        <v>70</v>
      </c>
      <c r="B20" s="87"/>
      <c r="C20" s="87"/>
      <c r="D20" s="87"/>
      <c r="E20" s="87"/>
    </row>
    <row r="21" spans="1:5" x14ac:dyDescent="0.3">
      <c r="A21" s="16" t="s">
        <v>71</v>
      </c>
      <c r="B21" s="16" t="s">
        <v>72</v>
      </c>
      <c r="C21" s="16" t="s">
        <v>73</v>
      </c>
      <c r="D21" s="16" t="s">
        <v>74</v>
      </c>
      <c r="E21" s="16" t="s">
        <v>75</v>
      </c>
    </row>
    <row r="22" spans="1:5" x14ac:dyDescent="0.3">
      <c r="A22" s="5" t="s">
        <v>32</v>
      </c>
      <c r="B22" s="5" t="s">
        <v>76</v>
      </c>
      <c r="C22" s="5" t="s">
        <v>77</v>
      </c>
      <c r="D22" s="5" t="s">
        <v>78</v>
      </c>
      <c r="E22" s="18"/>
    </row>
    <row r="23" spans="1:5" x14ac:dyDescent="0.3">
      <c r="A23" s="5" t="s">
        <v>79</v>
      </c>
      <c r="B23" s="5" t="s">
        <v>80</v>
      </c>
      <c r="C23" s="5" t="s">
        <v>81</v>
      </c>
      <c r="D23" s="5" t="s">
        <v>82</v>
      </c>
      <c r="E23" s="18"/>
    </row>
    <row r="24" spans="1:5" x14ac:dyDescent="0.3">
      <c r="A24" s="5" t="s">
        <v>83</v>
      </c>
      <c r="B24" s="5" t="s">
        <v>84</v>
      </c>
      <c r="C24" s="5" t="s">
        <v>77</v>
      </c>
      <c r="D24" s="5" t="s">
        <v>85</v>
      </c>
      <c r="E24" s="18"/>
    </row>
    <row r="26" spans="1:5" x14ac:dyDescent="0.3">
      <c r="A26" s="114" t="s">
        <v>86</v>
      </c>
      <c r="B26" s="87"/>
      <c r="C26" s="87"/>
      <c r="D26" s="87"/>
      <c r="E26" s="87"/>
    </row>
    <row r="27" spans="1:5" x14ac:dyDescent="0.3">
      <c r="A27" s="16" t="s">
        <v>71</v>
      </c>
      <c r="B27" s="16" t="s">
        <v>87</v>
      </c>
      <c r="C27" s="16" t="s">
        <v>88</v>
      </c>
      <c r="D27" s="16" t="s">
        <v>89</v>
      </c>
      <c r="E27" s="16" t="s">
        <v>75</v>
      </c>
    </row>
    <row r="28" spans="1:5" x14ac:dyDescent="0.3">
      <c r="A28" s="5" t="s">
        <v>90</v>
      </c>
      <c r="B28" s="5" t="s">
        <v>91</v>
      </c>
      <c r="C28" s="5" t="s">
        <v>92</v>
      </c>
      <c r="D28" s="5" t="s">
        <v>93</v>
      </c>
      <c r="E28" s="18"/>
    </row>
    <row r="29" spans="1:5" x14ac:dyDescent="0.3">
      <c r="A29" s="5" t="s">
        <v>94</v>
      </c>
      <c r="B29" s="5" t="s">
        <v>95</v>
      </c>
      <c r="C29" s="5" t="s">
        <v>96</v>
      </c>
      <c r="D29" s="5" t="s">
        <v>97</v>
      </c>
      <c r="E29" s="18"/>
    </row>
    <row r="30" spans="1:5" x14ac:dyDescent="0.3">
      <c r="A30" s="5" t="s">
        <v>98</v>
      </c>
      <c r="B30" s="5" t="s">
        <v>99</v>
      </c>
      <c r="C30" s="5" t="s">
        <v>100</v>
      </c>
      <c r="D30" s="5" t="s">
        <v>97</v>
      </c>
      <c r="E30" s="18"/>
    </row>
    <row r="32" spans="1:5" x14ac:dyDescent="0.3">
      <c r="A32" s="114" t="s">
        <v>101</v>
      </c>
      <c r="B32" s="87"/>
      <c r="C32" s="87"/>
      <c r="D32" s="87"/>
      <c r="E32" s="87"/>
    </row>
    <row r="33" spans="1:5" x14ac:dyDescent="0.3">
      <c r="A33" s="19" t="s">
        <v>42</v>
      </c>
      <c r="B33" s="87" t="s">
        <v>102</v>
      </c>
      <c r="C33" s="87"/>
      <c r="D33" s="87"/>
      <c r="E33" s="87"/>
    </row>
    <row r="34" spans="1:5" x14ac:dyDescent="0.3">
      <c r="A34" s="19" t="s">
        <v>42</v>
      </c>
      <c r="B34" s="87" t="s">
        <v>103</v>
      </c>
      <c r="C34" s="87"/>
      <c r="D34" s="87"/>
      <c r="E34" s="87"/>
    </row>
    <row r="35" spans="1:5" x14ac:dyDescent="0.3">
      <c r="A35" s="19" t="s">
        <v>42</v>
      </c>
      <c r="B35" s="87" t="s">
        <v>104</v>
      </c>
      <c r="C35" s="87"/>
      <c r="D35" s="87"/>
      <c r="E35" s="87"/>
    </row>
    <row r="36" spans="1:5" x14ac:dyDescent="0.3">
      <c r="A36" s="19" t="s">
        <v>42</v>
      </c>
      <c r="B36" s="87" t="s">
        <v>105</v>
      </c>
      <c r="C36" s="87"/>
      <c r="D36" s="87"/>
      <c r="E36" s="87"/>
    </row>
    <row r="37" spans="1:5" x14ac:dyDescent="0.3">
      <c r="A37" s="19" t="s">
        <v>42</v>
      </c>
      <c r="B37" s="87" t="s">
        <v>106</v>
      </c>
      <c r="C37" s="87"/>
      <c r="D37" s="87"/>
      <c r="E37" s="87"/>
    </row>
    <row r="38" spans="1:5" x14ac:dyDescent="0.3">
      <c r="A38" s="19" t="s">
        <v>42</v>
      </c>
      <c r="B38" s="87" t="s">
        <v>107</v>
      </c>
      <c r="C38" s="87"/>
      <c r="D38" s="87"/>
      <c r="E38" s="87"/>
    </row>
    <row r="39" spans="1:5" x14ac:dyDescent="0.3">
      <c r="A39" s="19" t="s">
        <v>42</v>
      </c>
      <c r="B39" s="87" t="s">
        <v>108</v>
      </c>
      <c r="C39" s="87"/>
      <c r="D39" s="87"/>
      <c r="E39" s="87"/>
    </row>
    <row r="46" spans="1:5" x14ac:dyDescent="0.3">
      <c r="A46" s="64" t="s">
        <v>366</v>
      </c>
      <c r="B46" s="62"/>
      <c r="D46" s="61" t="s">
        <v>367</v>
      </c>
      <c r="E46" s="62"/>
    </row>
    <row r="47" spans="1:5" x14ac:dyDescent="0.3">
      <c r="A47" s="63" t="s">
        <v>368</v>
      </c>
      <c r="D47" s="63" t="s">
        <v>368</v>
      </c>
    </row>
    <row r="56" spans="1:1" x14ac:dyDescent="0.3">
      <c r="A56" s="6" t="str">
        <f>HYPERLINK("#'INDICE'!A36","&lt;&lt; Volver al Indice")</f>
        <v>&lt;&lt; Volver al Indice</v>
      </c>
    </row>
  </sheetData>
  <mergeCells count="18">
    <mergeCell ref="A3:E3"/>
    <mergeCell ref="A7:E7"/>
    <mergeCell ref="B33:E33"/>
    <mergeCell ref="A5:E5"/>
    <mergeCell ref="A14:E14"/>
    <mergeCell ref="A11:E11"/>
    <mergeCell ref="A26:E26"/>
    <mergeCell ref="A20:E20"/>
    <mergeCell ref="A12:E12"/>
    <mergeCell ref="B39:E39"/>
    <mergeCell ref="A6:E6"/>
    <mergeCell ref="B35:E35"/>
    <mergeCell ref="B34:E34"/>
    <mergeCell ref="A32:E32"/>
    <mergeCell ref="B38:E38"/>
    <mergeCell ref="B36:E36"/>
    <mergeCell ref="B37:E37"/>
    <mergeCell ref="A8:E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M44"/>
  <sheetViews>
    <sheetView workbookViewId="0">
      <selection activeCell="C1" sqref="C1"/>
    </sheetView>
  </sheetViews>
  <sheetFormatPr baseColWidth="10" defaultColWidth="9.109375" defaultRowHeight="15.05" x14ac:dyDescent="0.3"/>
  <cols>
    <col min="1" max="1" width="27" customWidth="1"/>
    <col min="2" max="2" width="29.44140625" customWidth="1"/>
    <col min="3" max="3" width="28" customWidth="1"/>
    <col min="4" max="4" width="16" customWidth="1"/>
    <col min="7" max="7" width="13.33203125" customWidth="1"/>
    <col min="8" max="8" width="18.6640625" customWidth="1"/>
    <col min="9" max="9" width="16.5546875" customWidth="1"/>
    <col min="12" max="12" width="16.33203125" customWidth="1"/>
    <col min="13" max="13" width="13.6640625" customWidth="1"/>
  </cols>
  <sheetData>
    <row r="3" spans="1:13" x14ac:dyDescent="0.3">
      <c r="A3" s="107"/>
      <c r="B3" s="87"/>
      <c r="C3" s="87"/>
      <c r="D3" s="87"/>
      <c r="E3" s="87"/>
      <c r="F3" s="87"/>
      <c r="G3" s="87"/>
      <c r="H3" s="87"/>
      <c r="I3" s="87"/>
    </row>
    <row r="4" spans="1:13" x14ac:dyDescent="0.3">
      <c r="A4" s="22"/>
    </row>
    <row r="5" spans="1:13" ht="27.85" customHeight="1" x14ac:dyDescent="0.3">
      <c r="A5" s="88" t="s">
        <v>381</v>
      </c>
      <c r="B5" s="88"/>
      <c r="C5" s="88"/>
      <c r="D5" s="88"/>
      <c r="E5" s="88"/>
      <c r="F5" s="88"/>
      <c r="G5" s="88"/>
      <c r="H5" s="88"/>
      <c r="I5" s="88"/>
      <c r="J5" s="88"/>
      <c r="M5" s="21" t="s">
        <v>11</v>
      </c>
    </row>
    <row r="6" spans="1:13" x14ac:dyDescent="0.3">
      <c r="A6" s="88" t="s">
        <v>382</v>
      </c>
      <c r="B6" s="88"/>
      <c r="C6" s="88"/>
      <c r="D6" s="88"/>
      <c r="E6" s="88"/>
      <c r="F6" s="88"/>
      <c r="G6" s="88"/>
      <c r="H6" s="88"/>
      <c r="I6" s="88"/>
      <c r="J6" s="88"/>
    </row>
    <row r="7" spans="1:13" x14ac:dyDescent="0.3">
      <c r="A7" s="88" t="s">
        <v>383</v>
      </c>
      <c r="B7" s="88"/>
      <c r="C7" s="88"/>
      <c r="D7" s="88"/>
      <c r="E7" s="88"/>
      <c r="F7" s="88"/>
      <c r="G7" s="88"/>
      <c r="H7" s="88"/>
      <c r="I7" s="88"/>
      <c r="J7" s="88"/>
      <c r="L7" s="14" t="s">
        <v>30</v>
      </c>
      <c r="M7" s="13"/>
    </row>
    <row r="8" spans="1:13" x14ac:dyDescent="0.3">
      <c r="A8" s="88" t="s">
        <v>384</v>
      </c>
      <c r="B8" s="88"/>
      <c r="C8" s="88"/>
      <c r="D8" s="88"/>
      <c r="E8" s="88"/>
      <c r="F8" s="88"/>
      <c r="G8" s="88"/>
      <c r="H8" s="88"/>
      <c r="I8" s="88"/>
      <c r="J8" s="88"/>
      <c r="L8" s="14" t="s">
        <v>27</v>
      </c>
      <c r="M8" s="13"/>
    </row>
    <row r="9" spans="1:13" ht="15.75" x14ac:dyDescent="0.3">
      <c r="A9" s="111" t="s">
        <v>109</v>
      </c>
      <c r="B9" s="112"/>
      <c r="C9" s="112"/>
      <c r="D9" s="112"/>
      <c r="E9" s="112"/>
      <c r="F9" s="112"/>
      <c r="G9" s="112"/>
      <c r="H9" s="112"/>
      <c r="I9" s="112"/>
      <c r="J9" s="112"/>
      <c r="L9" s="14" t="s">
        <v>43</v>
      </c>
      <c r="M9" s="13"/>
    </row>
    <row r="10" spans="1:13" x14ac:dyDescent="0.3">
      <c r="A10" s="87" t="s">
        <v>110</v>
      </c>
      <c r="B10" s="87"/>
      <c r="C10" s="87"/>
      <c r="D10" s="87"/>
      <c r="E10" s="87"/>
      <c r="F10" s="87"/>
      <c r="G10" s="87"/>
      <c r="H10" s="87"/>
      <c r="I10" s="87"/>
      <c r="J10" s="87"/>
      <c r="L10" s="14" t="s">
        <v>44</v>
      </c>
      <c r="M10" s="13"/>
    </row>
    <row r="12" spans="1:13" ht="43.55" customHeight="1" x14ac:dyDescent="0.3">
      <c r="A12" s="24" t="s">
        <v>111</v>
      </c>
      <c r="B12" s="24" t="s">
        <v>112</v>
      </c>
      <c r="C12" s="24" t="s">
        <v>113</v>
      </c>
      <c r="D12" s="24" t="s">
        <v>114</v>
      </c>
      <c r="E12" s="24" t="s">
        <v>115</v>
      </c>
      <c r="F12" s="24" t="s">
        <v>300</v>
      </c>
      <c r="G12" s="24" t="s">
        <v>33</v>
      </c>
      <c r="H12" s="24" t="s">
        <v>41</v>
      </c>
      <c r="I12" s="24" t="s">
        <v>116</v>
      </c>
      <c r="J12" s="24" t="s">
        <v>37</v>
      </c>
    </row>
    <row r="13" spans="1:13" x14ac:dyDescent="0.3">
      <c r="A13" s="25" t="s">
        <v>117</v>
      </c>
      <c r="B13" s="28" t="s">
        <v>118</v>
      </c>
      <c r="C13" s="28" t="s">
        <v>119</v>
      </c>
      <c r="D13" s="26">
        <v>10</v>
      </c>
      <c r="E13" s="25" t="s">
        <v>120</v>
      </c>
      <c r="F13" s="26">
        <v>1500</v>
      </c>
      <c r="G13" s="26">
        <f t="shared" ref="G13:G22" si="0">D13-F13</f>
        <v>-1490</v>
      </c>
      <c r="H13" s="25" t="s">
        <v>301</v>
      </c>
      <c r="I13" s="27" t="s">
        <v>302</v>
      </c>
      <c r="J13" s="25"/>
    </row>
    <row r="14" spans="1:13" x14ac:dyDescent="0.3">
      <c r="A14" s="25" t="s">
        <v>121</v>
      </c>
      <c r="B14" s="28" t="s">
        <v>122</v>
      </c>
      <c r="C14" s="28" t="s">
        <v>123</v>
      </c>
      <c r="D14" s="26">
        <v>2800</v>
      </c>
      <c r="E14" s="25" t="s">
        <v>120</v>
      </c>
      <c r="F14" s="26">
        <v>2785</v>
      </c>
      <c r="G14" s="26">
        <f t="shared" si="0"/>
        <v>15</v>
      </c>
      <c r="H14" s="25"/>
      <c r="I14" s="27" t="s">
        <v>303</v>
      </c>
      <c r="J14" s="25"/>
    </row>
    <row r="15" spans="1:13" x14ac:dyDescent="0.3">
      <c r="A15" s="25" t="s">
        <v>124</v>
      </c>
      <c r="B15" s="28" t="s">
        <v>125</v>
      </c>
      <c r="C15" s="28" t="s">
        <v>126</v>
      </c>
      <c r="D15" s="26">
        <v>350</v>
      </c>
      <c r="E15" s="25" t="s">
        <v>127</v>
      </c>
      <c r="F15" s="26">
        <v>350</v>
      </c>
      <c r="G15" s="26">
        <f t="shared" si="0"/>
        <v>0</v>
      </c>
      <c r="H15" s="25"/>
      <c r="I15" s="27" t="s">
        <v>302</v>
      </c>
      <c r="J15" s="25"/>
    </row>
    <row r="16" spans="1:13" x14ac:dyDescent="0.3">
      <c r="A16" s="25" t="s">
        <v>128</v>
      </c>
      <c r="B16" s="28" t="s">
        <v>129</v>
      </c>
      <c r="C16" s="28" t="s">
        <v>130</v>
      </c>
      <c r="D16" s="26">
        <v>420</v>
      </c>
      <c r="E16" s="25" t="s">
        <v>127</v>
      </c>
      <c r="F16" s="26">
        <v>420</v>
      </c>
      <c r="G16" s="26">
        <f t="shared" si="0"/>
        <v>0</v>
      </c>
      <c r="H16" s="25"/>
      <c r="I16" s="27"/>
      <c r="J16" s="25"/>
    </row>
    <row r="17" spans="1:10" x14ac:dyDescent="0.3">
      <c r="A17" s="25" t="s">
        <v>131</v>
      </c>
      <c r="B17" s="28" t="s">
        <v>132</v>
      </c>
      <c r="C17" s="28" t="s">
        <v>133</v>
      </c>
      <c r="D17" s="26">
        <v>5600</v>
      </c>
      <c r="E17" s="25" t="s">
        <v>127</v>
      </c>
      <c r="F17" s="26">
        <v>5600</v>
      </c>
      <c r="G17" s="26">
        <f t="shared" si="0"/>
        <v>0</v>
      </c>
      <c r="H17" s="25"/>
      <c r="I17" s="27"/>
      <c r="J17" s="25"/>
    </row>
    <row r="18" spans="1:10" x14ac:dyDescent="0.3">
      <c r="A18" s="25" t="s">
        <v>134</v>
      </c>
      <c r="B18" s="28" t="s">
        <v>135</v>
      </c>
      <c r="C18" s="28" t="s">
        <v>136</v>
      </c>
      <c r="D18" s="26">
        <v>3200</v>
      </c>
      <c r="E18" s="25" t="s">
        <v>127</v>
      </c>
      <c r="F18" s="26">
        <v>3175</v>
      </c>
      <c r="G18" s="26">
        <f t="shared" si="0"/>
        <v>25</v>
      </c>
      <c r="H18" s="25"/>
      <c r="I18" s="27"/>
      <c r="J18" s="25"/>
    </row>
    <row r="19" spans="1:10" x14ac:dyDescent="0.3">
      <c r="A19" s="25" t="s">
        <v>137</v>
      </c>
      <c r="B19" s="28" t="s">
        <v>138</v>
      </c>
      <c r="C19" s="28" t="s">
        <v>139</v>
      </c>
      <c r="D19" s="26">
        <v>1850</v>
      </c>
      <c r="E19" s="25" t="s">
        <v>127</v>
      </c>
      <c r="F19" s="26">
        <v>1850</v>
      </c>
      <c r="G19" s="26">
        <f t="shared" si="0"/>
        <v>0</v>
      </c>
      <c r="H19" s="25"/>
      <c r="I19" s="27"/>
      <c r="J19" s="25"/>
    </row>
    <row r="20" spans="1:10" x14ac:dyDescent="0.3">
      <c r="A20" s="25" t="s">
        <v>140</v>
      </c>
      <c r="B20" s="28" t="s">
        <v>141</v>
      </c>
      <c r="C20" s="28" t="s">
        <v>142</v>
      </c>
      <c r="D20" s="26">
        <v>4500</v>
      </c>
      <c r="E20" s="25" t="s">
        <v>143</v>
      </c>
      <c r="F20" s="26">
        <v>4500</v>
      </c>
      <c r="G20" s="26">
        <f t="shared" si="0"/>
        <v>0</v>
      </c>
      <c r="H20" s="25"/>
      <c r="I20" s="27"/>
      <c r="J20" s="25"/>
    </row>
    <row r="21" spans="1:10" x14ac:dyDescent="0.3">
      <c r="A21" s="25" t="s">
        <v>144</v>
      </c>
      <c r="B21" s="28" t="s">
        <v>145</v>
      </c>
      <c r="C21" s="28" t="s">
        <v>146</v>
      </c>
      <c r="D21" s="26">
        <v>280</v>
      </c>
      <c r="E21" s="25" t="s">
        <v>127</v>
      </c>
      <c r="F21" s="26">
        <v>280</v>
      </c>
      <c r="G21" s="26">
        <f t="shared" si="0"/>
        <v>0</v>
      </c>
      <c r="H21" s="25"/>
      <c r="I21" s="27"/>
      <c r="J21" s="25"/>
    </row>
    <row r="22" spans="1:10" x14ac:dyDescent="0.3">
      <c r="A22" s="25" t="s">
        <v>147</v>
      </c>
      <c r="B22" s="28" t="s">
        <v>148</v>
      </c>
      <c r="C22" s="28" t="s">
        <v>149</v>
      </c>
      <c r="D22" s="26">
        <v>12000</v>
      </c>
      <c r="E22" s="25" t="s">
        <v>127</v>
      </c>
      <c r="F22" s="26">
        <v>12000</v>
      </c>
      <c r="G22" s="26">
        <f t="shared" si="0"/>
        <v>0</v>
      </c>
      <c r="H22" s="25"/>
      <c r="I22" s="27"/>
      <c r="J22" s="25"/>
    </row>
    <row r="25" spans="1:10" x14ac:dyDescent="0.3">
      <c r="A25" s="9" t="s">
        <v>150</v>
      </c>
    </row>
    <row r="26" spans="1:10" x14ac:dyDescent="0.3">
      <c r="A26" t="s">
        <v>151</v>
      </c>
      <c r="B26">
        <f>COUNTA(A6:A15)</f>
        <v>9</v>
      </c>
    </row>
    <row r="27" spans="1:10" x14ac:dyDescent="0.3">
      <c r="A27" t="s">
        <v>152</v>
      </c>
      <c r="B27">
        <f>COUNTIF(G6:G15,0)</f>
        <v>1</v>
      </c>
    </row>
    <row r="28" spans="1:10" x14ac:dyDescent="0.3">
      <c r="A28" t="s">
        <v>153</v>
      </c>
      <c r="B28">
        <f>COUNTIF(G6:G15,"&lt;&gt;0")</f>
        <v>9</v>
      </c>
    </row>
    <row r="29" spans="1:10" x14ac:dyDescent="0.3">
      <c r="A29" t="s">
        <v>154</v>
      </c>
      <c r="B29" s="10"/>
    </row>
    <row r="35" spans="1:8" x14ac:dyDescent="0.3">
      <c r="A35" s="64" t="s">
        <v>366</v>
      </c>
      <c r="B35" s="62"/>
      <c r="D35" s="61" t="s">
        <v>367</v>
      </c>
      <c r="E35" s="62"/>
      <c r="F35" s="62"/>
      <c r="G35" s="62"/>
      <c r="H35" s="62"/>
    </row>
    <row r="36" spans="1:8" x14ac:dyDescent="0.3">
      <c r="A36" s="63" t="s">
        <v>368</v>
      </c>
      <c r="D36" s="63" t="s">
        <v>368</v>
      </c>
    </row>
    <row r="44" spans="1:8" x14ac:dyDescent="0.3">
      <c r="A44" s="6" t="str">
        <f>HYPERLINK("#'INDICE'!A37","&lt;&lt; Volver al Indice")</f>
        <v>&lt;&lt; Volver al Indice</v>
      </c>
    </row>
  </sheetData>
  <mergeCells count="7">
    <mergeCell ref="A9:J9"/>
    <mergeCell ref="A10:J10"/>
    <mergeCell ref="A3:I3"/>
    <mergeCell ref="A5:J5"/>
    <mergeCell ref="A6:J6"/>
    <mergeCell ref="A7:J7"/>
    <mergeCell ref="A8:J8"/>
  </mergeCells>
  <dataValidations count="1">
    <dataValidation type="list" allowBlank="1" showInputMessage="1" showErrorMessage="1" sqref="I13:I22" xr:uid="{00000000-0002-0000-0500-000000000000}">
      <formula1>"Si, 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I52"/>
  <sheetViews>
    <sheetView workbookViewId="0">
      <selection activeCell="A5" sqref="A5:G5"/>
    </sheetView>
  </sheetViews>
  <sheetFormatPr baseColWidth="10" defaultColWidth="9.109375" defaultRowHeight="15.05" x14ac:dyDescent="0.3"/>
  <cols>
    <col min="1" max="1" width="59.88671875" customWidth="1"/>
    <col min="2" max="2" width="12.5546875" customWidth="1"/>
    <col min="3" max="5" width="25.109375" customWidth="1"/>
    <col min="6" max="6" width="21.6640625" customWidth="1"/>
    <col min="8" max="8" width="16.109375" customWidth="1"/>
    <col min="9" max="9" width="13.5546875" customWidth="1"/>
  </cols>
  <sheetData>
    <row r="3" spans="1:9" x14ac:dyDescent="0.3">
      <c r="A3" s="107"/>
      <c r="B3" s="87"/>
      <c r="C3" s="87"/>
      <c r="D3" s="87"/>
      <c r="E3" s="87"/>
      <c r="F3" s="87"/>
      <c r="G3" s="87"/>
    </row>
    <row r="4" spans="1:9" ht="26.2" customHeight="1" x14ac:dyDescent="0.3">
      <c r="A4" s="22"/>
      <c r="I4" s="21" t="s">
        <v>13</v>
      </c>
    </row>
    <row r="5" spans="1:9" x14ac:dyDescent="0.3">
      <c r="A5" s="88" t="s">
        <v>381</v>
      </c>
      <c r="B5" s="88"/>
      <c r="C5" s="88"/>
      <c r="D5" s="88"/>
      <c r="E5" s="88"/>
      <c r="F5" s="88"/>
      <c r="G5" s="88"/>
    </row>
    <row r="6" spans="1:9" x14ac:dyDescent="0.3">
      <c r="A6" s="88" t="s">
        <v>382</v>
      </c>
      <c r="B6" s="88"/>
      <c r="C6" s="88"/>
      <c r="D6" s="88"/>
      <c r="E6" s="88"/>
      <c r="F6" s="88"/>
      <c r="G6" s="115"/>
      <c r="H6" s="14" t="s">
        <v>30</v>
      </c>
      <c r="I6" s="13"/>
    </row>
    <row r="7" spans="1:9" x14ac:dyDescent="0.3">
      <c r="A7" s="88" t="s">
        <v>383</v>
      </c>
      <c r="B7" s="88"/>
      <c r="C7" s="88"/>
      <c r="D7" s="88"/>
      <c r="E7" s="88"/>
      <c r="F7" s="88"/>
      <c r="G7" s="115"/>
      <c r="H7" s="14" t="s">
        <v>27</v>
      </c>
      <c r="I7" s="13"/>
    </row>
    <row r="8" spans="1:9" x14ac:dyDescent="0.3">
      <c r="A8" s="88" t="s">
        <v>384</v>
      </c>
      <c r="B8" s="88"/>
      <c r="C8" s="88"/>
      <c r="D8" s="88"/>
      <c r="E8" s="88"/>
      <c r="F8" s="88"/>
      <c r="G8" s="115"/>
      <c r="H8" s="14" t="s">
        <v>43</v>
      </c>
      <c r="I8" s="13"/>
    </row>
    <row r="9" spans="1:9" ht="24.9" customHeight="1" x14ac:dyDescent="0.3">
      <c r="A9" s="116" t="s">
        <v>155</v>
      </c>
      <c r="B9" s="88"/>
      <c r="C9" s="88"/>
      <c r="D9" s="88"/>
      <c r="E9" s="88"/>
      <c r="F9" s="88"/>
      <c r="G9" s="88"/>
      <c r="H9" s="14" t="s">
        <v>44</v>
      </c>
      <c r="I9" s="13"/>
    </row>
    <row r="10" spans="1:9" x14ac:dyDescent="0.3">
      <c r="A10" s="87" t="s">
        <v>156</v>
      </c>
      <c r="B10" s="87"/>
      <c r="C10" s="87"/>
      <c r="D10" s="87"/>
      <c r="E10" s="87"/>
      <c r="F10" s="87"/>
      <c r="G10" s="87"/>
    </row>
    <row r="12" spans="1:9" x14ac:dyDescent="0.3">
      <c r="A12" s="114" t="s">
        <v>157</v>
      </c>
      <c r="B12" s="87"/>
      <c r="C12" s="87"/>
      <c r="D12" s="87"/>
      <c r="E12" s="87"/>
      <c r="F12" s="87"/>
      <c r="G12" s="87"/>
    </row>
    <row r="13" spans="1:9" x14ac:dyDescent="0.3">
      <c r="A13" s="16" t="s">
        <v>158</v>
      </c>
      <c r="B13" s="16" t="s">
        <v>46</v>
      </c>
      <c r="C13" s="16" t="s">
        <v>55</v>
      </c>
      <c r="D13" s="16" t="s">
        <v>35</v>
      </c>
      <c r="E13" s="16" t="s">
        <v>159</v>
      </c>
      <c r="F13" s="16" t="s">
        <v>160</v>
      </c>
      <c r="G13" s="16" t="s">
        <v>37</v>
      </c>
    </row>
    <row r="14" spans="1:9" x14ac:dyDescent="0.3">
      <c r="A14" s="5" t="s">
        <v>161</v>
      </c>
      <c r="B14" s="5" t="s">
        <v>162</v>
      </c>
      <c r="C14" s="5" t="s">
        <v>163</v>
      </c>
      <c r="D14" s="5" t="s">
        <v>59</v>
      </c>
      <c r="E14" s="5" t="s">
        <v>164</v>
      </c>
      <c r="F14" s="5" t="s">
        <v>165</v>
      </c>
      <c r="G14" s="5" t="s">
        <v>42</v>
      </c>
    </row>
    <row r="15" spans="1:9" x14ac:dyDescent="0.3">
      <c r="A15" s="5" t="s">
        <v>166</v>
      </c>
      <c r="B15" s="5" t="s">
        <v>167</v>
      </c>
      <c r="C15" s="5" t="s">
        <v>168</v>
      </c>
      <c r="D15" s="5" t="s">
        <v>59</v>
      </c>
      <c r="E15" s="5" t="s">
        <v>169</v>
      </c>
      <c r="F15" s="5" t="s">
        <v>165</v>
      </c>
      <c r="G15" s="5" t="s">
        <v>42</v>
      </c>
    </row>
    <row r="16" spans="1:9" x14ac:dyDescent="0.3">
      <c r="A16" s="5" t="s">
        <v>170</v>
      </c>
      <c r="B16" s="5" t="s">
        <v>167</v>
      </c>
      <c r="C16" s="5" t="s">
        <v>171</v>
      </c>
      <c r="D16" s="5" t="s">
        <v>145</v>
      </c>
      <c r="E16" s="5" t="s">
        <v>172</v>
      </c>
      <c r="F16" s="5" t="s">
        <v>165</v>
      </c>
      <c r="G16" s="5" t="s">
        <v>42</v>
      </c>
    </row>
    <row r="17" spans="1:7" x14ac:dyDescent="0.3">
      <c r="A17" s="5" t="s">
        <v>173</v>
      </c>
      <c r="B17" s="5" t="s">
        <v>58</v>
      </c>
      <c r="C17" s="5" t="s">
        <v>174</v>
      </c>
      <c r="D17" s="5" t="s">
        <v>148</v>
      </c>
      <c r="E17" s="5" t="s">
        <v>175</v>
      </c>
      <c r="F17" s="5" t="s">
        <v>165</v>
      </c>
      <c r="G17" s="5" t="s">
        <v>42</v>
      </c>
    </row>
    <row r="19" spans="1:7" x14ac:dyDescent="0.3">
      <c r="A19" s="114" t="s">
        <v>176</v>
      </c>
      <c r="B19" s="87"/>
      <c r="C19" s="87"/>
      <c r="D19" s="87"/>
      <c r="E19" s="87"/>
      <c r="F19" s="87"/>
      <c r="G19" s="87"/>
    </row>
    <row r="20" spans="1:7" x14ac:dyDescent="0.3">
      <c r="A20" s="16" t="s">
        <v>158</v>
      </c>
      <c r="B20" s="16" t="s">
        <v>46</v>
      </c>
      <c r="C20" s="16" t="s">
        <v>55</v>
      </c>
      <c r="D20" s="16" t="s">
        <v>35</v>
      </c>
      <c r="E20" s="16" t="s">
        <v>159</v>
      </c>
      <c r="F20" s="16" t="s">
        <v>160</v>
      </c>
      <c r="G20" s="16" t="s">
        <v>37</v>
      </c>
    </row>
    <row r="21" spans="1:7" x14ac:dyDescent="0.3">
      <c r="A21" s="5" t="s">
        <v>177</v>
      </c>
      <c r="B21" s="5" t="s">
        <v>178</v>
      </c>
      <c r="C21" s="5" t="s">
        <v>179</v>
      </c>
      <c r="D21" s="5" t="s">
        <v>59</v>
      </c>
      <c r="E21" s="5" t="s">
        <v>180</v>
      </c>
      <c r="F21" s="5" t="s">
        <v>181</v>
      </c>
      <c r="G21" s="5" t="s">
        <v>42</v>
      </c>
    </row>
    <row r="22" spans="1:7" x14ac:dyDescent="0.3">
      <c r="A22" s="5" t="s">
        <v>182</v>
      </c>
      <c r="B22" s="5" t="s">
        <v>178</v>
      </c>
      <c r="C22" s="5" t="s">
        <v>183</v>
      </c>
      <c r="D22" s="5" t="s">
        <v>184</v>
      </c>
      <c r="E22" s="5" t="s">
        <v>185</v>
      </c>
      <c r="F22" s="5" t="s">
        <v>181</v>
      </c>
      <c r="G22" s="5" t="s">
        <v>42</v>
      </c>
    </row>
    <row r="23" spans="1:7" x14ac:dyDescent="0.3">
      <c r="A23" s="5" t="s">
        <v>186</v>
      </c>
      <c r="B23" s="5" t="s">
        <v>187</v>
      </c>
      <c r="C23" s="5" t="s">
        <v>188</v>
      </c>
      <c r="D23" s="5" t="s">
        <v>59</v>
      </c>
      <c r="E23" s="5" t="s">
        <v>189</v>
      </c>
      <c r="F23" s="5" t="s">
        <v>181</v>
      </c>
      <c r="G23" s="5" t="s">
        <v>42</v>
      </c>
    </row>
    <row r="26" spans="1:7" x14ac:dyDescent="0.3">
      <c r="A26" s="114" t="s">
        <v>190</v>
      </c>
      <c r="B26" s="87"/>
      <c r="C26" s="87"/>
      <c r="D26" s="87"/>
      <c r="E26" s="87"/>
      <c r="F26" s="87"/>
      <c r="G26" s="87"/>
    </row>
    <row r="27" spans="1:7" x14ac:dyDescent="0.3">
      <c r="A27" s="16" t="s">
        <v>191</v>
      </c>
      <c r="B27" s="16" t="s">
        <v>46</v>
      </c>
      <c r="C27" s="16" t="s">
        <v>36</v>
      </c>
      <c r="D27" s="16" t="s">
        <v>35</v>
      </c>
      <c r="E27" s="16" t="s">
        <v>159</v>
      </c>
      <c r="F27" s="16" t="s">
        <v>160</v>
      </c>
      <c r="G27" s="16" t="s">
        <v>37</v>
      </c>
    </row>
    <row r="28" spans="1:7" x14ac:dyDescent="0.3">
      <c r="A28" s="5" t="s">
        <v>192</v>
      </c>
      <c r="B28" s="5" t="s">
        <v>162</v>
      </c>
      <c r="C28" s="5" t="s">
        <v>193</v>
      </c>
      <c r="D28" s="5" t="s">
        <v>61</v>
      </c>
      <c r="E28" s="5" t="s">
        <v>194</v>
      </c>
      <c r="F28" s="5" t="s">
        <v>165</v>
      </c>
      <c r="G28" s="5" t="s">
        <v>42</v>
      </c>
    </row>
    <row r="29" spans="1:7" x14ac:dyDescent="0.3">
      <c r="A29" s="5" t="s">
        <v>195</v>
      </c>
      <c r="B29" s="5" t="s">
        <v>167</v>
      </c>
      <c r="C29" s="5" t="s">
        <v>196</v>
      </c>
      <c r="D29" s="5" t="s">
        <v>61</v>
      </c>
      <c r="E29" s="5" t="s">
        <v>197</v>
      </c>
      <c r="F29" s="5" t="s">
        <v>165</v>
      </c>
      <c r="G29" s="5" t="s">
        <v>42</v>
      </c>
    </row>
    <row r="30" spans="1:7" x14ac:dyDescent="0.3">
      <c r="A30" s="5" t="s">
        <v>198</v>
      </c>
      <c r="B30" s="5" t="s">
        <v>58</v>
      </c>
      <c r="C30" s="5" t="s">
        <v>199</v>
      </c>
      <c r="D30" s="5" t="s">
        <v>61</v>
      </c>
      <c r="E30" s="5" t="s">
        <v>200</v>
      </c>
      <c r="F30" s="5" t="s">
        <v>165</v>
      </c>
      <c r="G30" s="5" t="s">
        <v>42</v>
      </c>
    </row>
    <row r="32" spans="1:7" x14ac:dyDescent="0.3">
      <c r="A32" s="114" t="s">
        <v>201</v>
      </c>
      <c r="B32" s="87"/>
      <c r="C32" s="87"/>
      <c r="D32" s="87"/>
      <c r="E32" s="87"/>
      <c r="F32" s="87"/>
      <c r="G32" s="87"/>
    </row>
    <row r="33" spans="1:7" x14ac:dyDescent="0.3">
      <c r="A33" s="16" t="s">
        <v>191</v>
      </c>
      <c r="B33" s="16" t="s">
        <v>46</v>
      </c>
      <c r="C33" s="16" t="s">
        <v>36</v>
      </c>
      <c r="D33" s="16" t="s">
        <v>35</v>
      </c>
      <c r="E33" s="16" t="s">
        <v>159</v>
      </c>
      <c r="F33" s="16" t="s">
        <v>160</v>
      </c>
      <c r="G33" s="16" t="s">
        <v>37</v>
      </c>
    </row>
    <row r="34" spans="1:7" x14ac:dyDescent="0.3">
      <c r="A34" s="5" t="s">
        <v>202</v>
      </c>
      <c r="B34" s="5" t="s">
        <v>178</v>
      </c>
      <c r="C34" s="5" t="s">
        <v>203</v>
      </c>
      <c r="D34" s="5" t="s">
        <v>61</v>
      </c>
      <c r="E34" s="5" t="s">
        <v>204</v>
      </c>
      <c r="F34" s="5" t="s">
        <v>181</v>
      </c>
      <c r="G34" s="5" t="s">
        <v>42</v>
      </c>
    </row>
    <row r="35" spans="1:7" x14ac:dyDescent="0.3">
      <c r="A35" s="5" t="s">
        <v>205</v>
      </c>
      <c r="B35" s="5" t="s">
        <v>178</v>
      </c>
      <c r="C35" s="5" t="s">
        <v>206</v>
      </c>
      <c r="D35" s="5" t="s">
        <v>61</v>
      </c>
      <c r="E35" s="5" t="s">
        <v>207</v>
      </c>
      <c r="F35" s="5" t="s">
        <v>181</v>
      </c>
      <c r="G35" s="5" t="s">
        <v>42</v>
      </c>
    </row>
    <row r="36" spans="1:7" x14ac:dyDescent="0.3">
      <c r="A36" s="11"/>
      <c r="B36" s="12"/>
      <c r="C36" s="12"/>
      <c r="D36" s="12"/>
      <c r="E36" s="12"/>
    </row>
    <row r="44" spans="1:7" x14ac:dyDescent="0.3">
      <c r="A44" s="64" t="s">
        <v>366</v>
      </c>
      <c r="B44" s="62"/>
      <c r="D44" s="61" t="s">
        <v>367</v>
      </c>
      <c r="E44" s="62"/>
      <c r="F44" s="62"/>
    </row>
    <row r="45" spans="1:7" x14ac:dyDescent="0.3">
      <c r="A45" s="63" t="s">
        <v>368</v>
      </c>
      <c r="D45" s="63" t="s">
        <v>368</v>
      </c>
    </row>
    <row r="52" spans="1:1" x14ac:dyDescent="0.3">
      <c r="A52" s="6" t="str">
        <f>HYPERLINK("#'INDICE'!A38","&lt;&lt; Volver al Indice")</f>
        <v>&lt;&lt; Volver al Indice</v>
      </c>
    </row>
  </sheetData>
  <mergeCells count="11">
    <mergeCell ref="A3:G3"/>
    <mergeCell ref="A7:G7"/>
    <mergeCell ref="A32:G32"/>
    <mergeCell ref="A5:G5"/>
    <mergeCell ref="A26:G26"/>
    <mergeCell ref="A12:G12"/>
    <mergeCell ref="A6:G6"/>
    <mergeCell ref="A10:G10"/>
    <mergeCell ref="A19:G19"/>
    <mergeCell ref="A9:G9"/>
    <mergeCell ref="A8:G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K54"/>
  <sheetViews>
    <sheetView workbookViewId="0">
      <selection activeCell="A5" sqref="A5:H5"/>
    </sheetView>
  </sheetViews>
  <sheetFormatPr baseColWidth="10" defaultColWidth="9.109375" defaultRowHeight="15.05" x14ac:dyDescent="0.3"/>
  <cols>
    <col min="1" max="1" width="26.6640625" customWidth="1"/>
    <col min="2" max="2" width="17.109375" customWidth="1"/>
    <col min="4" max="4" width="16.88671875" customWidth="1"/>
    <col min="5" max="5" width="17.88671875" customWidth="1"/>
    <col min="6" max="6" width="16.33203125" customWidth="1"/>
    <col min="7" max="7" width="13.88671875" customWidth="1"/>
    <col min="8" max="8" width="16.5546875" customWidth="1"/>
    <col min="10" max="10" width="16.5546875" customWidth="1"/>
    <col min="11" max="11" width="12.44140625" customWidth="1"/>
  </cols>
  <sheetData>
    <row r="3" spans="1:11" x14ac:dyDescent="0.3">
      <c r="A3" s="107"/>
      <c r="B3" s="87"/>
      <c r="C3" s="87"/>
      <c r="D3" s="87"/>
      <c r="E3" s="87"/>
      <c r="F3" s="87"/>
      <c r="G3" s="87"/>
    </row>
    <row r="4" spans="1:11" x14ac:dyDescent="0.3">
      <c r="A4" s="22"/>
    </row>
    <row r="5" spans="1:11" ht="24.05" customHeight="1" x14ac:dyDescent="0.3">
      <c r="A5" s="88" t="s">
        <v>381</v>
      </c>
      <c r="B5" s="88"/>
      <c r="C5" s="88"/>
      <c r="D5" s="88"/>
      <c r="E5" s="88"/>
      <c r="F5" s="88"/>
      <c r="G5" s="88"/>
      <c r="H5" s="88"/>
      <c r="K5" s="21" t="s">
        <v>15</v>
      </c>
    </row>
    <row r="6" spans="1:11" x14ac:dyDescent="0.3">
      <c r="A6" s="88" t="s">
        <v>382</v>
      </c>
      <c r="B6" s="88"/>
      <c r="C6" s="88"/>
      <c r="D6" s="88"/>
      <c r="E6" s="88"/>
      <c r="F6" s="88"/>
      <c r="G6" s="88"/>
      <c r="H6" s="88"/>
    </row>
    <row r="7" spans="1:11" x14ac:dyDescent="0.3">
      <c r="A7" s="88" t="s">
        <v>383</v>
      </c>
      <c r="B7" s="88"/>
      <c r="C7" s="88"/>
      <c r="D7" s="88"/>
      <c r="E7" s="88"/>
      <c r="F7" s="88"/>
      <c r="G7" s="88"/>
      <c r="H7" s="88"/>
      <c r="J7" s="14" t="s">
        <v>30</v>
      </c>
      <c r="K7" s="13"/>
    </row>
    <row r="8" spans="1:11" x14ac:dyDescent="0.3">
      <c r="A8" s="88" t="s">
        <v>384</v>
      </c>
      <c r="B8" s="88"/>
      <c r="C8" s="88"/>
      <c r="D8" s="88"/>
      <c r="E8" s="88"/>
      <c r="F8" s="88"/>
      <c r="G8" s="88"/>
      <c r="H8" s="88"/>
      <c r="J8" s="14" t="s">
        <v>27</v>
      </c>
      <c r="K8" s="13"/>
    </row>
    <row r="9" spans="1:11" x14ac:dyDescent="0.3">
      <c r="A9" s="79"/>
      <c r="B9" s="79"/>
      <c r="C9" s="79"/>
      <c r="D9" s="79"/>
      <c r="E9" s="79"/>
      <c r="F9" s="79"/>
      <c r="G9" s="79"/>
      <c r="J9" s="14" t="s">
        <v>43</v>
      </c>
      <c r="K9" s="13"/>
    </row>
    <row r="10" spans="1:11" ht="14.25" customHeight="1" x14ac:dyDescent="0.3">
      <c r="A10" s="118" t="s">
        <v>304</v>
      </c>
      <c r="B10" s="87"/>
      <c r="C10" s="87"/>
      <c r="D10" s="87"/>
      <c r="E10" s="87"/>
      <c r="F10" s="87"/>
      <c r="G10" s="87"/>
      <c r="H10" s="87"/>
      <c r="J10" s="14" t="s">
        <v>44</v>
      </c>
      <c r="K10" s="13"/>
    </row>
    <row r="11" spans="1:11" ht="21.8" customHeight="1" x14ac:dyDescent="0.3">
      <c r="A11" s="117" t="s">
        <v>208</v>
      </c>
      <c r="B11" s="87"/>
      <c r="C11" s="87"/>
      <c r="D11" s="87"/>
      <c r="E11" s="87"/>
      <c r="F11" s="87"/>
      <c r="G11" s="87"/>
      <c r="H11" s="87"/>
    </row>
    <row r="13" spans="1:11" ht="57.8" customHeight="1" x14ac:dyDescent="0.3">
      <c r="A13" s="29" t="s">
        <v>51</v>
      </c>
      <c r="B13" s="29" t="s">
        <v>159</v>
      </c>
      <c r="C13" s="29" t="s">
        <v>115</v>
      </c>
      <c r="D13" s="29" t="s">
        <v>209</v>
      </c>
      <c r="E13" s="29" t="s">
        <v>210</v>
      </c>
      <c r="F13" s="29" t="s">
        <v>211</v>
      </c>
      <c r="G13" s="29" t="s">
        <v>212</v>
      </c>
      <c r="H13" s="29" t="s">
        <v>213</v>
      </c>
    </row>
    <row r="14" spans="1:11" x14ac:dyDescent="0.3">
      <c r="A14" s="30" t="s">
        <v>118</v>
      </c>
      <c r="B14" s="31">
        <v>8</v>
      </c>
      <c r="C14" s="32" t="s">
        <v>120</v>
      </c>
      <c r="D14" s="33">
        <v>5</v>
      </c>
      <c r="E14" s="33">
        <f t="shared" ref="E14:E23" si="0">B14*D14</f>
        <v>40</v>
      </c>
      <c r="F14" s="33">
        <v>5</v>
      </c>
      <c r="G14" s="33">
        <f t="shared" ref="G14:G23" si="1">B14*F14</f>
        <v>40</v>
      </c>
      <c r="H14" s="33" t="str">
        <f t="shared" ref="H14:H23" si="2">IF(G14&lt;E14,G14-E14,"-")</f>
        <v>-</v>
      </c>
    </row>
    <row r="15" spans="1:11" x14ac:dyDescent="0.3">
      <c r="A15" s="30" t="s">
        <v>122</v>
      </c>
      <c r="B15" s="31">
        <v>22000</v>
      </c>
      <c r="C15" s="32" t="s">
        <v>120</v>
      </c>
      <c r="D15" s="33">
        <v>95</v>
      </c>
      <c r="E15" s="33">
        <f t="shared" si="0"/>
        <v>2090000</v>
      </c>
      <c r="F15" s="33">
        <v>98</v>
      </c>
      <c r="G15" s="33">
        <f t="shared" si="1"/>
        <v>2156000</v>
      </c>
      <c r="H15" s="33" t="str">
        <f t="shared" si="2"/>
        <v>-</v>
      </c>
    </row>
    <row r="16" spans="1:11" x14ac:dyDescent="0.3">
      <c r="A16" s="30" t="s">
        <v>141</v>
      </c>
      <c r="B16" s="31">
        <v>8500</v>
      </c>
      <c r="C16" s="32" t="s">
        <v>143</v>
      </c>
      <c r="D16" s="33">
        <v>220</v>
      </c>
      <c r="E16" s="33">
        <f t="shared" si="0"/>
        <v>1870000</v>
      </c>
      <c r="F16" s="33">
        <v>220</v>
      </c>
      <c r="G16" s="33">
        <f t="shared" si="1"/>
        <v>1870000</v>
      </c>
      <c r="H16" s="33" t="str">
        <f t="shared" si="2"/>
        <v>-</v>
      </c>
    </row>
    <row r="17" spans="1:8" x14ac:dyDescent="0.3">
      <c r="A17" s="30" t="s">
        <v>125</v>
      </c>
      <c r="B17" s="31">
        <v>3500</v>
      </c>
      <c r="C17" s="32" t="s">
        <v>127</v>
      </c>
      <c r="D17" s="33">
        <v>350</v>
      </c>
      <c r="E17" s="33">
        <f t="shared" si="0"/>
        <v>1225000</v>
      </c>
      <c r="F17" s="33">
        <v>380</v>
      </c>
      <c r="G17" s="33">
        <f t="shared" si="1"/>
        <v>1330000</v>
      </c>
      <c r="H17" s="33" t="str">
        <f t="shared" si="2"/>
        <v>-</v>
      </c>
    </row>
    <row r="18" spans="1:8" x14ac:dyDescent="0.3">
      <c r="A18" s="30" t="s">
        <v>129</v>
      </c>
      <c r="B18" s="31">
        <v>4200</v>
      </c>
      <c r="C18" s="32" t="s">
        <v>127</v>
      </c>
      <c r="D18" s="33">
        <v>285</v>
      </c>
      <c r="E18" s="33">
        <f t="shared" si="0"/>
        <v>1197000</v>
      </c>
      <c r="F18" s="33">
        <v>290</v>
      </c>
      <c r="G18" s="33">
        <f t="shared" si="1"/>
        <v>1218000</v>
      </c>
      <c r="H18" s="33" t="str">
        <f t="shared" si="2"/>
        <v>-</v>
      </c>
    </row>
    <row r="19" spans="1:8" x14ac:dyDescent="0.3">
      <c r="A19" s="30" t="s">
        <v>132</v>
      </c>
      <c r="B19" s="31">
        <v>56000</v>
      </c>
      <c r="C19" s="32" t="s">
        <v>127</v>
      </c>
      <c r="D19" s="33">
        <v>45</v>
      </c>
      <c r="E19" s="33">
        <f t="shared" si="0"/>
        <v>2520000</v>
      </c>
      <c r="F19" s="33">
        <v>48</v>
      </c>
      <c r="G19" s="33">
        <f t="shared" si="1"/>
        <v>2688000</v>
      </c>
      <c r="H19" s="33" t="str">
        <f t="shared" si="2"/>
        <v>-</v>
      </c>
    </row>
    <row r="20" spans="1:8" x14ac:dyDescent="0.3">
      <c r="A20" s="30" t="s">
        <v>135</v>
      </c>
      <c r="B20" s="31">
        <v>32000</v>
      </c>
      <c r="C20" s="32" t="s">
        <v>127</v>
      </c>
      <c r="D20" s="33">
        <v>100</v>
      </c>
      <c r="E20" s="33">
        <f t="shared" si="0"/>
        <v>3200000</v>
      </c>
      <c r="F20" s="33">
        <v>65</v>
      </c>
      <c r="G20" s="33">
        <f t="shared" si="1"/>
        <v>2080000</v>
      </c>
      <c r="H20" s="33">
        <f t="shared" si="2"/>
        <v>-1120000</v>
      </c>
    </row>
    <row r="21" spans="1:8" x14ac:dyDescent="0.3">
      <c r="A21" s="30" t="s">
        <v>138</v>
      </c>
      <c r="B21" s="31">
        <v>18500</v>
      </c>
      <c r="C21" s="32" t="s">
        <v>127</v>
      </c>
      <c r="D21" s="33">
        <v>92</v>
      </c>
      <c r="E21" s="33">
        <f t="shared" si="0"/>
        <v>1702000</v>
      </c>
      <c r="F21" s="33">
        <v>95</v>
      </c>
      <c r="G21" s="33">
        <f t="shared" si="1"/>
        <v>1757500</v>
      </c>
      <c r="H21" s="33" t="str">
        <f t="shared" si="2"/>
        <v>-</v>
      </c>
    </row>
    <row r="22" spans="1:8" x14ac:dyDescent="0.3">
      <c r="A22" s="30" t="s">
        <v>145</v>
      </c>
      <c r="B22" s="31">
        <v>2800</v>
      </c>
      <c r="C22" s="32" t="s">
        <v>127</v>
      </c>
      <c r="D22" s="33">
        <v>150</v>
      </c>
      <c r="E22" s="33">
        <f t="shared" si="0"/>
        <v>420000</v>
      </c>
      <c r="F22" s="33">
        <v>150</v>
      </c>
      <c r="G22" s="33">
        <f t="shared" si="1"/>
        <v>420000</v>
      </c>
      <c r="H22" s="33" t="str">
        <f t="shared" si="2"/>
        <v>-</v>
      </c>
    </row>
    <row r="23" spans="1:8" x14ac:dyDescent="0.3">
      <c r="A23" s="30" t="s">
        <v>148</v>
      </c>
      <c r="B23" s="31">
        <v>120000</v>
      </c>
      <c r="C23" s="32" t="s">
        <v>127</v>
      </c>
      <c r="D23" s="33">
        <v>3.5</v>
      </c>
      <c r="E23" s="33">
        <f t="shared" si="0"/>
        <v>420000</v>
      </c>
      <c r="F23" s="33">
        <v>3.5</v>
      </c>
      <c r="G23" s="33">
        <f t="shared" si="1"/>
        <v>420000</v>
      </c>
      <c r="H23" s="33" t="str">
        <f t="shared" si="2"/>
        <v>-</v>
      </c>
    </row>
    <row r="24" spans="1:8" x14ac:dyDescent="0.3">
      <c r="A24" s="34" t="s">
        <v>28</v>
      </c>
      <c r="B24" s="31"/>
      <c r="C24" s="32"/>
      <c r="D24" s="33"/>
      <c r="E24" s="35">
        <f>SUM(E14:E23)</f>
        <v>14644040</v>
      </c>
      <c r="F24" s="33"/>
      <c r="G24" s="35">
        <f>SUM(G14:G23)</f>
        <v>13939540</v>
      </c>
      <c r="H24" s="35">
        <f>SUMIF(H14:H23,"&lt;0")</f>
        <v>-1120000</v>
      </c>
    </row>
    <row r="37" spans="1:7" x14ac:dyDescent="0.3">
      <c r="A37" s="64" t="s">
        <v>366</v>
      </c>
      <c r="B37" s="62"/>
      <c r="E37" s="61" t="s">
        <v>367</v>
      </c>
      <c r="F37" s="62"/>
      <c r="G37" s="62"/>
    </row>
    <row r="38" spans="1:7" x14ac:dyDescent="0.3">
      <c r="A38" s="63" t="s">
        <v>368</v>
      </c>
      <c r="E38" s="63" t="s">
        <v>368</v>
      </c>
    </row>
    <row r="54" spans="1:1" x14ac:dyDescent="0.3">
      <c r="A54" s="6" t="str">
        <f>HYPERLINK("#'INDICE'!A39","&lt;&lt; Volver al Indice")</f>
        <v>&lt;&lt; Volver al Indice</v>
      </c>
    </row>
  </sheetData>
  <mergeCells count="7">
    <mergeCell ref="A11:H11"/>
    <mergeCell ref="A3:G3"/>
    <mergeCell ref="A10:H10"/>
    <mergeCell ref="A5:H5"/>
    <mergeCell ref="A6:H6"/>
    <mergeCell ref="A7:H7"/>
    <mergeCell ref="A8:H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L48"/>
  <sheetViews>
    <sheetView workbookViewId="0">
      <selection activeCell="A2" sqref="A2"/>
    </sheetView>
  </sheetViews>
  <sheetFormatPr baseColWidth="10" defaultColWidth="9.109375" defaultRowHeight="15.05" x14ac:dyDescent="0.3"/>
  <cols>
    <col min="1" max="1" width="25.6640625" customWidth="1"/>
    <col min="2" max="2" width="13.109375" customWidth="1"/>
    <col min="3" max="3" width="14.44140625" customWidth="1"/>
    <col min="4" max="4" width="14.109375" customWidth="1"/>
    <col min="5" max="5" width="16.5546875" customWidth="1"/>
    <col min="6" max="6" width="14.33203125" customWidth="1"/>
    <col min="7" max="7" width="16.6640625" customWidth="1"/>
    <col min="8" max="8" width="26.33203125" customWidth="1"/>
    <col min="11" max="11" width="15.88671875" customWidth="1"/>
    <col min="12" max="12" width="10.5546875" customWidth="1"/>
  </cols>
  <sheetData>
    <row r="3" spans="1:12" x14ac:dyDescent="0.3">
      <c r="A3" s="107"/>
      <c r="B3" s="87"/>
      <c r="C3" s="87"/>
      <c r="D3" s="87"/>
      <c r="E3" s="87"/>
      <c r="F3" s="87"/>
      <c r="G3" s="87"/>
      <c r="H3" s="87"/>
    </row>
    <row r="4" spans="1:12" x14ac:dyDescent="0.3">
      <c r="A4" s="22"/>
    </row>
    <row r="5" spans="1:12" ht="21.8" customHeight="1" x14ac:dyDescent="0.3">
      <c r="A5" s="88" t="s">
        <v>381</v>
      </c>
      <c r="B5" s="88"/>
      <c r="C5" s="88"/>
      <c r="D5" s="88"/>
      <c r="E5" s="88"/>
      <c r="F5" s="88"/>
      <c r="G5" s="88"/>
      <c r="H5" s="88"/>
      <c r="L5" s="21" t="s">
        <v>19</v>
      </c>
    </row>
    <row r="6" spans="1:12" x14ac:dyDescent="0.3">
      <c r="A6" s="88" t="s">
        <v>382</v>
      </c>
      <c r="B6" s="88"/>
      <c r="C6" s="88"/>
      <c r="D6" s="88"/>
      <c r="E6" s="88"/>
      <c r="F6" s="88"/>
      <c r="G6" s="88"/>
      <c r="H6" s="88"/>
    </row>
    <row r="7" spans="1:12" x14ac:dyDescent="0.3">
      <c r="A7" s="88" t="s">
        <v>383</v>
      </c>
      <c r="B7" s="88"/>
      <c r="C7" s="88"/>
      <c r="D7" s="88"/>
      <c r="E7" s="88"/>
      <c r="F7" s="88"/>
      <c r="G7" s="88"/>
      <c r="H7" s="88"/>
      <c r="K7" s="14" t="s">
        <v>30</v>
      </c>
      <c r="L7" s="13"/>
    </row>
    <row r="8" spans="1:12" x14ac:dyDescent="0.3">
      <c r="A8" s="88" t="s">
        <v>384</v>
      </c>
      <c r="B8" s="88"/>
      <c r="C8" s="88"/>
      <c r="D8" s="88"/>
      <c r="E8" s="88"/>
      <c r="F8" s="88"/>
      <c r="G8" s="88"/>
      <c r="H8" s="88"/>
      <c r="K8" s="14" t="s">
        <v>27</v>
      </c>
      <c r="L8" s="13"/>
    </row>
    <row r="9" spans="1:12" x14ac:dyDescent="0.3">
      <c r="A9" s="79"/>
      <c r="B9" s="79"/>
      <c r="C9" s="79"/>
      <c r="D9" s="79"/>
      <c r="E9" s="79"/>
      <c r="F9" s="79"/>
      <c r="G9" s="79"/>
      <c r="H9" s="79"/>
      <c r="K9" s="14" t="s">
        <v>43</v>
      </c>
      <c r="L9" s="13"/>
    </row>
    <row r="10" spans="1:12" ht="15.75" customHeight="1" x14ac:dyDescent="0.3">
      <c r="A10" s="120" t="s">
        <v>305</v>
      </c>
      <c r="B10" s="121"/>
      <c r="C10" s="121"/>
      <c r="D10" s="121"/>
      <c r="E10" s="121"/>
      <c r="F10" s="121"/>
      <c r="G10" s="121"/>
      <c r="H10" s="121"/>
      <c r="I10" s="121"/>
      <c r="K10" s="14" t="s">
        <v>44</v>
      </c>
      <c r="L10" s="13"/>
    </row>
    <row r="11" spans="1:12" x14ac:dyDescent="0.3">
      <c r="A11" s="87" t="s">
        <v>214</v>
      </c>
      <c r="B11" s="87"/>
      <c r="C11" s="87"/>
      <c r="D11" s="87"/>
      <c r="E11" s="87"/>
      <c r="F11" s="87"/>
      <c r="G11" s="87"/>
      <c r="H11" s="87"/>
      <c r="I11" s="87"/>
    </row>
    <row r="13" spans="1:12" ht="57.8" customHeight="1" x14ac:dyDescent="0.3">
      <c r="A13" s="36" t="s">
        <v>112</v>
      </c>
      <c r="B13" s="36" t="s">
        <v>215</v>
      </c>
      <c r="C13" s="36" t="s">
        <v>159</v>
      </c>
      <c r="D13" s="36" t="s">
        <v>209</v>
      </c>
      <c r="E13" s="36" t="s">
        <v>216</v>
      </c>
      <c r="F13" s="36" t="s">
        <v>217</v>
      </c>
      <c r="G13" s="36" t="s">
        <v>33</v>
      </c>
      <c r="H13" s="36" t="s">
        <v>41</v>
      </c>
      <c r="I13" s="36" t="s">
        <v>37</v>
      </c>
    </row>
    <row r="14" spans="1:12" x14ac:dyDescent="0.3">
      <c r="A14" s="30" t="s">
        <v>118</v>
      </c>
      <c r="B14" s="37" t="s">
        <v>218</v>
      </c>
      <c r="C14" s="31">
        <v>10</v>
      </c>
      <c r="D14" s="33">
        <v>10</v>
      </c>
      <c r="E14" s="33">
        <f>C14*D14</f>
        <v>100</v>
      </c>
      <c r="F14" s="33">
        <v>900000</v>
      </c>
      <c r="G14" s="38">
        <f>F14-E14</f>
        <v>899900</v>
      </c>
      <c r="H14" s="39" t="str">
        <f>IF(G14=0,"Correcto","Revisar")</f>
        <v>Revisar</v>
      </c>
      <c r="I14" s="39" t="str">
        <f>IF(H14="Correcto","√","-")</f>
        <v>-</v>
      </c>
    </row>
    <row r="15" spans="1:12" x14ac:dyDescent="0.3">
      <c r="A15" s="30" t="s">
        <v>122</v>
      </c>
      <c r="B15" s="37" t="s">
        <v>219</v>
      </c>
      <c r="C15" s="31">
        <v>8000</v>
      </c>
      <c r="D15" s="33">
        <v>95</v>
      </c>
      <c r="E15" s="33">
        <f>C15*D15</f>
        <v>760000</v>
      </c>
      <c r="F15" s="33">
        <v>760000</v>
      </c>
      <c r="G15" s="38">
        <f>F15-E15</f>
        <v>0</v>
      </c>
      <c r="H15" s="39" t="str">
        <f>IF(G15=0,"Correcto","Revisar")</f>
        <v>Correcto</v>
      </c>
      <c r="I15" s="39" t="str">
        <f>IF(H15="Correcto","√","-")</f>
        <v>√</v>
      </c>
    </row>
    <row r="16" spans="1:12" x14ac:dyDescent="0.3">
      <c r="A16" s="30" t="s">
        <v>220</v>
      </c>
      <c r="B16" s="37" t="s">
        <v>221</v>
      </c>
      <c r="C16" s="31">
        <v>15000</v>
      </c>
      <c r="D16" s="33">
        <v>45</v>
      </c>
      <c r="E16" s="33">
        <f>C16*D16</f>
        <v>675000</v>
      </c>
      <c r="F16" s="33">
        <v>675000</v>
      </c>
      <c r="G16" s="38">
        <f>F16-E16</f>
        <v>0</v>
      </c>
      <c r="H16" s="39" t="str">
        <f>IF(G16=0,"Correcto","Revisar")</f>
        <v>Correcto</v>
      </c>
      <c r="I16" s="39" t="str">
        <f>IF(H16="Correcto","√","-")</f>
        <v>√</v>
      </c>
    </row>
    <row r="17" spans="1:9" x14ac:dyDescent="0.3">
      <c r="A17" s="30" t="s">
        <v>222</v>
      </c>
      <c r="B17" s="37" t="s">
        <v>223</v>
      </c>
      <c r="C17" s="31">
        <v>10000</v>
      </c>
      <c r="D17" s="33">
        <v>68</v>
      </c>
      <c r="E17" s="33">
        <f>C17*D17</f>
        <v>680000</v>
      </c>
      <c r="F17" s="33">
        <v>680000</v>
      </c>
      <c r="G17" s="38">
        <f>F17-E17</f>
        <v>0</v>
      </c>
      <c r="H17" s="39" t="str">
        <f>IF(G17=0,"Correcto","Revisar")</f>
        <v>Correcto</v>
      </c>
      <c r="I17" s="39" t="str">
        <f>IF(H17="Correcto","√","-")</f>
        <v>√</v>
      </c>
    </row>
    <row r="18" spans="1:9" x14ac:dyDescent="0.3">
      <c r="A18" s="30" t="s">
        <v>224</v>
      </c>
      <c r="B18" s="37" t="s">
        <v>225</v>
      </c>
      <c r="C18" s="31">
        <v>6000</v>
      </c>
      <c r="D18" s="33">
        <v>92</v>
      </c>
      <c r="E18" s="33">
        <f>C18*D18</f>
        <v>552000</v>
      </c>
      <c r="F18" s="33">
        <v>552000</v>
      </c>
      <c r="G18" s="38">
        <f>F18-E18</f>
        <v>0</v>
      </c>
      <c r="H18" s="39" t="str">
        <f>IF(G18=0,"Correcto","Revisar")</f>
        <v>Correcto</v>
      </c>
      <c r="I18" s="39" t="str">
        <f>IF(H18="Correcto","√","-")</f>
        <v>√</v>
      </c>
    </row>
    <row r="20" spans="1:9" x14ac:dyDescent="0.3">
      <c r="A20" s="119" t="s">
        <v>226</v>
      </c>
      <c r="B20" s="87"/>
      <c r="C20" s="87"/>
      <c r="D20" s="87"/>
      <c r="E20" s="87"/>
      <c r="F20" s="87"/>
      <c r="G20" s="87"/>
      <c r="H20" s="87"/>
      <c r="I20" s="87"/>
    </row>
    <row r="31" spans="1:9" x14ac:dyDescent="0.3">
      <c r="A31" s="64" t="s">
        <v>366</v>
      </c>
      <c r="B31" s="62"/>
      <c r="G31" s="61" t="s">
        <v>367</v>
      </c>
      <c r="H31" s="62"/>
      <c r="I31" s="62"/>
    </row>
    <row r="32" spans="1:9" x14ac:dyDescent="0.3">
      <c r="A32" s="63" t="s">
        <v>368</v>
      </c>
      <c r="G32" s="63" t="s">
        <v>368</v>
      </c>
    </row>
    <row r="48" spans="1:1" x14ac:dyDescent="0.3">
      <c r="A48" s="6" t="str">
        <f>HYPERLINK("#'INDICE'!A40","&lt;&lt; Volver al Indice")</f>
        <v>&lt;&lt; Volver al Indice</v>
      </c>
    </row>
  </sheetData>
  <mergeCells count="8">
    <mergeCell ref="A5:H5"/>
    <mergeCell ref="A3:H3"/>
    <mergeCell ref="A11:I11"/>
    <mergeCell ref="A20:I20"/>
    <mergeCell ref="A10:I10"/>
    <mergeCell ref="A6:H6"/>
    <mergeCell ref="A7:H7"/>
    <mergeCell ref="A8:H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I46"/>
  <sheetViews>
    <sheetView workbookViewId="0">
      <selection activeCell="A5" sqref="A5:G8"/>
    </sheetView>
  </sheetViews>
  <sheetFormatPr baseColWidth="10" defaultColWidth="9.109375" defaultRowHeight="15.05" x14ac:dyDescent="0.3"/>
  <cols>
    <col min="1" max="1" width="40.6640625" customWidth="1"/>
    <col min="2" max="2" width="16.88671875" customWidth="1"/>
    <col min="3" max="3" width="37.33203125" customWidth="1"/>
    <col min="4" max="4" width="34.44140625" customWidth="1"/>
    <col min="8" max="8" width="15.88671875" customWidth="1"/>
    <col min="9" max="9" width="13.44140625" customWidth="1"/>
  </cols>
  <sheetData>
    <row r="3" spans="1:9" x14ac:dyDescent="0.3">
      <c r="A3" s="107"/>
      <c r="B3" s="87"/>
      <c r="C3" s="87"/>
      <c r="D3" s="87"/>
      <c r="E3" s="87"/>
      <c r="F3" s="87"/>
      <c r="G3" s="87"/>
    </row>
    <row r="4" spans="1:9" x14ac:dyDescent="0.3">
      <c r="A4" s="22"/>
    </row>
    <row r="5" spans="1:9" ht="24.75" customHeight="1" x14ac:dyDescent="0.3">
      <c r="A5" s="88" t="s">
        <v>381</v>
      </c>
      <c r="B5" s="88"/>
      <c r="C5" s="88"/>
      <c r="D5" s="88"/>
      <c r="E5" s="88"/>
      <c r="F5" s="88"/>
      <c r="G5" s="88"/>
      <c r="I5" s="21" t="s">
        <v>19</v>
      </c>
    </row>
    <row r="6" spans="1:9" x14ac:dyDescent="0.3">
      <c r="A6" s="88" t="s">
        <v>382</v>
      </c>
      <c r="B6" s="88"/>
      <c r="C6" s="88"/>
      <c r="D6" s="88"/>
      <c r="E6" s="88"/>
      <c r="F6" s="88"/>
      <c r="G6" s="88"/>
    </row>
    <row r="7" spans="1:9" x14ac:dyDescent="0.3">
      <c r="A7" s="88" t="s">
        <v>383</v>
      </c>
      <c r="B7" s="88"/>
      <c r="C7" s="88"/>
      <c r="D7" s="88"/>
      <c r="E7" s="88"/>
      <c r="F7" s="88"/>
      <c r="G7" s="88"/>
      <c r="H7" s="14" t="s">
        <v>30</v>
      </c>
      <c r="I7" s="13"/>
    </row>
    <row r="8" spans="1:9" x14ac:dyDescent="0.3">
      <c r="A8" s="88" t="s">
        <v>384</v>
      </c>
      <c r="B8" s="88"/>
      <c r="C8" s="88"/>
      <c r="D8" s="88"/>
      <c r="E8" s="88"/>
      <c r="F8" s="88"/>
      <c r="G8" s="88"/>
      <c r="H8" s="14" t="s">
        <v>27</v>
      </c>
      <c r="I8" s="13"/>
    </row>
    <row r="9" spans="1:9" x14ac:dyDescent="0.3">
      <c r="A9" s="79"/>
      <c r="B9" s="79"/>
      <c r="C9" s="79"/>
      <c r="D9" s="79"/>
      <c r="E9" s="79"/>
      <c r="F9" s="79"/>
      <c r="G9" s="79"/>
      <c r="H9" s="14" t="s">
        <v>43</v>
      </c>
      <c r="I9" s="13"/>
    </row>
    <row r="10" spans="1:9" ht="15.75" customHeight="1" x14ac:dyDescent="0.3">
      <c r="A10" s="111" t="s">
        <v>227</v>
      </c>
      <c r="B10" s="112"/>
      <c r="C10" s="112"/>
      <c r="D10" s="112"/>
      <c r="E10" s="112"/>
      <c r="F10" s="112"/>
      <c r="H10" s="14" t="s">
        <v>44</v>
      </c>
      <c r="I10" s="13"/>
    </row>
    <row r="12" spans="1:9" x14ac:dyDescent="0.3">
      <c r="A12" s="114" t="s">
        <v>228</v>
      </c>
      <c r="B12" s="87"/>
      <c r="C12" s="87"/>
      <c r="D12" s="87"/>
      <c r="E12" s="87"/>
      <c r="F12" s="87"/>
    </row>
    <row r="13" spans="1:9" x14ac:dyDescent="0.3">
      <c r="A13" s="9" t="s">
        <v>229</v>
      </c>
      <c r="B13" s="87" t="s">
        <v>230</v>
      </c>
      <c r="C13" s="87"/>
      <c r="D13" s="87"/>
      <c r="E13" s="87"/>
      <c r="F13" s="87"/>
    </row>
    <row r="14" spans="1:9" x14ac:dyDescent="0.3">
      <c r="A14" s="9" t="s">
        <v>231</v>
      </c>
      <c r="B14" s="87" t="s">
        <v>232</v>
      </c>
      <c r="C14" s="87"/>
      <c r="D14" s="87"/>
      <c r="E14" s="87"/>
      <c r="F14" s="87"/>
    </row>
    <row r="15" spans="1:9" x14ac:dyDescent="0.3">
      <c r="A15" s="9" t="s">
        <v>233</v>
      </c>
      <c r="B15" s="87" t="s">
        <v>234</v>
      </c>
      <c r="C15" s="87"/>
      <c r="D15" s="87"/>
      <c r="E15" s="87"/>
      <c r="F15" s="87"/>
    </row>
    <row r="16" spans="1:9" x14ac:dyDescent="0.3">
      <c r="A16" s="9" t="s">
        <v>235</v>
      </c>
      <c r="B16" s="87" t="s">
        <v>38</v>
      </c>
      <c r="C16" s="87"/>
      <c r="D16" s="87"/>
      <c r="E16" s="87"/>
      <c r="F16" s="87"/>
    </row>
    <row r="17" spans="1:6" x14ac:dyDescent="0.3">
      <c r="A17" s="9" t="s">
        <v>236</v>
      </c>
      <c r="B17" s="87" t="s">
        <v>237</v>
      </c>
      <c r="C17" s="87"/>
      <c r="D17" s="87"/>
      <c r="E17" s="87"/>
      <c r="F17" s="87"/>
    </row>
    <row r="19" spans="1:6" x14ac:dyDescent="0.3">
      <c r="A19" s="114" t="s">
        <v>238</v>
      </c>
      <c r="B19" s="87"/>
      <c r="C19" s="87"/>
      <c r="D19" s="87"/>
      <c r="E19" s="87"/>
      <c r="F19" s="87"/>
    </row>
    <row r="20" spans="1:6" x14ac:dyDescent="0.3">
      <c r="A20" s="16" t="s">
        <v>239</v>
      </c>
      <c r="B20" s="16" t="s">
        <v>240</v>
      </c>
      <c r="C20" s="16" t="s">
        <v>241</v>
      </c>
      <c r="D20" s="16" t="s">
        <v>54</v>
      </c>
      <c r="E20" s="16"/>
      <c r="F20" s="16"/>
    </row>
    <row r="21" spans="1:6" x14ac:dyDescent="0.3">
      <c r="A21" s="5" t="s">
        <v>242</v>
      </c>
      <c r="B21" s="8" t="s">
        <v>31</v>
      </c>
      <c r="C21" s="5" t="s">
        <v>243</v>
      </c>
      <c r="D21" s="122" t="s">
        <v>244</v>
      </c>
      <c r="E21" s="123"/>
      <c r="F21" s="124"/>
    </row>
    <row r="22" spans="1:6" x14ac:dyDescent="0.3">
      <c r="A22" s="5" t="s">
        <v>245</v>
      </c>
      <c r="B22" s="8" t="s">
        <v>31</v>
      </c>
      <c r="C22" s="5" t="s">
        <v>246</v>
      </c>
      <c r="D22" s="122" t="s">
        <v>247</v>
      </c>
      <c r="E22" s="123"/>
      <c r="F22" s="124"/>
    </row>
    <row r="23" spans="1:6" x14ac:dyDescent="0.3">
      <c r="A23" s="5" t="s">
        <v>248</v>
      </c>
      <c r="B23" s="8" t="s">
        <v>31</v>
      </c>
      <c r="C23" s="5" t="s">
        <v>249</v>
      </c>
      <c r="D23" s="122" t="s">
        <v>250</v>
      </c>
      <c r="E23" s="123"/>
      <c r="F23" s="124"/>
    </row>
    <row r="24" spans="1:6" x14ac:dyDescent="0.3">
      <c r="A24" s="5" t="s">
        <v>251</v>
      </c>
      <c r="B24" s="8" t="s">
        <v>31</v>
      </c>
      <c r="C24" s="5" t="s">
        <v>252</v>
      </c>
      <c r="D24" s="122" t="s">
        <v>253</v>
      </c>
      <c r="E24" s="123"/>
      <c r="F24" s="124"/>
    </row>
    <row r="25" spans="1:6" x14ac:dyDescent="0.3">
      <c r="A25" s="5" t="s">
        <v>254</v>
      </c>
      <c r="B25" s="8" t="s">
        <v>31</v>
      </c>
      <c r="C25" s="5" t="s">
        <v>255</v>
      </c>
      <c r="D25" s="125" t="s">
        <v>256</v>
      </c>
      <c r="E25" s="123"/>
      <c r="F25" s="124"/>
    </row>
    <row r="35" spans="1:6" x14ac:dyDescent="0.3">
      <c r="A35" s="64" t="s">
        <v>366</v>
      </c>
      <c r="B35" s="62"/>
      <c r="D35" s="64" t="s">
        <v>367</v>
      </c>
      <c r="E35" s="62"/>
      <c r="F35" s="62"/>
    </row>
    <row r="36" spans="1:6" x14ac:dyDescent="0.3">
      <c r="A36" s="63" t="s">
        <v>368</v>
      </c>
      <c r="D36" s="63" t="s">
        <v>368</v>
      </c>
    </row>
    <row r="46" spans="1:6" x14ac:dyDescent="0.3">
      <c r="A46" s="6" t="str">
        <f>HYPERLINK("#'INDICE'!A41","&lt;&lt; Volver al Indice")</f>
        <v>&lt;&lt; Volver al Indice</v>
      </c>
    </row>
  </sheetData>
  <mergeCells count="18">
    <mergeCell ref="A6:G6"/>
    <mergeCell ref="B14:F14"/>
    <mergeCell ref="D21:F21"/>
    <mergeCell ref="A8:G8"/>
    <mergeCell ref="A12:F12"/>
    <mergeCell ref="D25:F25"/>
    <mergeCell ref="A3:G3"/>
    <mergeCell ref="A7:G7"/>
    <mergeCell ref="B13:F13"/>
    <mergeCell ref="B17:F17"/>
    <mergeCell ref="D24:F24"/>
    <mergeCell ref="A5:G5"/>
    <mergeCell ref="A10:F10"/>
    <mergeCell ref="A19:F19"/>
    <mergeCell ref="B16:F16"/>
    <mergeCell ref="D23:F23"/>
    <mergeCell ref="D22:F22"/>
    <mergeCell ref="B15:F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J48"/>
  <sheetViews>
    <sheetView workbookViewId="0">
      <selection activeCell="F23" sqref="F23"/>
    </sheetView>
  </sheetViews>
  <sheetFormatPr baseColWidth="10" defaultColWidth="9.109375" defaultRowHeight="15.05" x14ac:dyDescent="0.3"/>
  <cols>
    <col min="1" max="1" width="34.44140625" customWidth="1"/>
    <col min="3" max="3" width="11.88671875" customWidth="1"/>
    <col min="4" max="4" width="12.109375" customWidth="1"/>
    <col min="5" max="5" width="14.109375" customWidth="1"/>
    <col min="6" max="6" width="16.109375" customWidth="1"/>
    <col min="7" max="7" width="18.44140625" customWidth="1"/>
    <col min="8" max="8" width="22.109375" customWidth="1"/>
    <col min="9" max="9" width="17" customWidth="1"/>
    <col min="10" max="10" width="11.33203125" customWidth="1"/>
  </cols>
  <sheetData>
    <row r="3" spans="1:10" x14ac:dyDescent="0.3">
      <c r="A3" s="107"/>
      <c r="B3" s="87"/>
      <c r="C3" s="87"/>
      <c r="D3" s="87"/>
      <c r="E3" s="87"/>
      <c r="F3" s="87"/>
      <c r="G3" s="87"/>
    </row>
    <row r="4" spans="1:10" ht="20.3" customHeight="1" x14ac:dyDescent="0.3">
      <c r="A4" s="22"/>
      <c r="J4" s="21" t="s">
        <v>21</v>
      </c>
    </row>
    <row r="5" spans="1:10" x14ac:dyDescent="0.3">
      <c r="A5" s="88" t="s">
        <v>381</v>
      </c>
      <c r="B5" s="88"/>
      <c r="C5" s="88"/>
      <c r="D5" s="88"/>
      <c r="E5" s="88"/>
      <c r="F5" s="88"/>
      <c r="G5" s="88"/>
    </row>
    <row r="6" spans="1:10" x14ac:dyDescent="0.3">
      <c r="A6" s="88" t="s">
        <v>382</v>
      </c>
      <c r="B6" s="88"/>
      <c r="C6" s="88"/>
      <c r="D6" s="88"/>
      <c r="E6" s="88"/>
      <c r="F6" s="88"/>
      <c r="G6" s="88"/>
      <c r="I6" s="14" t="s">
        <v>30</v>
      </c>
      <c r="J6" s="13"/>
    </row>
    <row r="7" spans="1:10" x14ac:dyDescent="0.3">
      <c r="A7" s="88" t="s">
        <v>383</v>
      </c>
      <c r="B7" s="88"/>
      <c r="C7" s="88"/>
      <c r="D7" s="88"/>
      <c r="E7" s="88"/>
      <c r="F7" s="88"/>
      <c r="G7" s="88"/>
      <c r="I7" s="14" t="s">
        <v>27</v>
      </c>
      <c r="J7" s="13"/>
    </row>
    <row r="8" spans="1:10" x14ac:dyDescent="0.3">
      <c r="A8" s="88" t="s">
        <v>384</v>
      </c>
      <c r="B8" s="88"/>
      <c r="C8" s="88"/>
      <c r="D8" s="88"/>
      <c r="E8" s="88"/>
      <c r="F8" s="88"/>
      <c r="G8" s="88"/>
      <c r="I8" s="14" t="s">
        <v>43</v>
      </c>
      <c r="J8" s="13"/>
    </row>
    <row r="9" spans="1:10" x14ac:dyDescent="0.3">
      <c r="A9" s="79"/>
      <c r="B9" s="79"/>
      <c r="C9" s="79"/>
      <c r="D9" s="79"/>
      <c r="E9" s="79"/>
      <c r="F9" s="79"/>
      <c r="G9" s="79"/>
      <c r="I9" s="14" t="s">
        <v>44</v>
      </c>
      <c r="J9" s="13"/>
    </row>
    <row r="10" spans="1:10" ht="15.75" customHeight="1" x14ac:dyDescent="0.3">
      <c r="A10" s="118" t="s">
        <v>307</v>
      </c>
      <c r="B10" s="87"/>
      <c r="C10" s="87"/>
      <c r="D10" s="87"/>
      <c r="E10" s="87"/>
      <c r="F10" s="87"/>
      <c r="G10" s="87"/>
      <c r="H10" s="87"/>
    </row>
    <row r="12" spans="1:10" ht="43.55" customHeight="1" x14ac:dyDescent="0.3">
      <c r="A12" s="36" t="s">
        <v>112</v>
      </c>
      <c r="B12" s="36" t="s">
        <v>257</v>
      </c>
      <c r="C12" s="36" t="s">
        <v>258</v>
      </c>
      <c r="D12" s="36" t="s">
        <v>210</v>
      </c>
      <c r="E12" s="36" t="s">
        <v>259</v>
      </c>
      <c r="F12" s="36" t="s">
        <v>260</v>
      </c>
      <c r="G12" s="36" t="s">
        <v>261</v>
      </c>
      <c r="H12" s="36" t="s">
        <v>213</v>
      </c>
    </row>
    <row r="13" spans="1:10" x14ac:dyDescent="0.3">
      <c r="A13" s="30" t="s">
        <v>262</v>
      </c>
      <c r="B13" s="31">
        <v>5</v>
      </c>
      <c r="C13" s="40">
        <v>10</v>
      </c>
      <c r="D13" s="41">
        <f>B13*C13</f>
        <v>50</v>
      </c>
      <c r="E13" s="42">
        <v>0.5</v>
      </c>
      <c r="F13" s="31">
        <v>10</v>
      </c>
      <c r="G13" s="42">
        <v>0.5</v>
      </c>
      <c r="H13" s="41">
        <f>D13*G13</f>
        <v>25</v>
      </c>
    </row>
    <row r="14" spans="1:10" x14ac:dyDescent="0.3">
      <c r="A14" s="30" t="s">
        <v>263</v>
      </c>
      <c r="B14" s="31">
        <v>2500</v>
      </c>
      <c r="C14" s="40">
        <v>95</v>
      </c>
      <c r="D14" s="41">
        <f>B14*C14</f>
        <v>237500</v>
      </c>
      <c r="E14" s="42">
        <v>1.2</v>
      </c>
      <c r="F14" s="31">
        <v>304</v>
      </c>
      <c r="G14" s="42">
        <v>0.2</v>
      </c>
      <c r="H14" s="41">
        <f>D14*G14</f>
        <v>47500</v>
      </c>
    </row>
    <row r="15" spans="1:10" x14ac:dyDescent="0.3">
      <c r="A15" s="30" t="s">
        <v>264</v>
      </c>
      <c r="B15" s="31">
        <v>800</v>
      </c>
      <c r="C15" s="40">
        <v>68</v>
      </c>
      <c r="D15" s="41">
        <f>B15*C15</f>
        <v>54400</v>
      </c>
      <c r="E15" s="42">
        <v>0.3</v>
      </c>
      <c r="F15" s="31">
        <v>1217</v>
      </c>
      <c r="G15" s="42">
        <v>0.8</v>
      </c>
      <c r="H15" s="41">
        <f>D15*G15</f>
        <v>43520</v>
      </c>
    </row>
    <row r="16" spans="1:10" x14ac:dyDescent="0.3">
      <c r="A16" s="30" t="s">
        <v>265</v>
      </c>
      <c r="B16" s="31">
        <v>350</v>
      </c>
      <c r="C16" s="40">
        <v>92</v>
      </c>
      <c r="D16" s="41">
        <f>B16*C16</f>
        <v>32200</v>
      </c>
      <c r="E16" s="42">
        <v>0</v>
      </c>
      <c r="F16" s="31">
        <v>0</v>
      </c>
      <c r="G16" s="42">
        <v>1</v>
      </c>
      <c r="H16" s="41">
        <f>D16*G16</f>
        <v>32200</v>
      </c>
    </row>
    <row r="17" spans="1:8" x14ac:dyDescent="0.3">
      <c r="A17" s="30" t="s">
        <v>266</v>
      </c>
      <c r="B17" s="31">
        <v>120</v>
      </c>
      <c r="C17" s="40">
        <v>150</v>
      </c>
      <c r="D17" s="41">
        <f>B17*C17</f>
        <v>18000</v>
      </c>
      <c r="E17" s="42">
        <v>0.2</v>
      </c>
      <c r="F17" s="31">
        <v>1825</v>
      </c>
      <c r="G17" s="42">
        <v>0.6</v>
      </c>
      <c r="H17" s="41">
        <f>D17*G17</f>
        <v>10800</v>
      </c>
    </row>
    <row r="18" spans="1:8" x14ac:dyDescent="0.3">
      <c r="A18" s="126" t="s">
        <v>267</v>
      </c>
      <c r="B18" s="123"/>
      <c r="C18" s="124"/>
      <c r="D18" s="43">
        <f>SUM(D13:D17)</f>
        <v>342150</v>
      </c>
      <c r="E18" s="87"/>
      <c r="F18" s="87"/>
      <c r="G18" s="87"/>
      <c r="H18" s="44">
        <f>SUM(H13:H17)</f>
        <v>134045</v>
      </c>
    </row>
    <row r="20" spans="1:8" x14ac:dyDescent="0.3">
      <c r="A20" s="121" t="s">
        <v>52</v>
      </c>
      <c r="B20" s="87"/>
      <c r="C20" s="87"/>
      <c r="D20" s="45">
        <v>350000</v>
      </c>
    </row>
    <row r="21" spans="1:8" x14ac:dyDescent="0.3">
      <c r="A21" s="121" t="s">
        <v>53</v>
      </c>
      <c r="B21" s="87"/>
      <c r="C21" s="87"/>
      <c r="D21" s="45">
        <f>H18</f>
        <v>134045</v>
      </c>
    </row>
    <row r="22" spans="1:8" x14ac:dyDescent="0.3">
      <c r="A22" s="127" t="s">
        <v>306</v>
      </c>
      <c r="B22" s="87"/>
      <c r="C22" s="87"/>
      <c r="D22" s="46">
        <f>D21-D20</f>
        <v>-215955</v>
      </c>
    </row>
    <row r="37" spans="1:8" x14ac:dyDescent="0.3">
      <c r="A37" s="64" t="s">
        <v>366</v>
      </c>
      <c r="B37" s="62"/>
      <c r="F37" s="64" t="s">
        <v>367</v>
      </c>
      <c r="G37" s="62"/>
      <c r="H37" s="62"/>
    </row>
    <row r="38" spans="1:8" x14ac:dyDescent="0.3">
      <c r="A38" s="63" t="s">
        <v>368</v>
      </c>
      <c r="F38" s="63" t="s">
        <v>368</v>
      </c>
    </row>
    <row r="48" spans="1:8" x14ac:dyDescent="0.3">
      <c r="A48" s="6" t="str">
        <f>HYPERLINK("#'INDICE'!A42","&lt;&lt; Volver al Indice")</f>
        <v>&lt;&lt; Volver al Indice</v>
      </c>
    </row>
  </sheetData>
  <mergeCells count="11">
    <mergeCell ref="A3:G3"/>
    <mergeCell ref="A7:G7"/>
    <mergeCell ref="A5:G5"/>
    <mergeCell ref="A10:H10"/>
    <mergeCell ref="A6:G6"/>
    <mergeCell ref="A8:G8"/>
    <mergeCell ref="A18:C18"/>
    <mergeCell ref="E18:G18"/>
    <mergeCell ref="A20:C20"/>
    <mergeCell ref="A21:C21"/>
    <mergeCell ref="A22:C2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K47"/>
  <sheetViews>
    <sheetView workbookViewId="0">
      <selection activeCell="A5" sqref="A5:H5"/>
    </sheetView>
  </sheetViews>
  <sheetFormatPr baseColWidth="10" defaultColWidth="9.109375" defaultRowHeight="15.05" x14ac:dyDescent="0.3"/>
  <cols>
    <col min="1" max="1" width="27.5546875" customWidth="1"/>
    <col min="2" max="2" width="15.5546875" customWidth="1"/>
    <col min="3" max="3" width="26.5546875" customWidth="1"/>
    <col min="4" max="4" width="16.109375" customWidth="1"/>
    <col min="5" max="5" width="13.5546875" customWidth="1"/>
    <col min="6" max="6" width="15.33203125" customWidth="1"/>
    <col min="7" max="7" width="16.88671875" customWidth="1"/>
    <col min="8" max="8" width="14.88671875" customWidth="1"/>
    <col min="10" max="10" width="17" customWidth="1"/>
    <col min="11" max="11" width="12.88671875" customWidth="1"/>
  </cols>
  <sheetData>
    <row r="3" spans="1:11" x14ac:dyDescent="0.3">
      <c r="A3" s="107"/>
      <c r="B3" s="87"/>
      <c r="C3" s="87"/>
      <c r="D3" s="87"/>
      <c r="E3" s="87"/>
      <c r="F3" s="87"/>
      <c r="G3" s="87"/>
    </row>
    <row r="4" spans="1:11" x14ac:dyDescent="0.3">
      <c r="A4" s="22"/>
    </row>
    <row r="5" spans="1:11" ht="26.2" customHeight="1" x14ac:dyDescent="0.3">
      <c r="A5" s="88" t="s">
        <v>381</v>
      </c>
      <c r="B5" s="88"/>
      <c r="C5" s="88"/>
      <c r="D5" s="88"/>
      <c r="E5" s="88"/>
      <c r="F5" s="88"/>
      <c r="G5" s="88"/>
      <c r="H5" s="88"/>
      <c r="K5" s="21" t="s">
        <v>23</v>
      </c>
    </row>
    <row r="6" spans="1:11" x14ac:dyDescent="0.3">
      <c r="A6" s="88" t="s">
        <v>382</v>
      </c>
      <c r="B6" s="88"/>
      <c r="C6" s="88"/>
      <c r="D6" s="88"/>
      <c r="E6" s="88"/>
      <c r="F6" s="88"/>
      <c r="G6" s="88"/>
      <c r="H6" s="88"/>
    </row>
    <row r="7" spans="1:11" x14ac:dyDescent="0.3">
      <c r="A7" s="88" t="s">
        <v>383</v>
      </c>
      <c r="B7" s="88"/>
      <c r="C7" s="88"/>
      <c r="D7" s="88"/>
      <c r="E7" s="88"/>
      <c r="F7" s="88"/>
      <c r="G7" s="88"/>
      <c r="H7" s="88"/>
      <c r="J7" s="14" t="s">
        <v>30</v>
      </c>
      <c r="K7" s="13"/>
    </row>
    <row r="8" spans="1:11" x14ac:dyDescent="0.3">
      <c r="A8" s="88" t="s">
        <v>384</v>
      </c>
      <c r="B8" s="88"/>
      <c r="C8" s="88"/>
      <c r="D8" s="88"/>
      <c r="E8" s="88"/>
      <c r="F8" s="88"/>
      <c r="G8" s="88"/>
      <c r="H8" s="88"/>
      <c r="J8" s="14" t="s">
        <v>27</v>
      </c>
      <c r="K8" s="13"/>
    </row>
    <row r="9" spans="1:11" x14ac:dyDescent="0.3">
      <c r="A9" s="79"/>
      <c r="B9" s="79"/>
      <c r="C9" s="79"/>
      <c r="D9" s="79"/>
      <c r="E9" s="79"/>
      <c r="F9" s="79"/>
      <c r="G9" s="79"/>
      <c r="J9" s="14" t="s">
        <v>43</v>
      </c>
      <c r="K9" s="13"/>
    </row>
    <row r="10" spans="1:11" ht="15.75" customHeight="1" x14ac:dyDescent="0.3">
      <c r="A10" s="120" t="s">
        <v>308</v>
      </c>
      <c r="B10" s="121"/>
      <c r="C10" s="121"/>
      <c r="D10" s="121"/>
      <c r="E10" s="121"/>
      <c r="F10" s="121"/>
      <c r="G10" s="121"/>
      <c r="H10" s="121"/>
      <c r="I10" s="23"/>
      <c r="J10" s="14" t="s">
        <v>44</v>
      </c>
      <c r="K10" s="13"/>
    </row>
    <row r="12" spans="1:11" ht="29.3" customHeight="1" x14ac:dyDescent="0.3">
      <c r="A12" s="36" t="s">
        <v>268</v>
      </c>
      <c r="B12" s="36" t="s">
        <v>113</v>
      </c>
      <c r="C12" s="36" t="s">
        <v>112</v>
      </c>
      <c r="D12" s="36" t="s">
        <v>159</v>
      </c>
      <c r="E12" s="36" t="s">
        <v>269</v>
      </c>
      <c r="F12" s="36" t="s">
        <v>270</v>
      </c>
      <c r="G12" s="36" t="s">
        <v>271</v>
      </c>
      <c r="H12" s="36" t="s">
        <v>37</v>
      </c>
      <c r="I12" s="47"/>
    </row>
    <row r="13" spans="1:11" x14ac:dyDescent="0.3">
      <c r="A13" s="30" t="s">
        <v>272</v>
      </c>
      <c r="B13" s="30" t="s">
        <v>273</v>
      </c>
      <c r="C13" s="30" t="s">
        <v>60</v>
      </c>
      <c r="D13" s="32" t="s">
        <v>274</v>
      </c>
      <c r="E13" s="41">
        <v>8</v>
      </c>
      <c r="F13" s="39" t="s">
        <v>31</v>
      </c>
      <c r="G13" s="37" t="s">
        <v>39</v>
      </c>
      <c r="H13" s="39" t="s">
        <v>309</v>
      </c>
    </row>
    <row r="14" spans="1:11" x14ac:dyDescent="0.3">
      <c r="A14" s="30" t="s">
        <v>275</v>
      </c>
      <c r="B14" s="30" t="s">
        <v>276</v>
      </c>
      <c r="C14" s="30" t="s">
        <v>61</v>
      </c>
      <c r="D14" s="32" t="s">
        <v>197</v>
      </c>
      <c r="E14" s="41">
        <v>98000</v>
      </c>
      <c r="F14" s="39" t="s">
        <v>31</v>
      </c>
      <c r="G14" s="37" t="s">
        <v>40</v>
      </c>
      <c r="H14" s="39" t="s">
        <v>309</v>
      </c>
    </row>
    <row r="15" spans="1:11" x14ac:dyDescent="0.3">
      <c r="A15" s="30" t="s">
        <v>277</v>
      </c>
      <c r="B15" s="30" t="s">
        <v>278</v>
      </c>
      <c r="C15" s="30" t="s">
        <v>59</v>
      </c>
      <c r="D15" s="32" t="s">
        <v>279</v>
      </c>
      <c r="E15" s="41">
        <v>54000</v>
      </c>
      <c r="F15" s="39" t="s">
        <v>31</v>
      </c>
      <c r="G15" s="37" t="s">
        <v>39</v>
      </c>
      <c r="H15" s="39" t="s">
        <v>309</v>
      </c>
    </row>
    <row r="16" spans="1:11" x14ac:dyDescent="0.3">
      <c r="A16" s="48" t="s">
        <v>28</v>
      </c>
      <c r="B16" s="13"/>
      <c r="C16" s="13"/>
      <c r="D16" s="13"/>
      <c r="E16" s="49">
        <f>SUM(E13:E15)</f>
        <v>152008</v>
      </c>
      <c r="F16" s="13"/>
      <c r="G16" s="13"/>
      <c r="H16" s="13"/>
    </row>
    <row r="18" spans="1:8" x14ac:dyDescent="0.3">
      <c r="A18" s="128" t="s">
        <v>310</v>
      </c>
      <c r="B18" s="87"/>
      <c r="C18" s="87"/>
    </row>
    <row r="19" spans="1:8" x14ac:dyDescent="0.3">
      <c r="A19" s="23" t="s">
        <v>311</v>
      </c>
      <c r="D19" s="19">
        <f>COUNTA(A13:A15)</f>
        <v>3</v>
      </c>
    </row>
    <row r="20" spans="1:8" x14ac:dyDescent="0.3">
      <c r="A20" s="23" t="s">
        <v>312</v>
      </c>
      <c r="D20" s="19">
        <f>COUNTIF(F13:F15,"Sí")</f>
        <v>3</v>
      </c>
    </row>
    <row r="21" spans="1:8" x14ac:dyDescent="0.3">
      <c r="A21" s="23" t="s">
        <v>313</v>
      </c>
      <c r="D21" s="19">
        <f>COUNTIF(F13:F15,"No")</f>
        <v>0</v>
      </c>
    </row>
    <row r="22" spans="1:8" x14ac:dyDescent="0.3">
      <c r="A22" s="23" t="s">
        <v>314</v>
      </c>
      <c r="D22" s="50">
        <f>COUNTIF(F13:F15,"Sí")/COUNTA(F13:F15)</f>
        <v>1</v>
      </c>
    </row>
    <row r="30" spans="1:8" x14ac:dyDescent="0.3">
      <c r="A30" s="64" t="s">
        <v>366</v>
      </c>
      <c r="B30" s="62"/>
      <c r="F30" s="64" t="s">
        <v>367</v>
      </c>
      <c r="G30" s="62"/>
      <c r="H30" s="62"/>
    </row>
    <row r="31" spans="1:8" x14ac:dyDescent="0.3">
      <c r="A31" s="63" t="s">
        <v>368</v>
      </c>
      <c r="F31" s="63" t="s">
        <v>368</v>
      </c>
    </row>
    <row r="47" spans="1:1" x14ac:dyDescent="0.3">
      <c r="A47" s="6" t="str">
        <f>HYPERLINK("#'INDICE'!A43","&lt;&lt; Volver al Indice")</f>
        <v>&lt;&lt; Volver al Indice</v>
      </c>
    </row>
  </sheetData>
  <mergeCells count="7">
    <mergeCell ref="A18:C18"/>
    <mergeCell ref="A3:G3"/>
    <mergeCell ref="A10:H10"/>
    <mergeCell ref="A5:H5"/>
    <mergeCell ref="A6:H6"/>
    <mergeCell ref="A7:H7"/>
    <mergeCell ref="A8:H8"/>
  </mergeCells>
  <dataValidations count="1">
    <dataValidation type="list" allowBlank="1" showInputMessage="1" showErrorMessage="1" sqref="F13:F15" xr:uid="{00000000-0002-0000-0B00-000000000000}">
      <formula1>"Si, 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K45"/>
  <sheetViews>
    <sheetView workbookViewId="0">
      <selection activeCell="A5" sqref="A5:H5"/>
    </sheetView>
  </sheetViews>
  <sheetFormatPr baseColWidth="10" defaultColWidth="9.109375" defaultRowHeight="15.05" x14ac:dyDescent="0.3"/>
  <cols>
    <col min="1" max="1" width="24.5546875" customWidth="1"/>
    <col min="2" max="2" width="14.5546875" customWidth="1"/>
    <col min="3" max="3" width="19.33203125" customWidth="1"/>
    <col min="4" max="4" width="18.5546875" customWidth="1"/>
    <col min="5" max="5" width="17.5546875" customWidth="1"/>
    <col min="6" max="6" width="17.88671875" customWidth="1"/>
    <col min="7" max="7" width="19.33203125" customWidth="1"/>
    <col min="8" max="8" width="21.33203125" customWidth="1"/>
    <col min="10" max="10" width="16.33203125" customWidth="1"/>
    <col min="11" max="11" width="13.44140625" customWidth="1"/>
  </cols>
  <sheetData>
    <row r="3" spans="1:11" x14ac:dyDescent="0.3">
      <c r="A3" s="107"/>
      <c r="B3" s="87"/>
      <c r="C3" s="87"/>
      <c r="D3" s="87"/>
      <c r="E3" s="87"/>
      <c r="F3" s="87"/>
      <c r="G3" s="87"/>
      <c r="H3" s="87"/>
    </row>
    <row r="4" spans="1:11" ht="29.3" customHeight="1" x14ac:dyDescent="0.3">
      <c r="A4" s="22"/>
      <c r="K4" s="65" t="s">
        <v>25</v>
      </c>
    </row>
    <row r="5" spans="1:11" ht="20.95" customHeight="1" x14ac:dyDescent="0.3">
      <c r="A5" s="88" t="s">
        <v>381</v>
      </c>
      <c r="B5" s="88"/>
      <c r="C5" s="88"/>
      <c r="D5" s="88"/>
      <c r="E5" s="88"/>
      <c r="F5" s="88"/>
      <c r="G5" s="88"/>
      <c r="H5" s="88"/>
    </row>
    <row r="6" spans="1:11" x14ac:dyDescent="0.3">
      <c r="A6" s="88" t="s">
        <v>382</v>
      </c>
      <c r="B6" s="88"/>
      <c r="C6" s="88"/>
      <c r="D6" s="88"/>
      <c r="E6" s="88"/>
      <c r="F6" s="88"/>
      <c r="G6" s="88"/>
      <c r="H6" s="88"/>
      <c r="J6" s="14" t="s">
        <v>30</v>
      </c>
      <c r="K6" s="13"/>
    </row>
    <row r="7" spans="1:11" x14ac:dyDescent="0.3">
      <c r="A7" s="88" t="s">
        <v>383</v>
      </c>
      <c r="B7" s="88"/>
      <c r="C7" s="88"/>
      <c r="D7" s="88"/>
      <c r="E7" s="88"/>
      <c r="F7" s="88"/>
      <c r="G7" s="88"/>
      <c r="H7" s="88"/>
      <c r="J7" s="14" t="s">
        <v>27</v>
      </c>
      <c r="K7" s="13"/>
    </row>
    <row r="8" spans="1:11" x14ac:dyDescent="0.3">
      <c r="A8" s="88" t="s">
        <v>384</v>
      </c>
      <c r="B8" s="88"/>
      <c r="C8" s="88"/>
      <c r="D8" s="88"/>
      <c r="E8" s="88"/>
      <c r="F8" s="88"/>
      <c r="G8" s="88"/>
      <c r="H8" s="88"/>
      <c r="J8" s="14" t="s">
        <v>43</v>
      </c>
      <c r="K8" s="13"/>
    </row>
    <row r="9" spans="1:11" ht="24.9" customHeight="1" x14ac:dyDescent="0.3">
      <c r="A9" s="111" t="s">
        <v>385</v>
      </c>
      <c r="B9" s="112"/>
      <c r="C9" s="112"/>
      <c r="D9" s="112"/>
      <c r="E9" s="112"/>
      <c r="F9" s="112"/>
      <c r="G9" s="112"/>
      <c r="H9" s="112"/>
      <c r="I9" s="112"/>
      <c r="J9" s="14" t="s">
        <v>44</v>
      </c>
      <c r="K9" s="13"/>
    </row>
    <row r="11" spans="1:11" ht="57.8" customHeight="1" x14ac:dyDescent="0.3">
      <c r="A11" s="36" t="s">
        <v>55</v>
      </c>
      <c r="B11" s="36" t="s">
        <v>280</v>
      </c>
      <c r="C11" s="36" t="s">
        <v>281</v>
      </c>
      <c r="D11" s="36" t="s">
        <v>112</v>
      </c>
      <c r="E11" s="36" t="s">
        <v>159</v>
      </c>
      <c r="F11" s="36" t="s">
        <v>269</v>
      </c>
      <c r="G11" s="36" t="s">
        <v>282</v>
      </c>
      <c r="H11" s="36" t="s">
        <v>283</v>
      </c>
      <c r="I11" s="36" t="s">
        <v>37</v>
      </c>
    </row>
    <row r="12" spans="1:11" x14ac:dyDescent="0.3">
      <c r="A12" s="30" t="s">
        <v>284</v>
      </c>
      <c r="B12" s="39" t="s">
        <v>285</v>
      </c>
      <c r="C12" s="37" t="s">
        <v>56</v>
      </c>
      <c r="D12" s="30" t="s">
        <v>59</v>
      </c>
      <c r="E12" s="32" t="s">
        <v>286</v>
      </c>
      <c r="F12" s="51">
        <v>100</v>
      </c>
      <c r="G12" s="37" t="s">
        <v>287</v>
      </c>
      <c r="H12" s="39" t="s">
        <v>288</v>
      </c>
      <c r="I12" s="39" t="s">
        <v>315</v>
      </c>
    </row>
    <row r="13" spans="1:11" x14ac:dyDescent="0.3">
      <c r="A13" s="30" t="s">
        <v>289</v>
      </c>
      <c r="B13" s="39" t="s">
        <v>290</v>
      </c>
      <c r="C13" s="37" t="s">
        <v>57</v>
      </c>
      <c r="D13" s="30" t="s">
        <v>184</v>
      </c>
      <c r="E13" s="32" t="s">
        <v>274</v>
      </c>
      <c r="F13" s="51">
        <v>145000</v>
      </c>
      <c r="G13" s="37" t="s">
        <v>291</v>
      </c>
      <c r="H13" s="39" t="s">
        <v>292</v>
      </c>
      <c r="I13" s="39" t="s">
        <v>315</v>
      </c>
    </row>
    <row r="14" spans="1:11" x14ac:dyDescent="0.3">
      <c r="A14" s="30" t="s">
        <v>293</v>
      </c>
      <c r="B14" s="39" t="s">
        <v>294</v>
      </c>
      <c r="C14" s="37" t="s">
        <v>167</v>
      </c>
      <c r="D14" s="30" t="s">
        <v>59</v>
      </c>
      <c r="E14" s="32" t="s">
        <v>295</v>
      </c>
      <c r="F14" s="51">
        <v>75000</v>
      </c>
      <c r="G14" s="37" t="s">
        <v>178</v>
      </c>
      <c r="H14" s="39" t="s">
        <v>296</v>
      </c>
      <c r="I14" s="39" t="s">
        <v>315</v>
      </c>
    </row>
    <row r="15" spans="1:11" x14ac:dyDescent="0.3">
      <c r="A15" s="48" t="s">
        <v>28</v>
      </c>
      <c r="B15" s="13"/>
      <c r="C15" s="13"/>
      <c r="D15" s="13"/>
      <c r="E15" s="13"/>
      <c r="F15" s="52">
        <f>SUM(F12:F14)</f>
        <v>220100</v>
      </c>
      <c r="G15" s="13"/>
      <c r="H15" s="13"/>
      <c r="I15" s="13"/>
    </row>
    <row r="17" spans="1:4" x14ac:dyDescent="0.3">
      <c r="A17" s="128" t="s">
        <v>316</v>
      </c>
      <c r="B17" s="87"/>
      <c r="C17" s="87"/>
    </row>
    <row r="18" spans="1:4" x14ac:dyDescent="0.3">
      <c r="A18" t="s">
        <v>317</v>
      </c>
      <c r="D18" s="19">
        <f>COUNTA(B12:B14)</f>
        <v>3</v>
      </c>
    </row>
    <row r="19" spans="1:4" x14ac:dyDescent="0.3">
      <c r="A19" t="s">
        <v>318</v>
      </c>
      <c r="D19" s="19">
        <f>COUNTIF(A12:A14,"*INT*")</f>
        <v>2</v>
      </c>
    </row>
    <row r="20" spans="1:4" x14ac:dyDescent="0.3">
      <c r="A20" t="s">
        <v>319</v>
      </c>
      <c r="D20" s="19">
        <f>COUNTIF(A12:A14,"*NAC*")</f>
        <v>1</v>
      </c>
    </row>
    <row r="21" spans="1:4" x14ac:dyDescent="0.3">
      <c r="A21" t="s">
        <v>320</v>
      </c>
      <c r="D21" s="53">
        <f>F15/COUNTA(B12:B14)</f>
        <v>73366.666666666672</v>
      </c>
    </row>
    <row r="35" spans="1:8" x14ac:dyDescent="0.3">
      <c r="A35" s="64" t="s">
        <v>366</v>
      </c>
      <c r="B35" s="62"/>
      <c r="C35" s="62"/>
      <c r="F35" s="64" t="s">
        <v>367</v>
      </c>
      <c r="G35" s="62"/>
      <c r="H35" s="62"/>
    </row>
    <row r="36" spans="1:8" x14ac:dyDescent="0.3">
      <c r="A36" s="63" t="s">
        <v>368</v>
      </c>
      <c r="F36" s="63" t="s">
        <v>368</v>
      </c>
    </row>
    <row r="45" spans="1:8" x14ac:dyDescent="0.3">
      <c r="A45" s="6" t="str">
        <f>HYPERLINK("#'INDICE'!A44","&lt;&lt; Volver al Indice")</f>
        <v>&lt;&lt; Volver al Indice</v>
      </c>
    </row>
  </sheetData>
  <mergeCells count="7">
    <mergeCell ref="A17:C17"/>
    <mergeCell ref="A5:H5"/>
    <mergeCell ref="A3:H3"/>
    <mergeCell ref="A9:I9"/>
    <mergeCell ref="A6:H6"/>
    <mergeCell ref="A7:H7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INDICE</vt:lpstr>
      <vt:lpstr>PROGRAMA</vt:lpstr>
      <vt:lpstr>D</vt:lpstr>
      <vt:lpstr>D-SUM</vt:lpstr>
      <vt:lpstr>D-1</vt:lpstr>
      <vt:lpstr>D-1.1</vt:lpstr>
      <vt:lpstr>D-1.2</vt:lpstr>
      <vt:lpstr>D-2</vt:lpstr>
      <vt:lpstr>D-2.1</vt:lpstr>
      <vt:lpstr>D-2.2</vt:lpstr>
      <vt:lpstr>D-3</vt:lpstr>
      <vt:lpstr>D-4</vt:lpstr>
      <vt:lpstr>D-5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Ángel</cp:lastModifiedBy>
  <dcterms:created xsi:type="dcterms:W3CDTF">2025-11-05T12:59:36Z</dcterms:created>
  <dcterms:modified xsi:type="dcterms:W3CDTF">2025-12-08T03:52:03Z</dcterms:modified>
</cp:coreProperties>
</file>