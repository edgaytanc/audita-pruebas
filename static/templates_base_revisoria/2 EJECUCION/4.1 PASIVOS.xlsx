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978ECA16-8687-4825-969E-47179CE10AC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ÍNDICE" sheetId="1" r:id="rId1"/>
    <sheet name="PF PROGRAMA" sheetId="2" r:id="rId2"/>
    <sheet name="F-SUM Sumaria" sheetId="3" r:id="rId3"/>
    <sheet name="F-1 Oblig Financ" sheetId="4" r:id="rId4"/>
    <sheet name="F-1.1 Créditos" sheetId="5" r:id="rId5"/>
    <sheet name="F-1.2 Leasing" sheetId="6" r:id="rId6"/>
    <sheet name="F-1.3 Tasas" sheetId="7" r:id="rId7"/>
    <sheet name="F-2 Proveedores" sheetId="8" r:id="rId8"/>
    <sheet name="F-2.1 Circular" sheetId="9" r:id="rId9"/>
    <sheet name="COSTOS Y GASTOS" sheetId="10" r:id="rId10"/>
    <sheet name="F-4 Laborales" sheetId="12" r:id="rId11"/>
    <sheet name="F-4.1 Prestaciones" sheetId="13" r:id="rId12"/>
    <sheet name="CALCULOS NOMINA" sheetId="11" r:id="rId13"/>
    <sheet name="F-4.3 Parafiscales" sheetId="15" r:id="rId14"/>
    <sheet name="F-5 Provisiones" sheetId="16" r:id="rId15"/>
    <sheet name="F-6 Contingencias" sheetId="17" r:id="rId16"/>
    <sheet name="F-7 Impuestos" sheetId="18" r:id="rId17"/>
  </sheets>
  <externalReferences>
    <externalReference r:id="rId18"/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8" l="1"/>
  <c r="F97" i="18" s="1"/>
  <c r="B97" i="18"/>
  <c r="D97" i="18" s="1"/>
  <c r="C96" i="18"/>
  <c r="F96" i="18" s="1"/>
  <c r="B96" i="18"/>
  <c r="D96" i="18" s="1"/>
  <c r="C95" i="18"/>
  <c r="F95" i="18" s="1"/>
  <c r="B95" i="18"/>
  <c r="C82" i="18"/>
  <c r="B82" i="18"/>
  <c r="D81" i="18"/>
  <c r="D80" i="18"/>
  <c r="D79" i="18"/>
  <c r="D78" i="18"/>
  <c r="E77" i="18"/>
  <c r="D77" i="18"/>
  <c r="D76" i="18"/>
  <c r="G64" i="18"/>
  <c r="D64" i="18"/>
  <c r="B64" i="18"/>
  <c r="E63" i="18"/>
  <c r="C63" i="18"/>
  <c r="E62" i="18"/>
  <c r="F62" i="18" s="1"/>
  <c r="H62" i="18" s="1"/>
  <c r="I62" i="18" s="1"/>
  <c r="C62" i="18"/>
  <c r="E61" i="18"/>
  <c r="C61" i="18"/>
  <c r="F61" i="18" s="1"/>
  <c r="H61" i="18" s="1"/>
  <c r="I61" i="18" s="1"/>
  <c r="E60" i="18"/>
  <c r="C60" i="18"/>
  <c r="F60" i="18" s="1"/>
  <c r="H60" i="18" s="1"/>
  <c r="I60" i="18" s="1"/>
  <c r="E59" i="18"/>
  <c r="C59" i="18"/>
  <c r="F59" i="18" s="1"/>
  <c r="H59" i="18" s="1"/>
  <c r="I59" i="18" s="1"/>
  <c r="E58" i="18"/>
  <c r="C58" i="18"/>
  <c r="F57" i="18"/>
  <c r="H57" i="18" s="1"/>
  <c r="I57" i="18" s="1"/>
  <c r="E57" i="18"/>
  <c r="C57" i="18"/>
  <c r="E56" i="18"/>
  <c r="C56" i="18"/>
  <c r="E55" i="18"/>
  <c r="C55" i="18"/>
  <c r="E54" i="18"/>
  <c r="C54" i="18"/>
  <c r="F54" i="18" s="1"/>
  <c r="H54" i="18" s="1"/>
  <c r="I54" i="18" s="1"/>
  <c r="E53" i="18"/>
  <c r="C53" i="18"/>
  <c r="F53" i="18" s="1"/>
  <c r="H53" i="18" s="1"/>
  <c r="I53" i="18" s="1"/>
  <c r="E52" i="18"/>
  <c r="C52" i="18"/>
  <c r="F52" i="18" s="1"/>
  <c r="B29" i="18"/>
  <c r="B24" i="18"/>
  <c r="A71" i="13"/>
  <c r="A77" i="12"/>
  <c r="O42" i="13"/>
  <c r="G42" i="13"/>
  <c r="E42" i="13"/>
  <c r="R41" i="13"/>
  <c r="Q41" i="13"/>
  <c r="P41" i="13"/>
  <c r="M41" i="13"/>
  <c r="I41" i="13"/>
  <c r="H41" i="13"/>
  <c r="L41" i="13" s="1"/>
  <c r="F41" i="13"/>
  <c r="R40" i="13"/>
  <c r="Q40" i="13"/>
  <c r="P40" i="13"/>
  <c r="M40" i="13"/>
  <c r="I40" i="13"/>
  <c r="H40" i="13"/>
  <c r="L40" i="13" s="1"/>
  <c r="F40" i="13"/>
  <c r="R39" i="13"/>
  <c r="Q39" i="13"/>
  <c r="P39" i="13"/>
  <c r="M39" i="13"/>
  <c r="L39" i="13"/>
  <c r="J39" i="13"/>
  <c r="K39" i="13" s="1"/>
  <c r="I39" i="13"/>
  <c r="H39" i="13"/>
  <c r="F39" i="13"/>
  <c r="Q38" i="13"/>
  <c r="P38" i="13"/>
  <c r="R38" i="13" s="1"/>
  <c r="M38" i="13"/>
  <c r="L38" i="13"/>
  <c r="I38" i="13"/>
  <c r="H38" i="13"/>
  <c r="J38" i="13" s="1"/>
  <c r="F38" i="13"/>
  <c r="R37" i="13"/>
  <c r="Q37" i="13"/>
  <c r="P37" i="13"/>
  <c r="M37" i="13"/>
  <c r="J37" i="13"/>
  <c r="K37" i="13" s="1"/>
  <c r="I37" i="13"/>
  <c r="H37" i="13"/>
  <c r="L37" i="13" s="1"/>
  <c r="F37" i="13"/>
  <c r="Q36" i="13"/>
  <c r="P36" i="13"/>
  <c r="R36" i="13" s="1"/>
  <c r="M36" i="13"/>
  <c r="J36" i="13"/>
  <c r="K36" i="13" s="1"/>
  <c r="I36" i="13"/>
  <c r="H36" i="13"/>
  <c r="L36" i="13" s="1"/>
  <c r="F36" i="13"/>
  <c r="Q35" i="13"/>
  <c r="P35" i="13"/>
  <c r="R35" i="13" s="1"/>
  <c r="M35" i="13"/>
  <c r="L35" i="13"/>
  <c r="I35" i="13"/>
  <c r="H35" i="13"/>
  <c r="J35" i="13" s="1"/>
  <c r="K35" i="13" s="1"/>
  <c r="F35" i="13"/>
  <c r="R34" i="13"/>
  <c r="Q34" i="13"/>
  <c r="P34" i="13"/>
  <c r="M34" i="13"/>
  <c r="L34" i="13"/>
  <c r="J34" i="13"/>
  <c r="N34" i="13" s="1"/>
  <c r="I34" i="13"/>
  <c r="H34" i="13"/>
  <c r="F34" i="13"/>
  <c r="Q33" i="13"/>
  <c r="P33" i="13"/>
  <c r="R33" i="13" s="1"/>
  <c r="M33" i="13"/>
  <c r="L33" i="13"/>
  <c r="I33" i="13"/>
  <c r="H33" i="13"/>
  <c r="J33" i="13" s="1"/>
  <c r="F33" i="13"/>
  <c r="R32" i="13"/>
  <c r="Q32" i="13"/>
  <c r="P32" i="13"/>
  <c r="N32" i="13"/>
  <c r="M32" i="13"/>
  <c r="J32" i="13"/>
  <c r="K32" i="13" s="1"/>
  <c r="I32" i="13"/>
  <c r="H32" i="13"/>
  <c r="L32" i="13" s="1"/>
  <c r="F32" i="13"/>
  <c r="Q31" i="13"/>
  <c r="P31" i="13"/>
  <c r="R31" i="13" s="1"/>
  <c r="M31" i="13"/>
  <c r="I31" i="13"/>
  <c r="H31" i="13"/>
  <c r="L31" i="13" s="1"/>
  <c r="F31" i="13"/>
  <c r="R30" i="13"/>
  <c r="Q30" i="13"/>
  <c r="P30" i="13"/>
  <c r="M30" i="13"/>
  <c r="J30" i="13"/>
  <c r="N30" i="13" s="1"/>
  <c r="I30" i="13"/>
  <c r="H30" i="13"/>
  <c r="L30" i="13" s="1"/>
  <c r="F30" i="13"/>
  <c r="Q29" i="13"/>
  <c r="P29" i="13"/>
  <c r="R29" i="13" s="1"/>
  <c r="M29" i="13"/>
  <c r="L29" i="13"/>
  <c r="I29" i="13"/>
  <c r="H29" i="13"/>
  <c r="J29" i="13" s="1"/>
  <c r="K29" i="13" s="1"/>
  <c r="F29" i="13"/>
  <c r="R28" i="13"/>
  <c r="Q28" i="13"/>
  <c r="P28" i="13"/>
  <c r="N28" i="13"/>
  <c r="M28" i="13"/>
  <c r="J28" i="13"/>
  <c r="K28" i="13" s="1"/>
  <c r="I28" i="13"/>
  <c r="H28" i="13"/>
  <c r="L28" i="13" s="1"/>
  <c r="F28" i="13"/>
  <c r="Q27" i="13"/>
  <c r="P27" i="13"/>
  <c r="R27" i="13" s="1"/>
  <c r="M27" i="13"/>
  <c r="L27" i="13"/>
  <c r="I27" i="13"/>
  <c r="H27" i="13"/>
  <c r="J27" i="13" s="1"/>
  <c r="K27" i="13" s="1"/>
  <c r="F27" i="13"/>
  <c r="R26" i="13"/>
  <c r="Q26" i="13"/>
  <c r="P26" i="13"/>
  <c r="M26" i="13"/>
  <c r="I26" i="13"/>
  <c r="H26" i="13"/>
  <c r="J26" i="13" s="1"/>
  <c r="F26" i="13"/>
  <c r="R25" i="13"/>
  <c r="Q25" i="13"/>
  <c r="P25" i="13"/>
  <c r="M25" i="13"/>
  <c r="I25" i="13"/>
  <c r="H25" i="13"/>
  <c r="L25" i="13" s="1"/>
  <c r="F25" i="13"/>
  <c r="R24" i="13"/>
  <c r="Q24" i="13"/>
  <c r="P24" i="13"/>
  <c r="I24" i="13"/>
  <c r="M24" i="13" s="1"/>
  <c r="H24" i="13"/>
  <c r="F24" i="13"/>
  <c r="R23" i="13"/>
  <c r="Q23" i="13"/>
  <c r="P23" i="13"/>
  <c r="I23" i="13"/>
  <c r="M23" i="13" s="1"/>
  <c r="H23" i="13"/>
  <c r="F23" i="13"/>
  <c r="R22" i="13"/>
  <c r="Q22" i="13"/>
  <c r="P22" i="13"/>
  <c r="I22" i="13"/>
  <c r="M22" i="13" s="1"/>
  <c r="F22" i="13"/>
  <c r="H22" i="13" s="1"/>
  <c r="R21" i="13"/>
  <c r="Q21" i="13"/>
  <c r="P21" i="13"/>
  <c r="I21" i="13"/>
  <c r="M21" i="13" s="1"/>
  <c r="F21" i="13"/>
  <c r="H21" i="13" s="1"/>
  <c r="L21" i="13" s="1"/>
  <c r="R20" i="13"/>
  <c r="Q20" i="13"/>
  <c r="P20" i="13"/>
  <c r="I20" i="13"/>
  <c r="J20" i="13" s="1"/>
  <c r="H20" i="13"/>
  <c r="F20" i="13"/>
  <c r="Q19" i="13"/>
  <c r="P19" i="13"/>
  <c r="R19" i="13" s="1"/>
  <c r="I19" i="13"/>
  <c r="M19" i="13" s="1"/>
  <c r="H19" i="13"/>
  <c r="F19" i="13"/>
  <c r="Q18" i="13"/>
  <c r="P18" i="13"/>
  <c r="R18" i="13" s="1"/>
  <c r="M18" i="13"/>
  <c r="I18" i="13"/>
  <c r="F18" i="13"/>
  <c r="F42" i="13" s="1"/>
  <c r="R17" i="13"/>
  <c r="Q17" i="13"/>
  <c r="P17" i="13"/>
  <c r="I17" i="13"/>
  <c r="M17" i="13" s="1"/>
  <c r="F17" i="13"/>
  <c r="H17" i="13" s="1"/>
  <c r="L18" i="12"/>
  <c r="M19" i="12"/>
  <c r="M20" i="12"/>
  <c r="J21" i="12"/>
  <c r="K21" i="12" s="1"/>
  <c r="M21" i="12"/>
  <c r="M22" i="12"/>
  <c r="M23" i="12"/>
  <c r="J24" i="12"/>
  <c r="K24" i="12" s="1"/>
  <c r="L24" i="12"/>
  <c r="M24" i="12"/>
  <c r="M25" i="12"/>
  <c r="M26" i="12"/>
  <c r="M27" i="12"/>
  <c r="M28" i="12"/>
  <c r="J29" i="12"/>
  <c r="K29" i="12" s="1"/>
  <c r="M29" i="12"/>
  <c r="M30" i="12"/>
  <c r="M31" i="12"/>
  <c r="M32" i="12"/>
  <c r="J33" i="12"/>
  <c r="K33" i="12" s="1"/>
  <c r="L33" i="12"/>
  <c r="M33" i="12"/>
  <c r="M34" i="12"/>
  <c r="M35" i="12"/>
  <c r="M36" i="12"/>
  <c r="I19" i="12"/>
  <c r="B45" i="12"/>
  <c r="B44" i="12"/>
  <c r="B42" i="12"/>
  <c r="O37" i="12"/>
  <c r="G37" i="12"/>
  <c r="E37" i="12"/>
  <c r="P36" i="12"/>
  <c r="I36" i="12"/>
  <c r="F36" i="12"/>
  <c r="H36" i="12" s="1"/>
  <c r="J36" i="12" s="1"/>
  <c r="K36" i="12" s="1"/>
  <c r="P35" i="12"/>
  <c r="I35" i="12"/>
  <c r="F35" i="12"/>
  <c r="H35" i="12" s="1"/>
  <c r="L35" i="12" s="1"/>
  <c r="P34" i="12"/>
  <c r="I34" i="12"/>
  <c r="F34" i="12"/>
  <c r="H34" i="12" s="1"/>
  <c r="J34" i="12" s="1"/>
  <c r="K34" i="12" s="1"/>
  <c r="P33" i="12"/>
  <c r="I33" i="12"/>
  <c r="F33" i="12"/>
  <c r="H33" i="12" s="1"/>
  <c r="P32" i="12"/>
  <c r="I32" i="12"/>
  <c r="F32" i="12"/>
  <c r="H32" i="12" s="1"/>
  <c r="J32" i="12" s="1"/>
  <c r="K32" i="12" s="1"/>
  <c r="P31" i="12"/>
  <c r="I31" i="12"/>
  <c r="F31" i="12"/>
  <c r="H31" i="12" s="1"/>
  <c r="J31" i="12" s="1"/>
  <c r="K31" i="12" s="1"/>
  <c r="P30" i="12"/>
  <c r="I30" i="12"/>
  <c r="F30" i="12"/>
  <c r="H30" i="12" s="1"/>
  <c r="P29" i="12"/>
  <c r="I29" i="12"/>
  <c r="L29" i="12" s="1"/>
  <c r="F29" i="12"/>
  <c r="H29" i="12" s="1"/>
  <c r="P28" i="12"/>
  <c r="I28" i="12"/>
  <c r="F28" i="12"/>
  <c r="H28" i="12" s="1"/>
  <c r="L28" i="12" s="1"/>
  <c r="P27" i="12"/>
  <c r="I27" i="12"/>
  <c r="F27" i="12"/>
  <c r="H27" i="12" s="1"/>
  <c r="J27" i="12" s="1"/>
  <c r="K27" i="12" s="1"/>
  <c r="P26" i="12"/>
  <c r="I26" i="12"/>
  <c r="F26" i="12"/>
  <c r="H26" i="12" s="1"/>
  <c r="J26" i="12" s="1"/>
  <c r="K26" i="12" s="1"/>
  <c r="P25" i="12"/>
  <c r="I25" i="12"/>
  <c r="J25" i="12" s="1"/>
  <c r="K25" i="12" s="1"/>
  <c r="F25" i="12"/>
  <c r="H25" i="12" s="1"/>
  <c r="L25" i="12" s="1"/>
  <c r="P24" i="12"/>
  <c r="I24" i="12"/>
  <c r="F24" i="12"/>
  <c r="H24" i="12" s="1"/>
  <c r="P23" i="12"/>
  <c r="I23" i="12"/>
  <c r="F23" i="12"/>
  <c r="H23" i="12" s="1"/>
  <c r="L23" i="12" s="1"/>
  <c r="P22" i="12"/>
  <c r="I22" i="12"/>
  <c r="F22" i="12"/>
  <c r="H22" i="12" s="1"/>
  <c r="J22" i="12" s="1"/>
  <c r="K22" i="12" s="1"/>
  <c r="P21" i="12"/>
  <c r="I21" i="12"/>
  <c r="F21" i="12"/>
  <c r="H21" i="12" s="1"/>
  <c r="L21" i="12" s="1"/>
  <c r="P20" i="12"/>
  <c r="I20" i="12"/>
  <c r="F20" i="12"/>
  <c r="H20" i="12" s="1"/>
  <c r="L20" i="12" s="1"/>
  <c r="P19" i="12"/>
  <c r="F19" i="12"/>
  <c r="H19" i="12" s="1"/>
  <c r="P18" i="12"/>
  <c r="F18" i="12"/>
  <c r="H18" i="12" s="1"/>
  <c r="J18" i="12" s="1"/>
  <c r="K18" i="12" s="1"/>
  <c r="P17" i="12"/>
  <c r="M17" i="12"/>
  <c r="M37" i="12" s="1"/>
  <c r="F17" i="12"/>
  <c r="A46" i="17"/>
  <c r="E21" i="16"/>
  <c r="D21" i="16"/>
  <c r="C21" i="16"/>
  <c r="B21" i="16"/>
  <c r="H19" i="16"/>
  <c r="F19" i="16"/>
  <c r="I19" i="16" s="1"/>
  <c r="H18" i="16"/>
  <c r="F18" i="16"/>
  <c r="I18" i="16" s="1"/>
  <c r="H17" i="16"/>
  <c r="F17" i="16"/>
  <c r="I17" i="16" s="1"/>
  <c r="H16" i="16"/>
  <c r="F16" i="16"/>
  <c r="I16" i="16" s="1"/>
  <c r="H15" i="16"/>
  <c r="F15" i="16"/>
  <c r="I15" i="16" s="1"/>
  <c r="H14" i="16"/>
  <c r="F14" i="16"/>
  <c r="J24" i="15"/>
  <c r="B24" i="15"/>
  <c r="H22" i="15"/>
  <c r="G22" i="15"/>
  <c r="F22" i="15"/>
  <c r="D22" i="15"/>
  <c r="C22" i="15"/>
  <c r="H21" i="15"/>
  <c r="G21" i="15"/>
  <c r="F21" i="15"/>
  <c r="D21" i="15"/>
  <c r="C21" i="15"/>
  <c r="H20" i="15"/>
  <c r="G20" i="15"/>
  <c r="F20" i="15"/>
  <c r="D20" i="15"/>
  <c r="C20" i="15"/>
  <c r="H19" i="15"/>
  <c r="G19" i="15"/>
  <c r="F19" i="15"/>
  <c r="D19" i="15"/>
  <c r="C19" i="15"/>
  <c r="H18" i="15"/>
  <c r="G18" i="15"/>
  <c r="F18" i="15"/>
  <c r="D18" i="15"/>
  <c r="C18" i="15"/>
  <c r="H17" i="15"/>
  <c r="G17" i="15"/>
  <c r="F17" i="15"/>
  <c r="D17" i="15"/>
  <c r="C17" i="15"/>
  <c r="H16" i="15"/>
  <c r="G16" i="15"/>
  <c r="F16" i="15"/>
  <c r="D16" i="15"/>
  <c r="C16" i="15"/>
  <c r="H15" i="15"/>
  <c r="G15" i="15"/>
  <c r="F15" i="15"/>
  <c r="D15" i="15"/>
  <c r="C15" i="15"/>
  <c r="H14" i="15"/>
  <c r="G14" i="15"/>
  <c r="F14" i="15"/>
  <c r="D14" i="15"/>
  <c r="C14" i="15"/>
  <c r="H13" i="15"/>
  <c r="G13" i="15"/>
  <c r="F13" i="15"/>
  <c r="D13" i="15"/>
  <c r="C13" i="15"/>
  <c r="H12" i="15"/>
  <c r="G12" i="15"/>
  <c r="F12" i="15"/>
  <c r="D12" i="15"/>
  <c r="C12" i="15"/>
  <c r="H11" i="15"/>
  <c r="G11" i="15"/>
  <c r="F11" i="15"/>
  <c r="D11" i="15"/>
  <c r="C11" i="15"/>
  <c r="A46" i="16"/>
  <c r="A49" i="15"/>
  <c r="A62" i="11"/>
  <c r="K39" i="11"/>
  <c r="D39" i="11"/>
  <c r="C39" i="11"/>
  <c r="B39" i="11"/>
  <c r="E37" i="11"/>
  <c r="F37" i="11" s="1"/>
  <c r="E36" i="11"/>
  <c r="G36" i="11" s="1"/>
  <c r="E35" i="11"/>
  <c r="F35" i="11" s="1"/>
  <c r="E34" i="11"/>
  <c r="E33" i="11"/>
  <c r="F33" i="11" s="1"/>
  <c r="E32" i="11"/>
  <c r="G32" i="11" s="1"/>
  <c r="E31" i="11"/>
  <c r="E30" i="11"/>
  <c r="F30" i="11" s="1"/>
  <c r="E29" i="11"/>
  <c r="F29" i="11" s="1"/>
  <c r="E28" i="11"/>
  <c r="G28" i="11" s="1"/>
  <c r="E27" i="11"/>
  <c r="E26" i="11"/>
  <c r="F26" i="11" s="1"/>
  <c r="E25" i="11"/>
  <c r="F25" i="11" s="1"/>
  <c r="E24" i="11"/>
  <c r="G24" i="11" s="1"/>
  <c r="E23" i="11"/>
  <c r="G22" i="11"/>
  <c r="E22" i="11"/>
  <c r="F22" i="11" s="1"/>
  <c r="E21" i="11"/>
  <c r="F21" i="11" s="1"/>
  <c r="E20" i="11"/>
  <c r="G20" i="11" s="1"/>
  <c r="E19" i="11"/>
  <c r="E18" i="11"/>
  <c r="G18" i="11" s="1"/>
  <c r="E17" i="11"/>
  <c r="F17" i="11" s="1"/>
  <c r="E16" i="11"/>
  <c r="G16" i="11" s="1"/>
  <c r="E15" i="11"/>
  <c r="F15" i="11" s="1"/>
  <c r="E14" i="11"/>
  <c r="F14" i="11" s="1"/>
  <c r="G13" i="11"/>
  <c r="F13" i="11"/>
  <c r="I21" i="15" l="1"/>
  <c r="K21" i="15" s="1"/>
  <c r="I13" i="15"/>
  <c r="K13" i="15" s="1"/>
  <c r="N33" i="13"/>
  <c r="K33" i="13"/>
  <c r="N38" i="13"/>
  <c r="K38" i="13"/>
  <c r="J19" i="12"/>
  <c r="K19" i="12" s="1"/>
  <c r="L19" i="12"/>
  <c r="J30" i="12"/>
  <c r="K30" i="12" s="1"/>
  <c r="L30" i="12"/>
  <c r="N26" i="13"/>
  <c r="K26" i="13"/>
  <c r="J28" i="12"/>
  <c r="K28" i="12" s="1"/>
  <c r="N28" i="12" s="1"/>
  <c r="N24" i="12"/>
  <c r="J20" i="12"/>
  <c r="K20" i="12" s="1"/>
  <c r="N20" i="12" s="1"/>
  <c r="I12" i="15"/>
  <c r="K12" i="15" s="1"/>
  <c r="I17" i="15"/>
  <c r="K17" i="15" s="1"/>
  <c r="F21" i="16"/>
  <c r="L26" i="13"/>
  <c r="J40" i="13"/>
  <c r="K40" i="13" s="1"/>
  <c r="J41" i="13"/>
  <c r="F56" i="18"/>
  <c r="H56" i="18" s="1"/>
  <c r="I56" i="18" s="1"/>
  <c r="F63" i="18"/>
  <c r="H63" i="18" s="1"/>
  <c r="I63" i="18" s="1"/>
  <c r="D95" i="18"/>
  <c r="F37" i="12"/>
  <c r="L20" i="13"/>
  <c r="F79" i="18"/>
  <c r="I79" i="18" s="1"/>
  <c r="L19" i="13"/>
  <c r="E79" i="18"/>
  <c r="E95" i="18"/>
  <c r="M20" i="13"/>
  <c r="M42" i="13" s="1"/>
  <c r="I16" i="15"/>
  <c r="K16" i="15" s="1"/>
  <c r="L36" i="12"/>
  <c r="N36" i="12" s="1"/>
  <c r="L32" i="12"/>
  <c r="N32" i="12" s="1"/>
  <c r="L23" i="13"/>
  <c r="L24" i="13"/>
  <c r="F24" i="15"/>
  <c r="J25" i="13"/>
  <c r="K25" i="13" s="1"/>
  <c r="K30" i="13"/>
  <c r="E64" i="18"/>
  <c r="F58" i="18"/>
  <c r="H58" i="18" s="1"/>
  <c r="I58" i="18" s="1"/>
  <c r="D82" i="18"/>
  <c r="E81" i="18"/>
  <c r="G81" i="18" s="1"/>
  <c r="H81" i="18" s="1"/>
  <c r="J23" i="13"/>
  <c r="K23" i="13" s="1"/>
  <c r="J31" i="13"/>
  <c r="F55" i="18"/>
  <c r="H55" i="18" s="1"/>
  <c r="I55" i="18" s="1"/>
  <c r="F77" i="18"/>
  <c r="I77" i="18" s="1"/>
  <c r="J35" i="12"/>
  <c r="K35" i="12" s="1"/>
  <c r="J19" i="13"/>
  <c r="K19" i="13" s="1"/>
  <c r="N36" i="13"/>
  <c r="L31" i="12"/>
  <c r="N31" i="12" s="1"/>
  <c r="L26" i="12"/>
  <c r="N26" i="12" s="1"/>
  <c r="J23" i="12"/>
  <c r="K23" i="12" s="1"/>
  <c r="L27" i="12"/>
  <c r="N27" i="12" s="1"/>
  <c r="L22" i="12"/>
  <c r="N22" i="12" s="1"/>
  <c r="J21" i="13"/>
  <c r="N27" i="13"/>
  <c r="L34" i="12"/>
  <c r="N34" i="12" s="1"/>
  <c r="N37" i="13"/>
  <c r="J24" i="13"/>
  <c r="K24" i="13" s="1"/>
  <c r="K34" i="13"/>
  <c r="E96" i="18"/>
  <c r="E97" i="18"/>
  <c r="H77" i="18"/>
  <c r="E76" i="18"/>
  <c r="F76" i="18" s="1"/>
  <c r="G77" i="18"/>
  <c r="E78" i="18"/>
  <c r="F78" i="18" s="1"/>
  <c r="I78" i="18" s="1"/>
  <c r="G79" i="18"/>
  <c r="H79" i="18" s="1"/>
  <c r="E80" i="18"/>
  <c r="H52" i="18"/>
  <c r="C64" i="18"/>
  <c r="B31" i="18"/>
  <c r="B35" i="18" s="1"/>
  <c r="B37" i="18" s="1"/>
  <c r="B40" i="18" s="1"/>
  <c r="B43" i="18" s="1"/>
  <c r="N20" i="13"/>
  <c r="K20" i="13"/>
  <c r="J22" i="13"/>
  <c r="L22" i="13"/>
  <c r="L17" i="13"/>
  <c r="L42" i="13" s="1"/>
  <c r="N29" i="13"/>
  <c r="J17" i="13"/>
  <c r="H18" i="13"/>
  <c r="H42" i="13" s="1"/>
  <c r="K31" i="13"/>
  <c r="N31" i="13"/>
  <c r="P42" i="13"/>
  <c r="N23" i="13"/>
  <c r="N40" i="13"/>
  <c r="N35" i="13"/>
  <c r="N39" i="13"/>
  <c r="N18" i="12"/>
  <c r="N25" i="12"/>
  <c r="N21" i="12"/>
  <c r="N29" i="12"/>
  <c r="N33" i="12"/>
  <c r="H17" i="12"/>
  <c r="I14" i="16"/>
  <c r="G24" i="15"/>
  <c r="C24" i="15"/>
  <c r="H24" i="15"/>
  <c r="I18" i="15"/>
  <c r="K18" i="15" s="1"/>
  <c r="I22" i="15"/>
  <c r="K22" i="15" s="1"/>
  <c r="D24" i="15"/>
  <c r="I15" i="15"/>
  <c r="K15" i="15" s="1"/>
  <c r="I19" i="15"/>
  <c r="K19" i="15" s="1"/>
  <c r="I20" i="15"/>
  <c r="K20" i="15" s="1"/>
  <c r="I11" i="15"/>
  <c r="I14" i="15"/>
  <c r="K14" i="15" s="1"/>
  <c r="G26" i="11"/>
  <c r="G29" i="11"/>
  <c r="I29" i="11" s="1"/>
  <c r="J29" i="11" s="1"/>
  <c r="I33" i="11"/>
  <c r="J33" i="11" s="1"/>
  <c r="I26" i="11"/>
  <c r="J26" i="11" s="1"/>
  <c r="G33" i="11"/>
  <c r="I22" i="11"/>
  <c r="J22" i="11" s="1"/>
  <c r="I25" i="11"/>
  <c r="J25" i="11" s="1"/>
  <c r="G25" i="11"/>
  <c r="F34" i="11"/>
  <c r="I34" i="11" s="1"/>
  <c r="J34" i="11" s="1"/>
  <c r="G21" i="11"/>
  <c r="I21" i="11" s="1"/>
  <c r="J21" i="11" s="1"/>
  <c r="G34" i="11"/>
  <c r="G37" i="11"/>
  <c r="I37" i="11" s="1"/>
  <c r="J37" i="11" s="1"/>
  <c r="F18" i="11"/>
  <c r="I18" i="11" s="1"/>
  <c r="J18" i="11" s="1"/>
  <c r="G14" i="11"/>
  <c r="I14" i="11" s="1"/>
  <c r="J14" i="11" s="1"/>
  <c r="G17" i="11"/>
  <c r="I17" i="11" s="1"/>
  <c r="J17" i="11" s="1"/>
  <c r="G30" i="11"/>
  <c r="I30" i="11" s="1"/>
  <c r="J30" i="11" s="1"/>
  <c r="I13" i="11"/>
  <c r="J13" i="11" s="1"/>
  <c r="F19" i="11"/>
  <c r="F23" i="11"/>
  <c r="F27" i="11"/>
  <c r="F31" i="11"/>
  <c r="G15" i="11"/>
  <c r="I15" i="11" s="1"/>
  <c r="J15" i="11" s="1"/>
  <c r="F16" i="11"/>
  <c r="I16" i="11" s="1"/>
  <c r="J16" i="11" s="1"/>
  <c r="G19" i="11"/>
  <c r="F20" i="11"/>
  <c r="I20" i="11" s="1"/>
  <c r="J20" i="11" s="1"/>
  <c r="G23" i="11"/>
  <c r="F24" i="11"/>
  <c r="I24" i="11" s="1"/>
  <c r="J24" i="11" s="1"/>
  <c r="G27" i="11"/>
  <c r="F28" i="11"/>
  <c r="I28" i="11" s="1"/>
  <c r="J28" i="11" s="1"/>
  <c r="G31" i="11"/>
  <c r="F32" i="11"/>
  <c r="I32" i="11" s="1"/>
  <c r="J32" i="11" s="1"/>
  <c r="G35" i="11"/>
  <c r="I35" i="11" s="1"/>
  <c r="J35" i="11" s="1"/>
  <c r="F36" i="11"/>
  <c r="I36" i="11" s="1"/>
  <c r="J36" i="11" s="1"/>
  <c r="E39" i="11"/>
  <c r="N19" i="12" l="1"/>
  <c r="N19" i="13"/>
  <c r="F81" i="18"/>
  <c r="I81" i="18" s="1"/>
  <c r="N41" i="13"/>
  <c r="K41" i="13"/>
  <c r="N25" i="13"/>
  <c r="F64" i="18"/>
  <c r="N30" i="12"/>
  <c r="N23" i="12"/>
  <c r="N35" i="12"/>
  <c r="N24" i="13"/>
  <c r="K21" i="13"/>
  <c r="N21" i="13"/>
  <c r="I76" i="18"/>
  <c r="G80" i="18"/>
  <c r="H80" i="18"/>
  <c r="E82" i="18"/>
  <c r="G76" i="18"/>
  <c r="G78" i="18"/>
  <c r="H78" i="18" s="1"/>
  <c r="F80" i="18"/>
  <c r="I80" i="18" s="1"/>
  <c r="H64" i="18"/>
  <c r="I52" i="18"/>
  <c r="K17" i="13"/>
  <c r="K42" i="13" s="1"/>
  <c r="J42" i="13"/>
  <c r="N17" i="13"/>
  <c r="N42" i="13" s="1"/>
  <c r="J18" i="13"/>
  <c r="L18" i="13"/>
  <c r="N22" i="13"/>
  <c r="K22" i="13"/>
  <c r="H37" i="12"/>
  <c r="J17" i="12"/>
  <c r="J37" i="12" s="1"/>
  <c r="L17" i="12"/>
  <c r="L37" i="12" s="1"/>
  <c r="I24" i="15"/>
  <c r="K11" i="15"/>
  <c r="K24" i="15" s="1"/>
  <c r="G39" i="11"/>
  <c r="I27" i="11"/>
  <c r="J27" i="11" s="1"/>
  <c r="F39" i="11"/>
  <c r="I19" i="11"/>
  <c r="J19" i="11" s="1"/>
  <c r="I31" i="11"/>
  <c r="J31" i="11" s="1"/>
  <c r="I23" i="11"/>
  <c r="J23" i="11" s="1"/>
  <c r="J39" i="11" l="1"/>
  <c r="G82" i="18"/>
  <c r="F82" i="18"/>
  <c r="H76" i="18"/>
  <c r="H82" i="18" s="1"/>
  <c r="N18" i="13"/>
  <c r="K18" i="13"/>
  <c r="K17" i="12"/>
  <c r="K37" i="12" s="1"/>
  <c r="I39" i="11"/>
  <c r="N17" i="12" l="1"/>
  <c r="N37" i="12" s="1"/>
  <c r="A53" i="10" l="1"/>
  <c r="F25" i="10"/>
  <c r="E25" i="10"/>
  <c r="D25" i="10"/>
  <c r="G23" i="10"/>
  <c r="G22" i="10"/>
  <c r="G21" i="10"/>
  <c r="G20" i="10"/>
  <c r="G19" i="10"/>
  <c r="G18" i="10"/>
  <c r="G17" i="10"/>
  <c r="G16" i="10"/>
  <c r="A56" i="9"/>
  <c r="F34" i="9"/>
  <c r="E34" i="9"/>
  <c r="D34" i="9"/>
  <c r="C34" i="9"/>
  <c r="B34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A62" i="8"/>
  <c r="B37" i="8"/>
  <c r="B38" i="8" s="1"/>
  <c r="J33" i="8"/>
  <c r="H33" i="8"/>
  <c r="G33" i="8"/>
  <c r="J32" i="8"/>
  <c r="H32" i="8"/>
  <c r="G32" i="8"/>
  <c r="J31" i="8"/>
  <c r="H31" i="8"/>
  <c r="G31" i="8"/>
  <c r="J30" i="8"/>
  <c r="H30" i="8"/>
  <c r="G30" i="8"/>
  <c r="J29" i="8"/>
  <c r="H29" i="8"/>
  <c r="G29" i="8"/>
  <c r="J28" i="8"/>
  <c r="H28" i="8"/>
  <c r="G28" i="8"/>
  <c r="J27" i="8"/>
  <c r="H27" i="8"/>
  <c r="G27" i="8"/>
  <c r="J26" i="8"/>
  <c r="H26" i="8"/>
  <c r="G26" i="8"/>
  <c r="J25" i="8"/>
  <c r="H25" i="8"/>
  <c r="G25" i="8"/>
  <c r="J24" i="8"/>
  <c r="H24" i="8"/>
  <c r="G24" i="8"/>
  <c r="J23" i="8"/>
  <c r="H23" i="8"/>
  <c r="G23" i="8"/>
  <c r="J22" i="8"/>
  <c r="H22" i="8"/>
  <c r="G22" i="8"/>
  <c r="J21" i="8"/>
  <c r="H21" i="8"/>
  <c r="G21" i="8"/>
  <c r="J20" i="8"/>
  <c r="H20" i="8"/>
  <c r="G20" i="8"/>
  <c r="J19" i="8"/>
  <c r="H19" i="8"/>
  <c r="G19" i="8"/>
  <c r="J18" i="8"/>
  <c r="H18" i="8"/>
  <c r="G18" i="8"/>
  <c r="J17" i="8"/>
  <c r="H17" i="8"/>
  <c r="G17" i="8"/>
  <c r="J16" i="8"/>
  <c r="H16" i="8"/>
  <c r="G16" i="8"/>
  <c r="J15" i="8"/>
  <c r="H15" i="8"/>
  <c r="G15" i="8"/>
  <c r="J14" i="8"/>
  <c r="G14" i="8"/>
  <c r="H14" i="8" s="1"/>
  <c r="A52" i="7"/>
  <c r="H28" i="7"/>
  <c r="I28" i="7" s="1"/>
  <c r="E28" i="7"/>
  <c r="H27" i="7"/>
  <c r="I27" i="7" s="1"/>
  <c r="E27" i="7"/>
  <c r="I26" i="7"/>
  <c r="H26" i="7"/>
  <c r="E26" i="7"/>
  <c r="H25" i="7"/>
  <c r="I25" i="7" s="1"/>
  <c r="E25" i="7"/>
  <c r="H24" i="7"/>
  <c r="I24" i="7" s="1"/>
  <c r="E24" i="7"/>
  <c r="H23" i="7"/>
  <c r="I23" i="7" s="1"/>
  <c r="E23" i="7"/>
  <c r="H22" i="7"/>
  <c r="I22" i="7" s="1"/>
  <c r="E22" i="7"/>
  <c r="H21" i="7"/>
  <c r="I21" i="7" s="1"/>
  <c r="E21" i="7"/>
  <c r="H20" i="7"/>
  <c r="I20" i="7" s="1"/>
  <c r="E20" i="7"/>
  <c r="H19" i="7"/>
  <c r="I19" i="7" s="1"/>
  <c r="E19" i="7"/>
  <c r="H18" i="7"/>
  <c r="I18" i="7" s="1"/>
  <c r="E18" i="7"/>
  <c r="H17" i="7"/>
  <c r="I17" i="7" s="1"/>
  <c r="E17" i="7"/>
  <c r="H16" i="7"/>
  <c r="I16" i="7" s="1"/>
  <c r="E16" i="7"/>
  <c r="I15" i="7"/>
  <c r="H15" i="7"/>
  <c r="E15" i="7"/>
  <c r="I14" i="7"/>
  <c r="H14" i="7"/>
  <c r="E14" i="7"/>
  <c r="A42" i="6"/>
  <c r="H22" i="6"/>
  <c r="G22" i="6"/>
  <c r="I22" i="6" s="1"/>
  <c r="I20" i="6"/>
  <c r="K20" i="6" s="1"/>
  <c r="I19" i="6"/>
  <c r="K19" i="6" s="1"/>
  <c r="K18" i="6"/>
  <c r="I18" i="6"/>
  <c r="I17" i="6"/>
  <c r="K17" i="6" s="1"/>
  <c r="I16" i="6"/>
  <c r="K16" i="6" s="1"/>
  <c r="I15" i="6"/>
  <c r="K15" i="6" s="1"/>
  <c r="I14" i="6"/>
  <c r="K14" i="6" s="1"/>
  <c r="A49" i="5"/>
  <c r="H25" i="5"/>
  <c r="J25" i="5" s="1"/>
  <c r="H24" i="5"/>
  <c r="J24" i="5" s="1"/>
  <c r="H23" i="5"/>
  <c r="J23" i="5" s="1"/>
  <c r="H22" i="5"/>
  <c r="J22" i="5" s="1"/>
  <c r="H21" i="5"/>
  <c r="J21" i="5" s="1"/>
  <c r="H20" i="5"/>
  <c r="J20" i="5" s="1"/>
  <c r="H19" i="5"/>
  <c r="J19" i="5" s="1"/>
  <c r="H18" i="5"/>
  <c r="J18" i="5" s="1"/>
  <c r="H17" i="5"/>
  <c r="J17" i="5" s="1"/>
  <c r="H16" i="5"/>
  <c r="J16" i="5" s="1"/>
  <c r="A52" i="4"/>
  <c r="H32" i="4"/>
  <c r="G32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H22" i="3"/>
  <c r="F22" i="3"/>
  <c r="D22" i="3"/>
  <c r="C22" i="3"/>
  <c r="B22" i="3"/>
  <c r="E21" i="3"/>
  <c r="G21" i="3" s="1"/>
  <c r="I21" i="3" s="1"/>
  <c r="E20" i="3"/>
  <c r="G20" i="3" s="1"/>
  <c r="I20" i="3" s="1"/>
  <c r="E19" i="3"/>
  <c r="G19" i="3" s="1"/>
  <c r="I19" i="3" s="1"/>
  <c r="E18" i="3"/>
  <c r="G18" i="3" s="1"/>
  <c r="I18" i="3" s="1"/>
  <c r="E17" i="3"/>
  <c r="G17" i="3" s="1"/>
  <c r="I17" i="3" s="1"/>
  <c r="E16" i="3"/>
  <c r="G16" i="3" s="1"/>
  <c r="I16" i="3" s="1"/>
  <c r="E15" i="3"/>
  <c r="G15" i="3" s="1"/>
  <c r="I15" i="3" s="1"/>
  <c r="E14" i="3"/>
  <c r="E22" i="3" l="1"/>
  <c r="G25" i="10"/>
  <c r="I32" i="4"/>
  <c r="G34" i="9"/>
  <c r="G14" i="3"/>
  <c r="I14" i="3" l="1"/>
  <c r="I22" i="3" s="1"/>
  <c r="G22" i="3"/>
  <c r="A42" i="3" l="1"/>
</calcChain>
</file>

<file path=xl/sharedStrings.xml><?xml version="1.0" encoding="utf-8"?>
<sst xmlns="http://schemas.openxmlformats.org/spreadsheetml/2006/main" count="728" uniqueCount="401">
  <si>
    <t>Auditoría y Revisoría Fiscal</t>
  </si>
  <si>
    <t>FASE</t>
  </si>
  <si>
    <t>REFERENCIA</t>
  </si>
  <si>
    <t>DESCRIPCIÓN</t>
  </si>
  <si>
    <t>ACCESO</t>
  </si>
  <si>
    <t>PASIVOS</t>
  </si>
  <si>
    <t>PF</t>
  </si>
  <si>
    <t>Programa</t>
  </si>
  <si>
    <t>IR A HOJA &gt;&gt;</t>
  </si>
  <si>
    <t>F-SUM</t>
  </si>
  <si>
    <t>Cédula sumaria de pasivos</t>
  </si>
  <si>
    <t>F-1</t>
  </si>
  <si>
    <t>Confirmación de obligaciones financieras</t>
  </si>
  <si>
    <t>F-1.1</t>
  </si>
  <si>
    <t>Análisis de créditos bancarios</t>
  </si>
  <si>
    <t>F-1.2</t>
  </si>
  <si>
    <t>Análisis de leasing financiero</t>
  </si>
  <si>
    <t>F-1.3</t>
  </si>
  <si>
    <t>Verificación de tasas de interés</t>
  </si>
  <si>
    <t>F-2</t>
  </si>
  <si>
    <t>Proveedores y cuentas por pagar</t>
  </si>
  <si>
    <t>F-2.1</t>
  </si>
  <si>
    <t>Circularización de proveedores</t>
  </si>
  <si>
    <t>F-2.2</t>
  </si>
  <si>
    <t>Análisis de antigüedad de proveedores</t>
  </si>
  <si>
    <t>F-3</t>
  </si>
  <si>
    <t>Costos y gastos por pagar</t>
  </si>
  <si>
    <t>F-4</t>
  </si>
  <si>
    <t>Obligaciones laborales</t>
  </si>
  <si>
    <t>F-4.1</t>
  </si>
  <si>
    <t>Cálculo de prestaciones sociales</t>
  </si>
  <si>
    <t>F-4.2</t>
  </si>
  <si>
    <t>Cálculo de nómina</t>
  </si>
  <si>
    <t>F-4.3</t>
  </si>
  <si>
    <t>Aportes parafiscales y seguridad social</t>
  </si>
  <si>
    <t>F-5</t>
  </si>
  <si>
    <t>Pasivos estimados y provisiones</t>
  </si>
  <si>
    <t>F-6</t>
  </si>
  <si>
    <t>Contingencias y pasivos eventuales</t>
  </si>
  <si>
    <t>F-7</t>
  </si>
  <si>
    <t>Impuestos, gravámenes y tasas</t>
  </si>
  <si>
    <t>Fecha Elaboración</t>
  </si>
  <si>
    <t>ÁREA:</t>
  </si>
  <si>
    <t>Pasivos</t>
  </si>
  <si>
    <t>CUENTA:</t>
  </si>
  <si>
    <t>F - Pasivos Corrientes y No Corrientes</t>
  </si>
  <si>
    <t>RESPONSABLE:</t>
  </si>
  <si>
    <t>OBJETIVO GENERAL</t>
  </si>
  <si>
    <t>Obtener evidencia de auditoría suficiente y adecuada sobre la existencia, integridad, valuación y presentación de los pasivos conforme a las NIA 500, 501, 505 y 510.</t>
  </si>
  <si>
    <t>OBJETIVOS ESPECÍFICOS</t>
  </si>
  <si>
    <t>•</t>
  </si>
  <si>
    <t>Verificar la existencia y valuación de obligaciones financieras</t>
  </si>
  <si>
    <t>Confirmar saldos de proveedores mediante circularización</t>
  </si>
  <si>
    <t>Evaluar el cálculo de obligaciones laborales y parafiscales</t>
  </si>
  <si>
    <t>Verificar provisiones y pasivos contingentes</t>
  </si>
  <si>
    <t>Revisar el cálculo y pago de impuestos</t>
  </si>
  <si>
    <t>Verificar el cumplimiento de controles internos</t>
  </si>
  <si>
    <t>No.</t>
  </si>
  <si>
    <t>REF.</t>
  </si>
  <si>
    <t>PROCEDIMIENTO</t>
  </si>
  <si>
    <t>HECHO</t>
  </si>
  <si>
    <t>FECHA</t>
  </si>
  <si>
    <t>REVISADO</t>
  </si>
  <si>
    <t>VÍNCULO</t>
  </si>
  <si>
    <t>Prepare la cédula sumaria de pasivos</t>
  </si>
  <si>
    <t>VER &gt;&gt;</t>
  </si>
  <si>
    <t>Confirme obligaciones financieras con entidades</t>
  </si>
  <si>
    <t>Analice créditos bancarios vigentes</t>
  </si>
  <si>
    <t>Revise contratos de leasing financiero</t>
  </si>
  <si>
    <t>Verifique tasas de interés aplicadas</t>
  </si>
  <si>
    <t>Analice cuentas por pagar a proveedores</t>
  </si>
  <si>
    <t>Circularice proveedores principales</t>
  </si>
  <si>
    <t>Evalúe antigüedad de cuentas por pagar</t>
  </si>
  <si>
    <t>Verifique costos y gastos por pagar</t>
  </si>
  <si>
    <t>Analice obligaciones laborales</t>
  </si>
  <si>
    <t>Recalcule prestaciones sociales</t>
  </si>
  <si>
    <t>Verifique cálculos de nómina</t>
  </si>
  <si>
    <t>Revise aportes parafiscales</t>
  </si>
  <si>
    <t>Evalúe provisiones y su razonabilidad</t>
  </si>
  <si>
    <t>Analice contingencias y pasivos eventuales</t>
  </si>
  <si>
    <t>Verifique cálculo y pago de impuestos</t>
  </si>
  <si>
    <t>CONCLUSIÓN DEL PROGRAMA</t>
  </si>
  <si>
    <t>Basado en los procedimientos ejecutados, concluimos que:</t>
  </si>
  <si>
    <t>&lt;&lt; Volver al Índice</t>
  </si>
  <si>
    <t xml:space="preserve">Auditor </t>
  </si>
  <si>
    <t xml:space="preserve">Supervisor </t>
  </si>
  <si>
    <t xml:space="preserve">Fecha Aprobación </t>
  </si>
  <si>
    <t xml:space="preserve">                                                                       PROGRAMA DE AUDITORÍA - PASIVOS</t>
  </si>
  <si>
    <t>Preparado por: Firma</t>
  </si>
  <si>
    <t xml:space="preserve">Revisado por: </t>
  </si>
  <si>
    <t xml:space="preserve">Nombre </t>
  </si>
  <si>
    <t>CÉDULA SUMARIA DE PASIVOS</t>
  </si>
  <si>
    <t>Clasificación</t>
  </si>
  <si>
    <t>Corto Plazo</t>
  </si>
  <si>
    <t>Largo Plazo</t>
  </si>
  <si>
    <t>Total</t>
  </si>
  <si>
    <t>✓</t>
  </si>
  <si>
    <t>Obligaciones Financieras</t>
  </si>
  <si>
    <t>Proveedores</t>
  </si>
  <si>
    <t>Costos y Gastos por Pagar</t>
  </si>
  <si>
    <t>Obligaciones Laborales</t>
  </si>
  <si>
    <t>Impuestos por Pagar</t>
  </si>
  <si>
    <t>Pasivos Estimados</t>
  </si>
  <si>
    <t>Provisiones</t>
  </si>
  <si>
    <t>Partes Relacionadas</t>
  </si>
  <si>
    <t>TOTAL PASIVOS</t>
  </si>
  <si>
    <t>Saldo Inicial</t>
  </si>
  <si>
    <t>Movimientos Débito</t>
  </si>
  <si>
    <t>Movimientos Crédito</t>
  </si>
  <si>
    <t>Saldo Final Libros</t>
  </si>
  <si>
    <t>Ajustes y Reclas.</t>
  </si>
  <si>
    <t>Saldo Ajustado</t>
  </si>
  <si>
    <t>Saldo Auditoría</t>
  </si>
  <si>
    <t>Diferencia</t>
  </si>
  <si>
    <t>% Total</t>
  </si>
  <si>
    <t xml:space="preserve">                                        abac, s. a. </t>
  </si>
  <si>
    <t>F-1: CONFIRMACIÓN DE OBLIGACIONES FINANCIERAS</t>
  </si>
  <si>
    <t>Objetivo: Verificar existencia, integridad y valuación de obligaciones financieras</t>
  </si>
  <si>
    <t>Entidad</t>
  </si>
  <si>
    <t>No. Crédito</t>
  </si>
  <si>
    <t>Tipo</t>
  </si>
  <si>
    <t>Monto Original</t>
  </si>
  <si>
    <t>Tasa %</t>
  </si>
  <si>
    <t>Plazo</t>
  </si>
  <si>
    <t>Confirmado</t>
  </si>
  <si>
    <t>Garantía</t>
  </si>
  <si>
    <t>TOTALES:</t>
  </si>
  <si>
    <t>F-1.1: ANÁLISIS DE CRÉDITOS BANCARIOS</t>
  </si>
  <si>
    <t>Banco</t>
  </si>
  <si>
    <t>Fecha Desemb.</t>
  </si>
  <si>
    <t>Desembolsos</t>
  </si>
  <si>
    <t>Pagos Capital</t>
  </si>
  <si>
    <t>Intereses Pag.</t>
  </si>
  <si>
    <t>Saldo Final</t>
  </si>
  <si>
    <t>Tasa</t>
  </si>
  <si>
    <t>Conciliado</t>
  </si>
  <si>
    <t>F-1.2: ANÁLISIS DE LEASING FINANCIERO</t>
  </si>
  <si>
    <t>Objetivo: Verificar cumplimiento con NIIF 16 - Arrendamientos</t>
  </si>
  <si>
    <t>Contrato</t>
  </si>
  <si>
    <t>Activo</t>
  </si>
  <si>
    <t>Valor Activo</t>
  </si>
  <si>
    <t>Tasa Impl.</t>
  </si>
  <si>
    <t>Plazo Meses</t>
  </si>
  <si>
    <t>Cuota Mensual</t>
  </si>
  <si>
    <t>Saldo CP</t>
  </si>
  <si>
    <t>Saldo LP</t>
  </si>
  <si>
    <t>Total Pasivo</t>
  </si>
  <si>
    <t>Venc. Contrato</t>
  </si>
  <si>
    <t>Cumple NIIF 16</t>
  </si>
  <si>
    <t>F-1.3: VERIFICACIÓN DE TASAS DE INTERÉS</t>
  </si>
  <si>
    <t>Obligación</t>
  </si>
  <si>
    <t>Tasa Pactada</t>
  </si>
  <si>
    <t>Tasa Aplicada</t>
  </si>
  <si>
    <t>Int. Pagados</t>
  </si>
  <si>
    <t>Int. Calculados</t>
  </si>
  <si>
    <t>Diferencia $</t>
  </si>
  <si>
    <t>Razonable</t>
  </si>
  <si>
    <t>F-2.1: CIRCULARIZACIÓN DE PROVEEDORES</t>
  </si>
  <si>
    <t>Objetivo: Confirmar saldos con proveedores principales (cobertura mínima 70%)</t>
  </si>
  <si>
    <t>Proveedor</t>
  </si>
  <si>
    <t>Saldo Contable</t>
  </si>
  <si>
    <t>Carta Enviada</t>
  </si>
  <si>
    <t>Fecha Envío</t>
  </si>
  <si>
    <t>Respuesta</t>
  </si>
  <si>
    <t>Saldo Confirmado</t>
  </si>
  <si>
    <t>Diferencia %</t>
  </si>
  <si>
    <t>Ajuste</t>
  </si>
  <si>
    <t>Estado</t>
  </si>
  <si>
    <t>ESTADÍSTICAS DE CIRCULARIZACIÓN:</t>
  </si>
  <si>
    <t>Total Saldo:</t>
  </si>
  <si>
    <t>Cobertura Circularizada:</t>
  </si>
  <si>
    <t>F-2.2: ANÁLISIS DE ANTIGÜEDAD DE PROVEEDORES</t>
  </si>
  <si>
    <t>0-30 días</t>
  </si>
  <si>
    <t>31-60 días</t>
  </si>
  <si>
    <t>61-90 días</t>
  </si>
  <si>
    <t>91-180 días</t>
  </si>
  <si>
    <t>Más 180 días</t>
  </si>
  <si>
    <t>Observaciones</t>
  </si>
  <si>
    <t>TOTALES</t>
  </si>
  <si>
    <t>F-3: COSTOS Y GASTOS POR PAGAR</t>
  </si>
  <si>
    <t>Concepto</t>
  </si>
  <si>
    <t>Período</t>
  </si>
  <si>
    <t>Valor</t>
  </si>
  <si>
    <t>Devengado</t>
  </si>
  <si>
    <t>Pagado</t>
  </si>
  <si>
    <t>Saldo</t>
  </si>
  <si>
    <t>Soporte</t>
  </si>
  <si>
    <t>Servicios públicos</t>
  </si>
  <si>
    <t>Arrendamientos</t>
  </si>
  <si>
    <t>Honorarios</t>
  </si>
  <si>
    <t>Seguros</t>
  </si>
  <si>
    <t>Mantenimientos</t>
  </si>
  <si>
    <t>Publicidad</t>
  </si>
  <si>
    <t>Transporte</t>
  </si>
  <si>
    <t>Otros</t>
  </si>
  <si>
    <t>TOTAL:</t>
  </si>
  <si>
    <t>Empleado</t>
  </si>
  <si>
    <t>Salario Base</t>
  </si>
  <si>
    <t>H. Extras</t>
  </si>
  <si>
    <t>Comisiones</t>
  </si>
  <si>
    <t>Total Devengado</t>
  </si>
  <si>
    <t>Salud</t>
  </si>
  <si>
    <t>Pensión</t>
  </si>
  <si>
    <t>Otros Desc.</t>
  </si>
  <si>
    <t>Total Deduc.</t>
  </si>
  <si>
    <t>Neto Pagar</t>
  </si>
  <si>
    <t xml:space="preserve">                                                                                                                   F-4.2: CÁLCULO DE NÓMINA</t>
  </si>
  <si>
    <t>Base Aportes</t>
  </si>
  <si>
    <t>Salud 8.5%</t>
  </si>
  <si>
    <t>Pensión 12%</t>
  </si>
  <si>
    <t>ARL</t>
  </si>
  <si>
    <t>SENA 2%</t>
  </si>
  <si>
    <t>ICBF 3%</t>
  </si>
  <si>
    <t>Caja Comp. 4%</t>
  </si>
  <si>
    <t>Objetivo: Verificar cumplimiento NIC 37 / Sección 21 NIIF PYMES</t>
  </si>
  <si>
    <t>Provisión Período</t>
  </si>
  <si>
    <t>Utilizado</t>
  </si>
  <si>
    <t>Reversión</t>
  </si>
  <si>
    <t>Prob. %</t>
  </si>
  <si>
    <t>Cumple NIC 37</t>
  </si>
  <si>
    <t>Garantías productos</t>
  </si>
  <si>
    <t>Litigios legales</t>
  </si>
  <si>
    <t>Reestructuración</t>
  </si>
  <si>
    <t>Desmantelamiento</t>
  </si>
  <si>
    <t>Restauración ambiental</t>
  </si>
  <si>
    <t>TOTAL</t>
  </si>
  <si>
    <t xml:space="preserve">                                                                                                                          F-5: PASIVOS ESTIMADOS Y PROVISIONES</t>
  </si>
  <si>
    <t>F-6: CONTINGENCIAS Y PASIVOS EVENTUALES</t>
  </si>
  <si>
    <t>Descripción</t>
  </si>
  <si>
    <t>Monto Estimado</t>
  </si>
  <si>
    <t>Probabilidad</t>
  </si>
  <si>
    <t>Provisionado</t>
  </si>
  <si>
    <t>Revelado Notas</t>
  </si>
  <si>
    <t>Estado Actual</t>
  </si>
  <si>
    <t>Fecha Origen</t>
  </si>
  <si>
    <t>Abogado/Asesor</t>
  </si>
  <si>
    <t>Última Actualiz.</t>
  </si>
  <si>
    <t>CALCULADORA AUTOMATIZADA DE PRESTACIONES LABORALES</t>
  </si>
  <si>
    <t>Revisoría Fiscal - Colombia | Conforme al Código Sustantivo del Trabajo</t>
  </si>
  <si>
    <t>EMPRESA:</t>
  </si>
  <si>
    <t>[Nombre de la empresa]</t>
  </si>
  <si>
    <t>NIT:</t>
  </si>
  <si>
    <t>[NIT]</t>
  </si>
  <si>
    <t>PERÍODO:</t>
  </si>
  <si>
    <t>2024</t>
  </si>
  <si>
    <t>FECHA CÁLCULO:</t>
  </si>
  <si>
    <t>12/11/2025</t>
  </si>
  <si>
    <t>EMPLEADO</t>
  </si>
  <si>
    <t>IDENTIFICACIÓN</t>
  </si>
  <si>
    <t>FECHA INGRESO</t>
  </si>
  <si>
    <t>SALARIO BÁSICO</t>
  </si>
  <si>
    <t>AUX. TRANSPORTE</t>
  </si>
  <si>
    <t>OTROS</t>
  </si>
  <si>
    <t>SALARIO BASE</t>
  </si>
  <si>
    <t>DÍAS TRABAJADOS</t>
  </si>
  <si>
    <t>CESANTÍAS</t>
  </si>
  <si>
    <t>INT. CESANTÍAS</t>
  </si>
  <si>
    <t>PRIMA SERVICIOS</t>
  </si>
  <si>
    <t>VACACIONES</t>
  </si>
  <si>
    <t>TOTAL PRESTACIONES</t>
  </si>
  <si>
    <t>DIFERENCIA</t>
  </si>
  <si>
    <t>ESTADO</t>
  </si>
  <si>
    <t>OBS.</t>
  </si>
  <si>
    <t>FÓRMULAS APLICADAS</t>
  </si>
  <si>
    <t>CONCEPTO</t>
  </si>
  <si>
    <t>FÓRMULA</t>
  </si>
  <si>
    <t>BASE LEGAL</t>
  </si>
  <si>
    <t>Art. 249 CST</t>
  </si>
  <si>
    <t>INTERESES CESANTÍAS</t>
  </si>
  <si>
    <t>Art. 99 Ley 50/1990</t>
  </si>
  <si>
    <t>PRIMA DE SERVICIOS</t>
  </si>
  <si>
    <t>Art. 306 CST</t>
  </si>
  <si>
    <t>Art. 186 CST</t>
  </si>
  <si>
    <t>AUXILIO TRANSPORTE</t>
  </si>
  <si>
    <t>Decreto Gobierno</t>
  </si>
  <si>
    <t>NOTAS IMPORTANTES</t>
  </si>
  <si>
    <t>1. Salario Base = Salario Básico + Auxilio de Transporte + Otros (comisiones, bonificaciones)</t>
  </si>
  <si>
    <t>2. El Auxilio de Transporte se otorga SOLO si el salario es igual o menor a 2 SMMLV</t>
  </si>
  <si>
    <t>3. Las Vacaciones se calculan SOLO sobre el Salario Básico (no incluye aux. transporte)</t>
  </si>
  <si>
    <t>4. Los días trabajados se calculan automáticamente desde la fecha de ingreso</t>
  </si>
  <si>
    <t>5. Año laboral = 360 días | Mes laboral = 30 días</t>
  </si>
  <si>
    <t>6. Celdas AMARILLAS = Datos de entrada | Celdas VERDES = Cálculos automáticos</t>
  </si>
  <si>
    <t>Conforme al Código Sustantivo del Trabajo - Colombia 2024</t>
  </si>
  <si>
    <t>[Nombre Empresa]</t>
  </si>
  <si>
    <t>FECHA CORTE:</t>
  </si>
  <si>
    <t>31/12/2024</t>
  </si>
  <si>
    <t>AUDITOR:</t>
  </si>
  <si>
    <t>[Nombre]</t>
  </si>
  <si>
    <t>CÉDULA</t>
  </si>
  <si>
    <t>FECHA
INGRESO</t>
  </si>
  <si>
    <t>SALARIO
BÁSICO</t>
  </si>
  <si>
    <t>AUX.
TRANS.</t>
  </si>
  <si>
    <t>OTROS
INGRESOS</t>
  </si>
  <si>
    <t>SALARIO
BASE</t>
  </si>
  <si>
    <t>DÍAS
TRAB.</t>
  </si>
  <si>
    <t>INT.
CESANTÍAS</t>
  </si>
  <si>
    <t>PRIMA
SERVICIOS</t>
  </si>
  <si>
    <t>TOTAL
PRESTAC.</t>
  </si>
  <si>
    <t>REGISTRADO
CONTA.</t>
  </si>
  <si>
    <t>%
DIF.</t>
  </si>
  <si>
    <t>Ana María Rodríguez González</t>
  </si>
  <si>
    <t>52123456</t>
  </si>
  <si>
    <t>Carlos Andrés Martínez López</t>
  </si>
  <si>
    <t>1018765432</t>
  </si>
  <si>
    <t>María Fernanda Castro Ruiz</t>
  </si>
  <si>
    <t>1015234567</t>
  </si>
  <si>
    <t>Juan Pablo Hernández Silva</t>
  </si>
  <si>
    <t>1012345678</t>
  </si>
  <si>
    <t>Diana Carolina Gómez Torres</t>
  </si>
  <si>
    <t>52987654</t>
  </si>
  <si>
    <t>Luis Fernando Pérez Vargas</t>
  </si>
  <si>
    <t>1019876543</t>
  </si>
  <si>
    <t>Sandra Milena Jiménez Mora</t>
  </si>
  <si>
    <t>52456789</t>
  </si>
  <si>
    <t>Jorge Enrique Ramírez Cruz</t>
  </si>
  <si>
    <t>1013456789</t>
  </si>
  <si>
    <t xml:space="preserve">                                                                                                                                                                                  CÁLCULO DE PRESTACIONES SOCIALES - REVISORÍA FISCAL</t>
  </si>
  <si>
    <r>
      <t xml:space="preserve">                     </t>
    </r>
    <r>
      <rPr>
        <b/>
        <sz val="15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</t>
    </r>
    <r>
      <rPr>
        <sz val="15"/>
        <color theme="1"/>
        <rFont val="Calibri"/>
        <family val="2"/>
        <scheme val="minor"/>
      </rPr>
      <t xml:space="preserve">     </t>
    </r>
    <r>
      <rPr>
        <b/>
        <sz val="15"/>
        <color theme="1"/>
        <rFont val="Calibri"/>
        <family val="2"/>
        <scheme val="minor"/>
      </rPr>
      <t xml:space="preserve">   Aportes parafiscales y seguridad social</t>
    </r>
  </si>
  <si>
    <t>CÁLCULO IMPUESTO DE RENTA Y COMPLEMENTARIOS</t>
  </si>
  <si>
    <t>Revisoría Fiscal - Colombia 2024</t>
  </si>
  <si>
    <t>[Razón Social]</t>
  </si>
  <si>
    <t>AÑO GRAVABLE:</t>
  </si>
  <si>
    <t>VALOR</t>
  </si>
  <si>
    <t>Art. 26 ET</t>
  </si>
  <si>
    <t>Ingresos No Operacionales</t>
  </si>
  <si>
    <t>Art. 27 ET</t>
  </si>
  <si>
    <t>TOTAL INGRESOS</t>
  </si>
  <si>
    <t>Suma</t>
  </si>
  <si>
    <t>Costos de Ventas</t>
  </si>
  <si>
    <t>Art. 59 ET</t>
  </si>
  <si>
    <t>Art. 107 ET</t>
  </si>
  <si>
    <t>Art. 115 ET</t>
  </si>
  <si>
    <t>RENTA LÍQUIDA ORDINARIA</t>
  </si>
  <si>
    <t>Base</t>
  </si>
  <si>
    <t>Art. 147 ET</t>
  </si>
  <si>
    <t>Art. 188 ET</t>
  </si>
  <si>
    <t>RENTA LÍQUIDA GRAVABLE</t>
  </si>
  <si>
    <t>Art. 240 ET</t>
  </si>
  <si>
    <t>Art. 254 ET</t>
  </si>
  <si>
    <t>CALCULADO</t>
  </si>
  <si>
    <t>DECLARADO</t>
  </si>
  <si>
    <t>% DIF.</t>
  </si>
  <si>
    <t>IMPUESTO DE RENTA Y COMPLEMENTARIOS - 2024</t>
  </si>
  <si>
    <t>EMPRESA: ABC COMERCIALIZADORA S.A.S.</t>
  </si>
  <si>
    <t>NIT: 900.123.456-7</t>
  </si>
  <si>
    <t>Ingresos Operacionales</t>
  </si>
  <si>
    <t>Gastos Operacionales</t>
  </si>
  <si>
    <t>Gastos No Operacionales</t>
  </si>
  <si>
    <t>TOTAL COSTOS Y GASTOS</t>
  </si>
  <si>
    <t>Menos: Compensaciones</t>
  </si>
  <si>
    <t>Renta Presuntiva (3% Patrimonio)</t>
  </si>
  <si>
    <t>Mayor</t>
  </si>
  <si>
    <t>Tarifa 35%</t>
  </si>
  <si>
    <t>Menos: Descuentos Tributarios</t>
  </si>
  <si>
    <t>IMPUESTO DE RENTA A PAGAR</t>
  </si>
  <si>
    <t>Declarado (para comparar)</t>
  </si>
  <si>
    <t>Input</t>
  </si>
  <si>
    <t>IMPUESTO AL VALOR AGREGADO (IVA) - 2024</t>
  </si>
  <si>
    <t>MES</t>
  </si>
  <si>
    <t>VENTAS
GRAV. 19%</t>
  </si>
  <si>
    <t>IVA
GENERADO</t>
  </si>
  <si>
    <t>COMPRAS
GRAVADAS</t>
  </si>
  <si>
    <t>IVA
DESCONTABLE</t>
  </si>
  <si>
    <t>SALDO
A PAGAR</t>
  </si>
  <si>
    <t>IVA
PAGADO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</si>
  <si>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</si>
  <si>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</si>
  <si>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</si>
  <si>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</si>
  <si>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</si>
  <si>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</si>
  <si>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</si>
  <si>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</si>
  <si>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</si>
  <si>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</si>
  <si>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</si>
  <si>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</si>
  <si>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IMPUESTO DE INDUSTRIA Y COMERCIO (ICA) - 2024</t>
  </si>
  <si>
    <t>ACTIVIDAD: Comercial | TARIFA: 0.414% | MUNICIPIO: Bogotá</t>
  </si>
  <si>
    <t>BIMESTRE</t>
  </si>
  <si>
    <t>INGRESOS
BRUTOS</t>
  </si>
  <si>
    <t>BASE
GRAVABLE</t>
  </si>
  <si>
    <t>ICA
CALCULADO</t>
  </si>
  <si>
    <t>ICA
DECLARADO</t>
  </si>
  <si>
    <t>ICA
PAGADO</t>
  </si>
  <si>
    <t>SALDO</t>
  </si>
  <si>
    <t>Ene-Feb</t>
  </si>
  <si>
    <t>Mar-Abr</t>
  </si>
  <si>
    <t>May-Jun</t>
  </si>
  <si>
    <t>Jul-Ago</t>
  </si>
  <si>
    <t>Sep-Oct</t>
  </si>
  <si>
    <t>Nov-Dic</t>
  </si>
  <si>
    <t>RESUMEN EJECUTIVO - IMPUESTOS 2024</t>
  </si>
  <si>
    <t>IMPUESTO</t>
  </si>
  <si>
    <t>RENTA</t>
  </si>
  <si>
    <t>IVA ANUAL</t>
  </si>
  <si>
    <t>ICA ANUAL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</si>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</sst>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yyyy\-mm\-dd\ h:mm:ss"/>
  </numFmts>
  <fonts count="3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2"/>
      <color theme="10"/>
      <name val="Calibri"/>
      <family val="2"/>
      <scheme val="minor"/>
    </font>
    <font>
      <b/>
      <u/>
      <sz val="11"/>
      <color rgb="FF0563C1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9"/>
      <color rgb="FFFFFFFF"/>
      <name val="Calibri"/>
      <family val="2"/>
    </font>
    <font>
      <b/>
      <u/>
      <sz val="9"/>
      <color rgb="FF0563C1"/>
      <name val="Calibri"/>
      <family val="2"/>
    </font>
    <font>
      <u/>
      <sz val="9"/>
      <color rgb="FF0563C1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5"/>
      <color rgb="FFC00000"/>
      <name val="Calibri"/>
      <family val="2"/>
    </font>
    <font>
      <b/>
      <sz val="14"/>
      <color rgb="FFFFFFFF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b/>
      <sz val="11"/>
      <name val="Cambria"/>
      <family val="1"/>
    </font>
    <font>
      <b/>
      <u/>
      <sz val="11"/>
      <color rgb="FF0563C1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Cambria"/>
      <family val="1"/>
    </font>
    <font>
      <i/>
      <sz val="9"/>
      <name val="Cambria"/>
      <family val="1"/>
    </font>
    <font>
      <b/>
      <sz val="10"/>
      <name val="Cambria"/>
      <family val="1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3"/>
      <color rgb="FFFFFFFF"/>
      <name val="Calibri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2CC"/>
      </patternFill>
    </fill>
    <fill>
      <patternFill patternType="solid">
        <fgColor rgb="FF366092"/>
        <bgColor rgb="FF333399"/>
      </patternFill>
    </fill>
    <fill>
      <patternFill patternType="solid">
        <fgColor rgb="FFD9E1F2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333399"/>
      </patternFill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/>
    <xf numFmtId="0" fontId="4" fillId="0" borderId="1" xfId="1" applyFont="1" applyBorder="1"/>
    <xf numFmtId="0" fontId="0" fillId="0" borderId="3" xfId="0" applyBorder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1" applyFont="1" applyBorder="1"/>
    <xf numFmtId="0" fontId="12" fillId="0" borderId="0" xfId="1" applyFont="1"/>
    <xf numFmtId="0" fontId="11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wrapText="1"/>
    </xf>
    <xf numFmtId="164" fontId="18" fillId="0" borderId="1" xfId="0" applyNumberFormat="1" applyFont="1" applyBorder="1"/>
    <xf numFmtId="164" fontId="0" fillId="0" borderId="1" xfId="0" applyNumberFormat="1" applyBorder="1"/>
    <xf numFmtId="0" fontId="19" fillId="7" borderId="1" xfId="0" applyFont="1" applyFill="1" applyBorder="1"/>
    <xf numFmtId="0" fontId="20" fillId="0" borderId="0" xfId="0" applyFont="1"/>
    <xf numFmtId="0" fontId="21" fillId="8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right"/>
    </xf>
    <xf numFmtId="3" fontId="0" fillId="9" borderId="1" xfId="0" applyNumberFormat="1" applyFill="1" applyBorder="1" applyAlignment="1">
      <alignment horizontal="right"/>
    </xf>
    <xf numFmtId="10" fontId="0" fillId="9" borderId="1" xfId="0" applyNumberForma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right"/>
    </xf>
    <xf numFmtId="10" fontId="7" fillId="8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13" fillId="0" borderId="3" xfId="0" applyFont="1" applyBorder="1"/>
    <xf numFmtId="0" fontId="23" fillId="0" borderId="0" xfId="0" applyFont="1"/>
    <xf numFmtId="10" fontId="18" fillId="0" borderId="1" xfId="0" applyNumberFormat="1" applyFont="1" applyBorder="1"/>
    <xf numFmtId="0" fontId="19" fillId="0" borderId="0" xfId="0" applyFont="1"/>
    <xf numFmtId="10" fontId="0" fillId="0" borderId="1" xfId="0" applyNumberFormat="1" applyBorder="1"/>
    <xf numFmtId="0" fontId="0" fillId="10" borderId="1" xfId="0" applyFill="1" applyBorder="1" applyAlignment="1">
      <alignment horizontal="center"/>
    </xf>
    <xf numFmtId="165" fontId="0" fillId="0" borderId="1" xfId="0" applyNumberFormat="1" applyBorder="1"/>
    <xf numFmtId="0" fontId="24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0" fontId="0" fillId="0" borderId="0" xfId="0" applyAlignment="1">
      <alignment horizontal="center" vertical="center" wrapText="1"/>
    </xf>
    <xf numFmtId="9" fontId="18" fillId="0" borderId="1" xfId="0" applyNumberFormat="1" applyFont="1" applyBorder="1"/>
    <xf numFmtId="0" fontId="18" fillId="0" borderId="1" xfId="0" applyFont="1" applyBorder="1"/>
    <xf numFmtId="0" fontId="6" fillId="0" borderId="0" xfId="0" applyFont="1"/>
    <xf numFmtId="0" fontId="0" fillId="4" borderId="1" xfId="0" applyFill="1" applyBorder="1"/>
    <xf numFmtId="3" fontId="0" fillId="4" borderId="1" xfId="0" applyNumberFormat="1" applyFill="1" applyBorder="1"/>
    <xf numFmtId="3" fontId="0" fillId="9" borderId="1" xfId="0" applyNumberFormat="1" applyFill="1" applyBorder="1"/>
    <xf numFmtId="1" fontId="0" fillId="9" borderId="1" xfId="0" applyNumberFormat="1" applyFill="1" applyBorder="1"/>
    <xf numFmtId="3" fontId="6" fillId="9" borderId="1" xfId="0" applyNumberFormat="1" applyFont="1" applyFill="1" applyBorder="1"/>
    <xf numFmtId="0" fontId="0" fillId="9" borderId="1" xfId="0" applyFill="1" applyBorder="1" applyAlignment="1">
      <alignment horizontal="center" vertical="center" wrapText="1"/>
    </xf>
    <xf numFmtId="3" fontId="6" fillId="13" borderId="1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6" fillId="13" borderId="1" xfId="0" applyFont="1" applyFill="1" applyBorder="1"/>
    <xf numFmtId="0" fontId="0" fillId="4" borderId="0" xfId="0" applyFill="1"/>
    <xf numFmtId="0" fontId="0" fillId="0" borderId="1" xfId="0" applyBorder="1" applyAlignment="1">
      <alignment horizontal="center" vertical="center" wrapText="1"/>
    </xf>
    <xf numFmtId="166" fontId="0" fillId="4" borderId="1" xfId="0" applyNumberFormat="1" applyFill="1" applyBorder="1"/>
    <xf numFmtId="165" fontId="0" fillId="9" borderId="1" xfId="0" applyNumberFormat="1" applyFill="1" applyBorder="1"/>
    <xf numFmtId="0" fontId="29" fillId="0" borderId="0" xfId="0" applyFont="1"/>
    <xf numFmtId="10" fontId="0" fillId="9" borderId="1" xfId="0" applyNumberFormat="1" applyFill="1" applyBorder="1"/>
    <xf numFmtId="3" fontId="0" fillId="0" borderId="1" xfId="0" applyNumberFormat="1" applyBorder="1"/>
    <xf numFmtId="0" fontId="0" fillId="13" borderId="1" xfId="0" applyFill="1" applyBorder="1"/>
    <xf numFmtId="0" fontId="6" fillId="13" borderId="0" xfId="0" applyFont="1" applyFill="1"/>
    <xf numFmtId="0" fontId="6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0" borderId="0" xfId="0" applyFont="1"/>
    <xf numFmtId="0" fontId="7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6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14" fillId="0" borderId="0" xfId="0" applyFont="1"/>
    <xf numFmtId="0" fontId="0" fillId="0" borderId="1" xfId="0" applyBorder="1"/>
    <xf numFmtId="0" fontId="6" fillId="0" borderId="0" xfId="0" applyFont="1"/>
    <xf numFmtId="0" fontId="7" fillId="1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2" fillId="11" borderId="0" xfId="0" applyFont="1" applyFill="1" applyAlignment="1">
      <alignment horizontal="center"/>
    </xf>
    <xf numFmtId="0" fontId="25" fillId="12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0" fillId="4" borderId="0" xfId="0" applyFill="1"/>
    <xf numFmtId="0" fontId="0" fillId="9" borderId="0" xfId="0" applyFill="1"/>
    <xf numFmtId="0" fontId="6" fillId="13" borderId="1" xfId="0" applyFont="1" applyFill="1" applyBorder="1" applyAlignment="1">
      <alignment horizontal="center" vertical="center" wrapText="1"/>
    </xf>
    <xf numFmtId="0" fontId="27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2" fillId="6" borderId="0" xfId="0" applyFont="1" applyFill="1" applyAlignment="1">
      <alignment horizontal="left"/>
    </xf>
    <xf numFmtId="0" fontId="22" fillId="6" borderId="0" xfId="0" applyFont="1" applyFill="1"/>
    <xf numFmtId="0" fontId="27" fillId="12" borderId="0" xfId="0" applyFont="1" applyFill="1" applyAlignment="1">
      <alignment horizontal="center" vertical="center" wrapText="1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&#241;o\Downloads\PRESTACIONES_LABORALES_AUTOMATIZA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&#241;o\Downloads\PRESTACIONES_SOCIALES_EJEMPL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&#241;o\Downloads\IMPUESTOS_AUTOMATIZADO_COMPLET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DORA"/>
      <sheetName val="PARÁMETROS"/>
      <sheetName val="RESUMEN"/>
    </sheetNames>
    <sheetDataSet>
      <sheetData sheetId="0"/>
      <sheetData sheetId="1">
        <row r="4">
          <cell r="B4">
            <v>1300000</v>
          </cell>
        </row>
        <row r="5">
          <cell r="B5">
            <v>162000</v>
          </cell>
        </row>
        <row r="7">
          <cell r="B7">
            <v>0.12</v>
          </cell>
        </row>
        <row r="10">
          <cell r="B10">
            <v>360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TACIONES"/>
      <sheetName val="SEGURIDAD SOCIAL"/>
      <sheetName val="PARÁMETROS"/>
      <sheetName val="RESUMEN"/>
      <sheetName val="GUÍA DE USO"/>
    </sheetNames>
    <sheetDataSet>
      <sheetData sheetId="0"/>
      <sheetData sheetId="1"/>
      <sheetData sheetId="2">
        <row r="6">
          <cell r="B6">
            <v>162000</v>
          </cell>
        </row>
        <row r="7">
          <cell r="B7"/>
        </row>
        <row r="12">
          <cell r="B12">
            <v>0.12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"/>
      <sheetName val="IVA"/>
      <sheetName val="ICA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1" sqref="G1"/>
    </sheetView>
  </sheetViews>
  <sheetFormatPr baseColWidth="10" defaultColWidth="9.109375" defaultRowHeight="15.05" x14ac:dyDescent="0.3"/>
  <cols>
    <col min="1" max="1" width="10" customWidth="1"/>
    <col min="2" max="2" width="12" customWidth="1"/>
    <col min="3" max="3" width="45" customWidth="1"/>
    <col min="4" max="4" width="14" customWidth="1"/>
  </cols>
  <sheetData>
    <row r="1" spans="1:4" x14ac:dyDescent="0.3">
      <c r="A1" s="63" t="s">
        <v>0</v>
      </c>
      <c r="B1" s="64"/>
      <c r="C1" s="64"/>
      <c r="D1" s="6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/>
      <c r="B3" s="2"/>
      <c r="C3" s="2" t="s">
        <v>5</v>
      </c>
      <c r="D3" s="2"/>
    </row>
    <row r="4" spans="1:4" x14ac:dyDescent="0.3">
      <c r="A4" s="2"/>
      <c r="B4" s="3" t="s">
        <v>6</v>
      </c>
      <c r="C4" s="2" t="s">
        <v>7</v>
      </c>
      <c r="D4" s="4" t="s">
        <v>8</v>
      </c>
    </row>
    <row r="5" spans="1:4" x14ac:dyDescent="0.3">
      <c r="A5" s="2"/>
      <c r="B5" s="3" t="s">
        <v>9</v>
      </c>
      <c r="C5" s="2" t="s">
        <v>10</v>
      </c>
      <c r="D5" s="4" t="s">
        <v>8</v>
      </c>
    </row>
    <row r="6" spans="1:4" x14ac:dyDescent="0.3">
      <c r="A6" s="2"/>
      <c r="B6" s="3" t="s">
        <v>11</v>
      </c>
      <c r="C6" s="2" t="s">
        <v>12</v>
      </c>
      <c r="D6" s="4" t="s">
        <v>8</v>
      </c>
    </row>
    <row r="7" spans="1:4" x14ac:dyDescent="0.3">
      <c r="A7" s="2"/>
      <c r="B7" s="3" t="s">
        <v>13</v>
      </c>
      <c r="C7" s="2" t="s">
        <v>14</v>
      </c>
      <c r="D7" s="4" t="s">
        <v>8</v>
      </c>
    </row>
    <row r="8" spans="1:4" x14ac:dyDescent="0.3">
      <c r="A8" s="2"/>
      <c r="B8" s="3" t="s">
        <v>15</v>
      </c>
      <c r="C8" s="2" t="s">
        <v>16</v>
      </c>
      <c r="D8" s="4" t="s">
        <v>8</v>
      </c>
    </row>
    <row r="9" spans="1:4" x14ac:dyDescent="0.3">
      <c r="A9" s="2"/>
      <c r="B9" s="3" t="s">
        <v>17</v>
      </c>
      <c r="C9" s="2" t="s">
        <v>18</v>
      </c>
      <c r="D9" s="4" t="s">
        <v>8</v>
      </c>
    </row>
    <row r="10" spans="1:4" x14ac:dyDescent="0.3">
      <c r="A10" s="2"/>
      <c r="B10" s="3" t="s">
        <v>19</v>
      </c>
      <c r="C10" s="2" t="s">
        <v>20</v>
      </c>
      <c r="D10" s="4" t="s">
        <v>8</v>
      </c>
    </row>
    <row r="11" spans="1:4" x14ac:dyDescent="0.3">
      <c r="A11" s="2"/>
      <c r="B11" s="3" t="s">
        <v>21</v>
      </c>
      <c r="C11" s="2" t="s">
        <v>22</v>
      </c>
      <c r="D11" s="4" t="s">
        <v>8</v>
      </c>
    </row>
    <row r="12" spans="1:4" x14ac:dyDescent="0.3">
      <c r="A12" s="2"/>
      <c r="B12" s="3" t="s">
        <v>23</v>
      </c>
      <c r="C12" s="2" t="s">
        <v>24</v>
      </c>
      <c r="D12" s="4" t="s">
        <v>8</v>
      </c>
    </row>
    <row r="13" spans="1:4" x14ac:dyDescent="0.3">
      <c r="A13" s="2"/>
      <c r="B13" s="3" t="s">
        <v>25</v>
      </c>
      <c r="C13" s="2" t="s">
        <v>26</v>
      </c>
      <c r="D13" s="4" t="s">
        <v>8</v>
      </c>
    </row>
    <row r="14" spans="1:4" x14ac:dyDescent="0.3">
      <c r="A14" s="2"/>
      <c r="B14" s="3" t="s">
        <v>27</v>
      </c>
      <c r="C14" s="2" t="s">
        <v>28</v>
      </c>
      <c r="D14" s="4" t="s">
        <v>8</v>
      </c>
    </row>
    <row r="15" spans="1:4" x14ac:dyDescent="0.3">
      <c r="A15" s="2"/>
      <c r="B15" s="3" t="s">
        <v>29</v>
      </c>
      <c r="C15" s="2" t="s">
        <v>30</v>
      </c>
      <c r="D15" s="4" t="s">
        <v>8</v>
      </c>
    </row>
    <row r="16" spans="1:4" x14ac:dyDescent="0.3">
      <c r="A16" s="2"/>
      <c r="B16" s="3" t="s">
        <v>31</v>
      </c>
      <c r="C16" s="2" t="s">
        <v>32</v>
      </c>
      <c r="D16" s="4" t="s">
        <v>8</v>
      </c>
    </row>
    <row r="17" spans="1:4" x14ac:dyDescent="0.3">
      <c r="A17" s="2"/>
      <c r="B17" s="3" t="s">
        <v>33</v>
      </c>
      <c r="C17" s="2" t="s">
        <v>34</v>
      </c>
      <c r="D17" s="4" t="s">
        <v>8</v>
      </c>
    </row>
    <row r="18" spans="1:4" x14ac:dyDescent="0.3">
      <c r="A18" s="2"/>
      <c r="B18" s="3" t="s">
        <v>35</v>
      </c>
      <c r="C18" s="2" t="s">
        <v>36</v>
      </c>
      <c r="D18" s="4" t="s">
        <v>8</v>
      </c>
    </row>
    <row r="19" spans="1:4" x14ac:dyDescent="0.3">
      <c r="A19" s="2"/>
      <c r="B19" s="3" t="s">
        <v>37</v>
      </c>
      <c r="C19" s="2" t="s">
        <v>38</v>
      </c>
      <c r="D19" s="4" t="s">
        <v>8</v>
      </c>
    </row>
    <row r="20" spans="1:4" x14ac:dyDescent="0.3">
      <c r="A20" s="2"/>
      <c r="B20" s="3" t="s">
        <v>39</v>
      </c>
      <c r="C20" s="2" t="s">
        <v>40</v>
      </c>
      <c r="D20" s="4" t="s">
        <v>8</v>
      </c>
    </row>
  </sheetData>
  <mergeCells count="1">
    <mergeCell ref="A1:D1"/>
  </mergeCells>
  <hyperlinks>
    <hyperlink ref="D4" location="'PF PROGRAMA'!A1" display="IR A HOJA &gt;&gt;" xr:uid="{00000000-0004-0000-0000-000000000000}"/>
    <hyperlink ref="D5" location="'F-SUM Sumaria'!A1" display="IR A HOJA &gt;&gt;" xr:uid="{00000000-0004-0000-0000-000001000000}"/>
    <hyperlink ref="D6" location="'F-1 Oblig Financ'!A1" display="IR A HOJA &gt;&gt;" xr:uid="{00000000-0004-0000-0000-000002000000}"/>
    <hyperlink ref="D7" location="'F-1.1 Créditos'!A1" display="IR A HOJA &gt;&gt;" xr:uid="{00000000-0004-0000-0000-000003000000}"/>
    <hyperlink ref="D8" location="'F-1.2 Leasing'!A1" display="IR A HOJA &gt;&gt;" xr:uid="{00000000-0004-0000-0000-000004000000}"/>
    <hyperlink ref="D9" location="'F-1.3 Tasas'!A1" display="IR A HOJA &gt;&gt;" xr:uid="{00000000-0004-0000-0000-000005000000}"/>
    <hyperlink ref="D10" location="'F-2 Proveedores'!A1" display="IR A HOJA &gt;&gt;" xr:uid="{00000000-0004-0000-0000-000006000000}"/>
    <hyperlink ref="D11" location="'F-2.1 Circular'!A1" display="IR A HOJA &gt;&gt;" xr:uid="{00000000-0004-0000-0000-000007000000}"/>
    <hyperlink ref="D12" location="'F-2.2 Antigüedad'!A1" display="IR A HOJA &gt;&gt;" xr:uid="{00000000-0004-0000-0000-000008000000}"/>
    <hyperlink ref="D13" location="'F-3 Costos'!A1" display="IR A HOJA &gt;&gt;" xr:uid="{00000000-0004-0000-0000-000009000000}"/>
    <hyperlink ref="D14" location="'F-4 Laborales'!A1" display="IR A HOJA &gt;&gt;" xr:uid="{00000000-0004-0000-0000-00000A000000}"/>
    <hyperlink ref="D15" location="'F-4.1 Prestaciones'!A1" display="IR A HOJA &gt;&gt;" xr:uid="{00000000-0004-0000-0000-00000B000000}"/>
    <hyperlink ref="D16" location="'F-4.2 Nómina'!A1" display="IR A HOJA &gt;&gt;" xr:uid="{00000000-0004-0000-0000-00000C000000}"/>
    <hyperlink ref="D17" location="'F-4.3 Parafiscales'!A1" display="IR A HOJA &gt;&gt;" xr:uid="{00000000-0004-0000-0000-00000D000000}"/>
    <hyperlink ref="D18" location="'F-5 Provisiones'!A1" display="IR A HOJA &gt;&gt;" xr:uid="{00000000-0004-0000-0000-00000E000000}"/>
    <hyperlink ref="D19" location="'F-6 Contingencias'!A1" display="IR A HOJA &gt;&gt;" xr:uid="{00000000-0004-0000-0000-00000F000000}"/>
    <hyperlink ref="D20" location="'F-7 Impuestos'!A1" display="IR A HOJA &gt;&gt;" xr:uid="{00000000-0004-0000-0000-00001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71"/>
  <sheetViews>
    <sheetView workbookViewId="0"/>
  </sheetViews>
  <sheetFormatPr baseColWidth="10" defaultColWidth="9.109375" defaultRowHeight="15.05" x14ac:dyDescent="0.3"/>
  <cols>
    <col min="1" max="1" width="13.5546875" customWidth="1"/>
    <col min="2" max="2" width="8" customWidth="1"/>
    <col min="3" max="3" width="50" customWidth="1"/>
    <col min="4" max="7" width="10" customWidth="1"/>
    <col min="8" max="8" width="12" customWidth="1"/>
    <col min="9" max="9" width="18" customWidth="1"/>
    <col min="10" max="10" width="12.44140625" customWidth="1"/>
  </cols>
  <sheetData>
    <row r="3" spans="1:10" ht="19.649999999999999" x14ac:dyDescent="0.35">
      <c r="A3" s="89" t="s">
        <v>397</v>
      </c>
      <c r="B3" s="89"/>
      <c r="C3" s="89"/>
      <c r="D3" s="89"/>
      <c r="E3" s="89"/>
      <c r="F3" s="89"/>
      <c r="G3" s="89"/>
      <c r="H3" s="89"/>
      <c r="J3" s="17" t="s">
        <v>6</v>
      </c>
    </row>
    <row r="4" spans="1:10" ht="15.05" customHeight="1" x14ac:dyDescent="0.3">
      <c r="A4" s="89" t="s">
        <v>398</v>
      </c>
      <c r="B4" s="89"/>
      <c r="C4" s="89"/>
      <c r="D4" s="89"/>
      <c r="E4" s="89"/>
      <c r="F4" s="89"/>
      <c r="G4" s="89"/>
      <c r="H4" s="89"/>
    </row>
    <row r="5" spans="1:10" x14ac:dyDescent="0.3">
      <c r="A5" s="89" t="s">
        <v>399</v>
      </c>
      <c r="B5" s="89"/>
      <c r="C5" s="89"/>
      <c r="D5" s="89"/>
      <c r="E5" s="89"/>
      <c r="F5" s="89"/>
      <c r="G5" s="89"/>
      <c r="H5" s="89"/>
    </row>
    <row r="6" spans="1:10" x14ac:dyDescent="0.3">
      <c r="A6" s="89" t="s">
        <v>400</v>
      </c>
      <c r="B6" s="89"/>
      <c r="C6" s="89"/>
      <c r="D6" s="89"/>
      <c r="E6" s="89"/>
      <c r="F6" s="89"/>
      <c r="G6" s="89"/>
      <c r="H6" s="89"/>
    </row>
    <row r="7" spans="1:10" x14ac:dyDescent="0.3">
      <c r="A7" s="40"/>
    </row>
    <row r="8" spans="1:10" x14ac:dyDescent="0.3">
      <c r="I8" s="2" t="s">
        <v>84</v>
      </c>
      <c r="J8" s="2"/>
    </row>
    <row r="9" spans="1:10" ht="23.25" customHeight="1" x14ac:dyDescent="0.3">
      <c r="A9" s="66" t="s">
        <v>87</v>
      </c>
      <c r="B9" s="67"/>
      <c r="C9" s="67"/>
      <c r="D9" s="67"/>
      <c r="E9" s="67"/>
      <c r="F9" s="67"/>
      <c r="G9" s="67"/>
      <c r="H9" s="68"/>
      <c r="I9" s="2" t="s">
        <v>41</v>
      </c>
      <c r="J9" s="2"/>
    </row>
    <row r="10" spans="1:10" x14ac:dyDescent="0.3">
      <c r="I10" s="2" t="s">
        <v>85</v>
      </c>
      <c r="J10" s="2"/>
    </row>
    <row r="11" spans="1:10" x14ac:dyDescent="0.3">
      <c r="A11" s="6" t="s">
        <v>42</v>
      </c>
      <c r="B11" s="64" t="s">
        <v>43</v>
      </c>
      <c r="C11" s="64"/>
      <c r="D11" s="64"/>
      <c r="E11" s="64"/>
      <c r="F11" s="64"/>
      <c r="G11" s="64"/>
      <c r="H11" s="64"/>
      <c r="I11" s="2" t="s">
        <v>86</v>
      </c>
      <c r="J11" s="2"/>
    </row>
    <row r="12" spans="1:10" x14ac:dyDescent="0.3">
      <c r="A12" s="6" t="s">
        <v>44</v>
      </c>
      <c r="B12" s="64" t="s">
        <v>45</v>
      </c>
      <c r="C12" s="64"/>
      <c r="D12" s="64"/>
      <c r="E12" s="64"/>
      <c r="F12" s="64"/>
      <c r="G12" s="64"/>
      <c r="H12" s="64"/>
    </row>
    <row r="13" spans="1:10" x14ac:dyDescent="0.3">
      <c r="A13" s="6" t="s">
        <v>46</v>
      </c>
      <c r="B13" s="64"/>
      <c r="C13" s="64"/>
      <c r="D13" s="64"/>
      <c r="E13" s="64"/>
      <c r="F13" s="64"/>
      <c r="G13" s="64"/>
      <c r="H13" s="64"/>
    </row>
    <row r="15" spans="1:10" x14ac:dyDescent="0.3">
      <c r="A15" s="69" t="s">
        <v>47</v>
      </c>
      <c r="B15" s="64"/>
      <c r="C15" s="64"/>
      <c r="D15" s="64"/>
      <c r="E15" s="64"/>
      <c r="F15" s="64"/>
      <c r="G15" s="64"/>
      <c r="H15" s="64"/>
    </row>
    <row r="16" spans="1:10" x14ac:dyDescent="0.3">
      <c r="A16" s="70" t="s">
        <v>48</v>
      </c>
      <c r="B16" s="64"/>
      <c r="C16" s="64"/>
      <c r="D16" s="64"/>
      <c r="E16" s="64"/>
      <c r="F16" s="64"/>
      <c r="G16" s="64"/>
      <c r="H16" s="64"/>
    </row>
    <row r="17" spans="1:8" x14ac:dyDescent="0.3">
      <c r="A17" s="64"/>
      <c r="B17" s="64"/>
      <c r="C17" s="64"/>
      <c r="D17" s="64"/>
      <c r="E17" s="64"/>
      <c r="F17" s="64"/>
      <c r="G17" s="64"/>
      <c r="H17" s="64"/>
    </row>
    <row r="19" spans="1:8" x14ac:dyDescent="0.3">
      <c r="A19" s="7" t="s">
        <v>49</v>
      </c>
    </row>
    <row r="20" spans="1:8" x14ac:dyDescent="0.3">
      <c r="A20" t="s">
        <v>50</v>
      </c>
      <c r="B20" s="64" t="s">
        <v>51</v>
      </c>
      <c r="C20" s="64"/>
      <c r="D20" s="64"/>
      <c r="E20" s="64"/>
      <c r="F20" s="64"/>
      <c r="G20" s="64"/>
      <c r="H20" s="64"/>
    </row>
    <row r="21" spans="1:8" x14ac:dyDescent="0.3">
      <c r="A21" t="s">
        <v>50</v>
      </c>
      <c r="B21" s="64" t="s">
        <v>52</v>
      </c>
      <c r="C21" s="64"/>
      <c r="D21" s="64"/>
      <c r="E21" s="64"/>
      <c r="F21" s="64"/>
      <c r="G21" s="64"/>
      <c r="H21" s="64"/>
    </row>
    <row r="22" spans="1:8" x14ac:dyDescent="0.3">
      <c r="A22" t="s">
        <v>50</v>
      </c>
      <c r="B22" s="64" t="s">
        <v>53</v>
      </c>
      <c r="C22" s="64"/>
      <c r="D22" s="64"/>
      <c r="E22" s="64"/>
      <c r="F22" s="64"/>
      <c r="G22" s="64"/>
      <c r="H22" s="64"/>
    </row>
    <row r="23" spans="1:8" x14ac:dyDescent="0.3">
      <c r="A23" t="s">
        <v>50</v>
      </c>
      <c r="B23" s="64" t="s">
        <v>54</v>
      </c>
      <c r="C23" s="64"/>
      <c r="D23" s="64"/>
      <c r="E23" s="64"/>
      <c r="F23" s="64"/>
      <c r="G23" s="64"/>
      <c r="H23" s="64"/>
    </row>
    <row r="24" spans="1:8" x14ac:dyDescent="0.3">
      <c r="A24" t="s">
        <v>50</v>
      </c>
      <c r="B24" s="64" t="s">
        <v>55</v>
      </c>
      <c r="C24" s="64"/>
      <c r="D24" s="64"/>
      <c r="E24" s="64"/>
      <c r="F24" s="64"/>
      <c r="G24" s="64"/>
      <c r="H24" s="64"/>
    </row>
    <row r="25" spans="1:8" x14ac:dyDescent="0.3">
      <c r="A25" t="s">
        <v>50</v>
      </c>
      <c r="B25" s="64" t="s">
        <v>56</v>
      </c>
      <c r="C25" s="64"/>
      <c r="D25" s="64"/>
      <c r="E25" s="64"/>
      <c r="F25" s="64"/>
      <c r="G25" s="64"/>
      <c r="H25" s="64"/>
    </row>
    <row r="27" spans="1:8" x14ac:dyDescent="0.3">
      <c r="A27" s="8" t="s">
        <v>57</v>
      </c>
      <c r="B27" s="8" t="s">
        <v>58</v>
      </c>
      <c r="C27" s="8" t="s">
        <v>59</v>
      </c>
      <c r="D27" s="8" t="s">
        <v>60</v>
      </c>
      <c r="E27" s="8" t="s">
        <v>61</v>
      </c>
      <c r="F27" s="8" t="s">
        <v>62</v>
      </c>
      <c r="G27" s="8" t="s">
        <v>61</v>
      </c>
      <c r="H27" s="8" t="s">
        <v>63</v>
      </c>
    </row>
    <row r="28" spans="1:8" x14ac:dyDescent="0.3">
      <c r="A28" s="14">
        <v>1</v>
      </c>
      <c r="B28" s="3" t="s">
        <v>9</v>
      </c>
      <c r="C28" s="9" t="s">
        <v>64</v>
      </c>
      <c r="D28" s="2"/>
      <c r="E28" s="2"/>
      <c r="F28" s="2"/>
      <c r="G28" s="2"/>
      <c r="H28" s="10" t="s">
        <v>65</v>
      </c>
    </row>
    <row r="29" spans="1:8" x14ac:dyDescent="0.3">
      <c r="A29" s="14">
        <v>2</v>
      </c>
      <c r="B29" s="3" t="s">
        <v>11</v>
      </c>
      <c r="C29" s="9" t="s">
        <v>66</v>
      </c>
      <c r="D29" s="2"/>
      <c r="E29" s="2"/>
      <c r="F29" s="2"/>
      <c r="G29" s="2"/>
      <c r="H29" s="10" t="s">
        <v>65</v>
      </c>
    </row>
    <row r="30" spans="1:8" x14ac:dyDescent="0.3">
      <c r="A30" s="14">
        <v>3</v>
      </c>
      <c r="B30" s="3" t="s">
        <v>13</v>
      </c>
      <c r="C30" s="9" t="s">
        <v>67</v>
      </c>
      <c r="D30" s="2"/>
      <c r="E30" s="2"/>
      <c r="F30" s="2"/>
      <c r="G30" s="2"/>
      <c r="H30" s="10" t="s">
        <v>65</v>
      </c>
    </row>
    <row r="31" spans="1:8" x14ac:dyDescent="0.3">
      <c r="A31" s="14">
        <v>4</v>
      </c>
      <c r="B31" s="3" t="s">
        <v>15</v>
      </c>
      <c r="C31" s="9" t="s">
        <v>68</v>
      </c>
      <c r="D31" s="2"/>
      <c r="E31" s="2"/>
      <c r="F31" s="2"/>
      <c r="G31" s="2"/>
      <c r="H31" s="10" t="s">
        <v>65</v>
      </c>
    </row>
    <row r="32" spans="1:8" x14ac:dyDescent="0.3">
      <c r="A32" s="14">
        <v>5</v>
      </c>
      <c r="B32" s="3" t="s">
        <v>17</v>
      </c>
      <c r="C32" s="9" t="s">
        <v>69</v>
      </c>
      <c r="D32" s="2"/>
      <c r="E32" s="2"/>
      <c r="F32" s="2"/>
      <c r="G32" s="2"/>
      <c r="H32" s="10" t="s">
        <v>65</v>
      </c>
    </row>
    <row r="33" spans="1:8" x14ac:dyDescent="0.3">
      <c r="A33" s="14">
        <v>6</v>
      </c>
      <c r="B33" s="3" t="s">
        <v>19</v>
      </c>
      <c r="C33" s="9" t="s">
        <v>70</v>
      </c>
      <c r="D33" s="2"/>
      <c r="E33" s="2"/>
      <c r="F33" s="2"/>
      <c r="G33" s="2"/>
      <c r="H33" s="10" t="s">
        <v>65</v>
      </c>
    </row>
    <row r="34" spans="1:8" x14ac:dyDescent="0.3">
      <c r="A34" s="14">
        <v>7</v>
      </c>
      <c r="B34" s="3" t="s">
        <v>21</v>
      </c>
      <c r="C34" s="9" t="s">
        <v>71</v>
      </c>
      <c r="D34" s="2"/>
      <c r="E34" s="2"/>
      <c r="F34" s="2"/>
      <c r="G34" s="2"/>
      <c r="H34" s="10" t="s">
        <v>65</v>
      </c>
    </row>
    <row r="35" spans="1:8" x14ac:dyDescent="0.3">
      <c r="A35" s="14">
        <v>8</v>
      </c>
      <c r="B35" s="3" t="s">
        <v>23</v>
      </c>
      <c r="C35" s="9" t="s">
        <v>72</v>
      </c>
      <c r="D35" s="2"/>
      <c r="E35" s="2"/>
      <c r="F35" s="2"/>
      <c r="G35" s="2"/>
      <c r="H35" s="10" t="s">
        <v>65</v>
      </c>
    </row>
    <row r="36" spans="1:8" x14ac:dyDescent="0.3">
      <c r="A36" s="14">
        <v>9</v>
      </c>
      <c r="B36" s="3" t="s">
        <v>25</v>
      </c>
      <c r="C36" s="9" t="s">
        <v>73</v>
      </c>
      <c r="D36" s="2"/>
      <c r="E36" s="2"/>
      <c r="F36" s="2"/>
      <c r="G36" s="2"/>
      <c r="H36" s="10" t="s">
        <v>65</v>
      </c>
    </row>
    <row r="37" spans="1:8" x14ac:dyDescent="0.3">
      <c r="A37" s="14">
        <v>10</v>
      </c>
      <c r="B37" s="3" t="s">
        <v>27</v>
      </c>
      <c r="C37" s="9" t="s">
        <v>74</v>
      </c>
      <c r="D37" s="2"/>
      <c r="E37" s="2"/>
      <c r="F37" s="2"/>
      <c r="G37" s="2"/>
      <c r="H37" s="10" t="s">
        <v>65</v>
      </c>
    </row>
    <row r="38" spans="1:8" x14ac:dyDescent="0.3">
      <c r="A38" s="14">
        <v>11</v>
      </c>
      <c r="B38" s="3" t="s">
        <v>29</v>
      </c>
      <c r="C38" s="9" t="s">
        <v>75</v>
      </c>
      <c r="D38" s="2"/>
      <c r="E38" s="2"/>
      <c r="F38" s="2"/>
      <c r="G38" s="2"/>
      <c r="H38" s="10" t="s">
        <v>65</v>
      </c>
    </row>
    <row r="39" spans="1:8" x14ac:dyDescent="0.3">
      <c r="A39" s="14">
        <v>12</v>
      </c>
      <c r="B39" s="3" t="s">
        <v>31</v>
      </c>
      <c r="C39" s="9" t="s">
        <v>76</v>
      </c>
      <c r="D39" s="2"/>
      <c r="E39" s="2"/>
      <c r="F39" s="2"/>
      <c r="G39" s="2"/>
      <c r="H39" s="10" t="s">
        <v>65</v>
      </c>
    </row>
    <row r="40" spans="1:8" x14ac:dyDescent="0.3">
      <c r="A40" s="14">
        <v>13</v>
      </c>
      <c r="B40" s="3" t="s">
        <v>33</v>
      </c>
      <c r="C40" s="9" t="s">
        <v>77</v>
      </c>
      <c r="D40" s="2"/>
      <c r="E40" s="2"/>
      <c r="F40" s="2"/>
      <c r="G40" s="2"/>
      <c r="H40" s="10" t="s">
        <v>65</v>
      </c>
    </row>
    <row r="41" spans="1:8" x14ac:dyDescent="0.3">
      <c r="A41" s="14">
        <v>14</v>
      </c>
      <c r="B41" s="3" t="s">
        <v>35</v>
      </c>
      <c r="C41" s="9" t="s">
        <v>78</v>
      </c>
      <c r="D41" s="2"/>
      <c r="E41" s="2"/>
      <c r="F41" s="2"/>
      <c r="G41" s="2"/>
      <c r="H41" s="10" t="s">
        <v>65</v>
      </c>
    </row>
    <row r="42" spans="1:8" x14ac:dyDescent="0.3">
      <c r="A42" s="14">
        <v>15</v>
      </c>
      <c r="B42" s="3" t="s">
        <v>37</v>
      </c>
      <c r="C42" s="9" t="s">
        <v>79</v>
      </c>
      <c r="D42" s="2"/>
      <c r="E42" s="2"/>
      <c r="F42" s="2"/>
      <c r="G42" s="2"/>
      <c r="H42" s="10" t="s">
        <v>65</v>
      </c>
    </row>
    <row r="43" spans="1:8" x14ac:dyDescent="0.3">
      <c r="A43" s="14">
        <v>16</v>
      </c>
      <c r="B43" s="3" t="s">
        <v>39</v>
      </c>
      <c r="C43" s="9" t="s">
        <v>80</v>
      </c>
      <c r="D43" s="2"/>
      <c r="E43" s="2"/>
      <c r="F43" s="2"/>
      <c r="G43" s="2"/>
      <c r="H43" s="10" t="s">
        <v>65</v>
      </c>
    </row>
    <row r="46" spans="1:8" x14ac:dyDescent="0.3">
      <c r="A46" s="69" t="s">
        <v>81</v>
      </c>
      <c r="B46" s="64"/>
      <c r="C46" s="64"/>
      <c r="D46" s="64"/>
      <c r="E46" s="64"/>
      <c r="F46" s="64"/>
      <c r="G46" s="64"/>
      <c r="H46" s="64"/>
    </row>
    <row r="47" spans="1:8" x14ac:dyDescent="0.3">
      <c r="A47" s="64" t="s">
        <v>82</v>
      </c>
      <c r="B47" s="64"/>
      <c r="C47" s="64"/>
      <c r="D47" s="64"/>
      <c r="E47" s="64"/>
      <c r="F47" s="64"/>
      <c r="G47" s="64"/>
      <c r="H47" s="64"/>
    </row>
    <row r="48" spans="1:8" x14ac:dyDescent="0.3">
      <c r="A48" s="64"/>
      <c r="B48" s="64"/>
      <c r="C48" s="64"/>
      <c r="D48" s="64"/>
      <c r="E48" s="64"/>
      <c r="F48" s="64"/>
      <c r="G48" s="64"/>
      <c r="H48" s="64"/>
    </row>
    <row r="49" spans="1:9" x14ac:dyDescent="0.3">
      <c r="A49" s="64"/>
      <c r="B49" s="64"/>
      <c r="C49" s="64"/>
      <c r="D49" s="64"/>
      <c r="E49" s="64"/>
      <c r="F49" s="64"/>
      <c r="G49" s="64"/>
      <c r="H49" s="64"/>
    </row>
    <row r="51" spans="1:9" x14ac:dyDescent="0.3">
      <c r="A51" s="65"/>
      <c r="B51" s="64"/>
      <c r="C51" s="64"/>
      <c r="D51" s="64"/>
      <c r="E51" s="65"/>
      <c r="F51" s="64"/>
      <c r="G51" s="64"/>
      <c r="H51" s="64"/>
    </row>
    <row r="52" spans="1:9" x14ac:dyDescent="0.3">
      <c r="A52" s="64"/>
      <c r="B52" s="64"/>
      <c r="C52" s="64"/>
      <c r="D52" s="64"/>
      <c r="E52" s="64"/>
      <c r="F52" s="64"/>
      <c r="G52" s="64"/>
      <c r="H52" s="64"/>
    </row>
    <row r="53" spans="1:9" x14ac:dyDescent="0.3">
      <c r="A53" s="64"/>
      <c r="B53" s="64"/>
      <c r="C53" s="64"/>
      <c r="D53" s="64"/>
      <c r="E53" s="64"/>
      <c r="F53" s="64"/>
      <c r="G53" s="64"/>
      <c r="H53" s="64"/>
    </row>
    <row r="54" spans="1:9" x14ac:dyDescent="0.3">
      <c r="A54" s="64"/>
      <c r="B54" s="64"/>
      <c r="C54" s="64"/>
      <c r="D54" s="64"/>
      <c r="E54" s="64"/>
      <c r="F54" s="64"/>
      <c r="G54" s="64"/>
      <c r="H54" s="64"/>
    </row>
    <row r="56" spans="1:9" x14ac:dyDescent="0.3">
      <c r="A56" s="15" t="s">
        <v>88</v>
      </c>
      <c r="B56" s="5"/>
      <c r="C56" s="5"/>
      <c r="F56" s="15" t="s">
        <v>89</v>
      </c>
      <c r="G56" s="5"/>
      <c r="H56" s="5"/>
      <c r="I56" s="5"/>
    </row>
    <row r="57" spans="1:9" x14ac:dyDescent="0.3">
      <c r="A57" s="16" t="s">
        <v>90</v>
      </c>
      <c r="F57" s="16" t="s">
        <v>90</v>
      </c>
    </row>
    <row r="71" spans="1:1" x14ac:dyDescent="0.3">
      <c r="A71" s="11" t="s">
        <v>83</v>
      </c>
    </row>
  </sheetData>
  <mergeCells count="22">
    <mergeCell ref="A52:D54"/>
    <mergeCell ref="B11:H11"/>
    <mergeCell ref="B20:H20"/>
    <mergeCell ref="B25:H25"/>
    <mergeCell ref="E52:H54"/>
    <mergeCell ref="A46:H46"/>
    <mergeCell ref="B21:H21"/>
    <mergeCell ref="B12:H12"/>
    <mergeCell ref="B23:H23"/>
    <mergeCell ref="A47:H49"/>
    <mergeCell ref="A16:H17"/>
    <mergeCell ref="A4:H4"/>
    <mergeCell ref="A5:H5"/>
    <mergeCell ref="A6:H6"/>
    <mergeCell ref="A51:D51"/>
    <mergeCell ref="A9:H9"/>
    <mergeCell ref="B13:H13"/>
    <mergeCell ref="B22:H22"/>
    <mergeCell ref="A15:H15"/>
    <mergeCell ref="E51:H51"/>
    <mergeCell ref="B24:H24"/>
    <mergeCell ref="A3:H3"/>
  </mergeCells>
  <hyperlinks>
    <hyperlink ref="H28" location="'F-SUM Sumaria'!A1" display="VER &gt;&gt;" xr:uid="{00000000-0004-0000-0100-000000000000}"/>
    <hyperlink ref="H29" location="'F-1 Oblig Financ'!A1" display="VER &gt;&gt;" xr:uid="{00000000-0004-0000-0100-000001000000}"/>
    <hyperlink ref="H30" location="'F-1.1 Créditos'!A1" display="VER &gt;&gt;" xr:uid="{00000000-0004-0000-0100-000002000000}"/>
    <hyperlink ref="H31" location="'F-1.2 Leasing'!A1" display="VER &gt;&gt;" xr:uid="{00000000-0004-0000-0100-000003000000}"/>
    <hyperlink ref="H32" location="'F-1.3 Tasas'!A1" display="VER &gt;&gt;" xr:uid="{00000000-0004-0000-0100-000004000000}"/>
    <hyperlink ref="H33" location="'F-2 Proveedores'!A1" display="VER &gt;&gt;" xr:uid="{00000000-0004-0000-0100-000005000000}"/>
    <hyperlink ref="H34" location="'F-2.1 Circular'!A1" display="VER &gt;&gt;" xr:uid="{00000000-0004-0000-0100-000006000000}"/>
    <hyperlink ref="H35" location="'F-2.2 Antigüedad'!A1" display="VER &gt;&gt;" xr:uid="{00000000-0004-0000-0100-000007000000}"/>
    <hyperlink ref="H36" location="'F-3 Costos'!A1" display="VER &gt;&gt;" xr:uid="{00000000-0004-0000-0100-000008000000}"/>
    <hyperlink ref="H37" location="'F-4 Laborales'!A1" display="VER &gt;&gt;" xr:uid="{00000000-0004-0000-0100-000009000000}"/>
    <hyperlink ref="H38" location="'F-4.1 Prestaciones'!A1" display="VER &gt;&gt;" xr:uid="{00000000-0004-0000-0100-00000A000000}"/>
    <hyperlink ref="H39" location="'F-4.2 Nómina'!A1" display="VER &gt;&gt;" xr:uid="{00000000-0004-0000-0100-00000B000000}"/>
    <hyperlink ref="H40" location="'F-4.3 Parafiscales'!A1" display="VER &gt;&gt;" xr:uid="{00000000-0004-0000-0100-00000C000000}"/>
    <hyperlink ref="H41" location="'F-5 Provisiones'!A1" display="VER &gt;&gt;" xr:uid="{00000000-0004-0000-0100-00000D000000}"/>
    <hyperlink ref="H42" location="'F-6 Contingencias'!A1" display="VER &gt;&gt;" xr:uid="{00000000-0004-0000-0100-00000E000000}"/>
    <hyperlink ref="H43" location="'F-7 Impuestos'!A1" display="VER &gt;&gt;" xr:uid="{00000000-0004-0000-0100-00000F000000}"/>
    <hyperlink ref="A71" location="ÍNDICE!A1" display="&lt;&lt; Volver al Índice" xr:uid="{00000000-0004-0000-0100-00001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>
      <selection activeCell="E4" sqref="E4"/>
    </sheetView>
  </sheetViews>
  <sheetFormatPr baseColWidth="10" defaultColWidth="9.109375" defaultRowHeight="15.05" x14ac:dyDescent="0.3"/>
  <cols>
    <col min="1" max="1" width="33" customWidth="1"/>
    <col min="2" max="5" width="15.6640625" customWidth="1"/>
    <col min="6" max="6" width="26.44140625" customWidth="1"/>
    <col min="7" max="8" width="15.6640625" customWidth="1"/>
    <col min="9" max="9" width="19.109375" customWidth="1"/>
    <col min="10" max="10" width="15" customWidth="1"/>
  </cols>
  <sheetData>
    <row r="1" spans="1:10" x14ac:dyDescent="0.3">
      <c r="A1" s="12" t="s">
        <v>83</v>
      </c>
    </row>
    <row r="3" spans="1:10" ht="23.25" customHeight="1" x14ac:dyDescent="0.3">
      <c r="J3" s="29" t="s">
        <v>9</v>
      </c>
    </row>
    <row r="5" spans="1:10" ht="15.05" customHeight="1" x14ac:dyDescent="0.3">
      <c r="D5" t="s">
        <v>115</v>
      </c>
      <c r="E5" s="13" t="s">
        <v>397</v>
      </c>
      <c r="I5" s="2" t="s">
        <v>84</v>
      </c>
      <c r="J5" s="2"/>
    </row>
    <row r="6" spans="1:10" x14ac:dyDescent="0.3">
      <c r="E6" s="13" t="s">
        <v>398</v>
      </c>
      <c r="I6" s="2" t="s">
        <v>41</v>
      </c>
      <c r="J6" s="2"/>
    </row>
    <row r="7" spans="1:10" ht="15.05" customHeight="1" x14ac:dyDescent="0.3">
      <c r="E7" s="13" t="s">
        <v>399</v>
      </c>
      <c r="I7" s="2" t="s">
        <v>85</v>
      </c>
      <c r="J7" s="2"/>
    </row>
    <row r="8" spans="1:10" x14ac:dyDescent="0.3">
      <c r="E8" s="13" t="s">
        <v>400</v>
      </c>
      <c r="I8" s="2" t="s">
        <v>86</v>
      </c>
      <c r="J8" s="2"/>
    </row>
    <row r="10" spans="1:10" ht="17.7" x14ac:dyDescent="0.3">
      <c r="A10" s="71" t="s">
        <v>91</v>
      </c>
      <c r="B10" s="71"/>
      <c r="C10" s="71"/>
      <c r="D10" s="71"/>
      <c r="E10" s="71"/>
      <c r="F10" s="71"/>
      <c r="G10" s="71"/>
      <c r="H10" s="71"/>
    </row>
    <row r="13" spans="1:10" ht="23.6" x14ac:dyDescent="0.3">
      <c r="A13" s="18" t="s">
        <v>92</v>
      </c>
      <c r="B13" s="23" t="s">
        <v>106</v>
      </c>
      <c r="C13" s="23" t="s">
        <v>107</v>
      </c>
      <c r="D13" s="23" t="s">
        <v>108</v>
      </c>
      <c r="E13" s="23" t="s">
        <v>109</v>
      </c>
      <c r="F13" s="23" t="s">
        <v>110</v>
      </c>
      <c r="G13" s="23" t="s">
        <v>111</v>
      </c>
      <c r="H13" s="23" t="s">
        <v>112</v>
      </c>
      <c r="I13" s="23" t="s">
        <v>113</v>
      </c>
      <c r="J13" s="23" t="s">
        <v>114</v>
      </c>
    </row>
    <row r="14" spans="1:10" x14ac:dyDescent="0.3">
      <c r="A14" s="2" t="s">
        <v>97</v>
      </c>
      <c r="B14" s="24">
        <v>100</v>
      </c>
      <c r="C14" s="24">
        <v>50</v>
      </c>
      <c r="D14" s="24">
        <v>5</v>
      </c>
      <c r="E14" s="25">
        <f t="shared" ref="E14:E21" si="0">B14+C14-D14</f>
        <v>145</v>
      </c>
      <c r="F14" s="24"/>
      <c r="G14" s="25">
        <f t="shared" ref="G14:G21" si="1">E14+F14</f>
        <v>145</v>
      </c>
      <c r="H14" s="24">
        <v>100</v>
      </c>
      <c r="I14" s="25">
        <f t="shared" ref="I14:I21" si="2">H14-G14</f>
        <v>-45</v>
      </c>
      <c r="J14" s="26"/>
    </row>
    <row r="15" spans="1:10" x14ac:dyDescent="0.3">
      <c r="A15" s="2" t="s">
        <v>98</v>
      </c>
      <c r="B15" s="24"/>
      <c r="C15" s="24"/>
      <c r="D15" s="24"/>
      <c r="E15" s="25">
        <f t="shared" si="0"/>
        <v>0</v>
      </c>
      <c r="F15" s="24"/>
      <c r="G15" s="25">
        <f t="shared" si="1"/>
        <v>0</v>
      </c>
      <c r="H15" s="24"/>
      <c r="I15" s="25">
        <f t="shared" si="2"/>
        <v>0</v>
      </c>
      <c r="J15" s="26"/>
    </row>
    <row r="16" spans="1:10" x14ac:dyDescent="0.3">
      <c r="A16" s="2" t="s">
        <v>99</v>
      </c>
      <c r="B16" s="24"/>
      <c r="C16" s="24"/>
      <c r="D16" s="24"/>
      <c r="E16" s="25">
        <f t="shared" si="0"/>
        <v>0</v>
      </c>
      <c r="F16" s="24"/>
      <c r="G16" s="25">
        <f t="shared" si="1"/>
        <v>0</v>
      </c>
      <c r="H16" s="24"/>
      <c r="I16" s="25">
        <f t="shared" si="2"/>
        <v>0</v>
      </c>
      <c r="J16" s="26"/>
    </row>
    <row r="17" spans="1:10" x14ac:dyDescent="0.3">
      <c r="A17" s="2" t="s">
        <v>100</v>
      </c>
      <c r="B17" s="24"/>
      <c r="C17" s="24"/>
      <c r="D17" s="24"/>
      <c r="E17" s="25">
        <f t="shared" si="0"/>
        <v>0</v>
      </c>
      <c r="F17" s="24"/>
      <c r="G17" s="25">
        <f t="shared" si="1"/>
        <v>0</v>
      </c>
      <c r="H17" s="24"/>
      <c r="I17" s="25">
        <f t="shared" si="2"/>
        <v>0</v>
      </c>
      <c r="J17" s="26"/>
    </row>
    <row r="18" spans="1:10" x14ac:dyDescent="0.3">
      <c r="A18" s="2" t="s">
        <v>101</v>
      </c>
      <c r="B18" s="24"/>
      <c r="C18" s="24"/>
      <c r="D18" s="24"/>
      <c r="E18" s="25">
        <f t="shared" si="0"/>
        <v>0</v>
      </c>
      <c r="F18" s="24"/>
      <c r="G18" s="25">
        <f t="shared" si="1"/>
        <v>0</v>
      </c>
      <c r="H18" s="24"/>
      <c r="I18" s="25">
        <f t="shared" si="2"/>
        <v>0</v>
      </c>
      <c r="J18" s="26"/>
    </row>
    <row r="19" spans="1:10" x14ac:dyDescent="0.3">
      <c r="A19" s="2" t="s">
        <v>102</v>
      </c>
      <c r="B19" s="24"/>
      <c r="C19" s="24"/>
      <c r="D19" s="24"/>
      <c r="E19" s="25">
        <f t="shared" si="0"/>
        <v>0</v>
      </c>
      <c r="F19" s="24"/>
      <c r="G19" s="25">
        <f t="shared" si="1"/>
        <v>0</v>
      </c>
      <c r="H19" s="24"/>
      <c r="I19" s="25">
        <f t="shared" si="2"/>
        <v>0</v>
      </c>
      <c r="J19" s="26"/>
    </row>
    <row r="20" spans="1:10" x14ac:dyDescent="0.3">
      <c r="A20" s="2" t="s">
        <v>103</v>
      </c>
      <c r="B20" s="24"/>
      <c r="C20" s="24"/>
      <c r="D20" s="24"/>
      <c r="E20" s="25">
        <f t="shared" si="0"/>
        <v>0</v>
      </c>
      <c r="F20" s="24"/>
      <c r="G20" s="25">
        <f t="shared" si="1"/>
        <v>0</v>
      </c>
      <c r="H20" s="24"/>
      <c r="I20" s="25">
        <f t="shared" si="2"/>
        <v>0</v>
      </c>
      <c r="J20" s="26"/>
    </row>
    <row r="21" spans="1:10" x14ac:dyDescent="0.3">
      <c r="A21" s="2" t="s">
        <v>104</v>
      </c>
      <c r="B21" s="24">
        <v>7</v>
      </c>
      <c r="C21" s="24"/>
      <c r="D21" s="24"/>
      <c r="E21" s="25">
        <f t="shared" si="0"/>
        <v>7</v>
      </c>
      <c r="F21" s="24"/>
      <c r="G21" s="25">
        <f t="shared" si="1"/>
        <v>7</v>
      </c>
      <c r="H21" s="24"/>
      <c r="I21" s="25">
        <f t="shared" si="2"/>
        <v>-7</v>
      </c>
      <c r="J21" s="26"/>
    </row>
    <row r="22" spans="1:10" ht="21.8" customHeight="1" x14ac:dyDescent="0.3">
      <c r="A22" s="21" t="s">
        <v>105</v>
      </c>
      <c r="B22" s="27">
        <f t="shared" ref="B22:I22" si="3">SUM(B14:B21)</f>
        <v>107</v>
      </c>
      <c r="C22" s="27">
        <f t="shared" si="3"/>
        <v>50</v>
      </c>
      <c r="D22" s="27">
        <f t="shared" si="3"/>
        <v>5</v>
      </c>
      <c r="E22" s="27">
        <f t="shared" si="3"/>
        <v>152</v>
      </c>
      <c r="F22" s="27">
        <f t="shared" si="3"/>
        <v>0</v>
      </c>
      <c r="G22" s="27">
        <f t="shared" si="3"/>
        <v>152</v>
      </c>
      <c r="H22" s="27">
        <f t="shared" si="3"/>
        <v>100</v>
      </c>
      <c r="I22" s="27">
        <f t="shared" si="3"/>
        <v>-52</v>
      </c>
      <c r="J22" s="28">
        <v>1</v>
      </c>
    </row>
    <row r="34" spans="1:9" x14ac:dyDescent="0.3">
      <c r="A34" s="30" t="s">
        <v>88</v>
      </c>
      <c r="B34" s="5"/>
      <c r="C34" s="5"/>
      <c r="F34" s="15" t="s">
        <v>89</v>
      </c>
      <c r="G34" s="5"/>
      <c r="H34" s="5"/>
      <c r="I34" s="5"/>
    </row>
    <row r="35" spans="1:9" x14ac:dyDescent="0.3">
      <c r="A35" s="16" t="s">
        <v>90</v>
      </c>
      <c r="F35" s="16" t="s">
        <v>90</v>
      </c>
    </row>
    <row r="42" spans="1:9" x14ac:dyDescent="0.3">
      <c r="A42" s="22" t="str">
        <f>HYPERLINK("#'INDICE'!A60","&lt;&lt; Volver al Indice")</f>
        <v>&lt;&lt; Volver al Indice</v>
      </c>
    </row>
  </sheetData>
  <mergeCells count="1">
    <mergeCell ref="A10:H10"/>
  </mergeCells>
  <hyperlinks>
    <hyperlink ref="A1" location="ÍNDICE!A1" display="&lt;&lt; Volver al Índice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workbookViewId="0">
      <selection activeCell="F5" sqref="F5"/>
    </sheetView>
  </sheetViews>
  <sheetFormatPr baseColWidth="10" defaultColWidth="9.109375" defaultRowHeight="15.05" x14ac:dyDescent="0.3"/>
  <cols>
    <col min="1" max="12" width="15.6640625" customWidth="1"/>
    <col min="13" max="13" width="18.109375" customWidth="1"/>
    <col min="14" max="14" width="10.88671875" customWidth="1"/>
  </cols>
  <sheetData>
    <row r="1" spans="1:14" x14ac:dyDescent="0.3">
      <c r="A1" s="12" t="s">
        <v>83</v>
      </c>
    </row>
    <row r="4" spans="1:14" ht="19.649999999999999" x14ac:dyDescent="0.35">
      <c r="N4" s="17" t="s">
        <v>11</v>
      </c>
    </row>
    <row r="5" spans="1:14" ht="20.3" customHeight="1" x14ac:dyDescent="0.3"/>
    <row r="6" spans="1:14" x14ac:dyDescent="0.3">
      <c r="F6" s="13" t="s">
        <v>397</v>
      </c>
      <c r="M6" s="2" t="s">
        <v>84</v>
      </c>
      <c r="N6" s="2"/>
    </row>
    <row r="7" spans="1:14" x14ac:dyDescent="0.3">
      <c r="F7" s="13" t="s">
        <v>398</v>
      </c>
      <c r="M7" s="2" t="s">
        <v>41</v>
      </c>
      <c r="N7" s="2"/>
    </row>
    <row r="8" spans="1:14" x14ac:dyDescent="0.3">
      <c r="F8" s="13" t="s">
        <v>399</v>
      </c>
      <c r="M8" s="2" t="s">
        <v>85</v>
      </c>
      <c r="N8" s="2"/>
    </row>
    <row r="9" spans="1:14" x14ac:dyDescent="0.3">
      <c r="F9" s="13" t="s">
        <v>400</v>
      </c>
      <c r="M9" s="2" t="s">
        <v>86</v>
      </c>
      <c r="N9" s="2"/>
    </row>
    <row r="11" spans="1:14" ht="17.05" x14ac:dyDescent="0.3">
      <c r="A11" s="72" t="s">
        <v>116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</row>
    <row r="13" spans="1:14" x14ac:dyDescent="0.3">
      <c r="A13" s="31" t="s">
        <v>117</v>
      </c>
    </row>
    <row r="15" spans="1:14" x14ac:dyDescent="0.3">
      <c r="A15" s="18" t="s">
        <v>118</v>
      </c>
      <c r="B15" s="18" t="s">
        <v>119</v>
      </c>
      <c r="C15" s="18" t="s">
        <v>120</v>
      </c>
      <c r="D15" s="18" t="s">
        <v>121</v>
      </c>
      <c r="E15" s="18" t="s">
        <v>122</v>
      </c>
      <c r="F15" s="18" t="s">
        <v>123</v>
      </c>
      <c r="G15" s="18" t="s">
        <v>93</v>
      </c>
      <c r="H15" s="18" t="s">
        <v>94</v>
      </c>
      <c r="I15" s="18" t="s">
        <v>95</v>
      </c>
      <c r="J15" s="18" t="s">
        <v>124</v>
      </c>
      <c r="K15" s="18" t="s">
        <v>125</v>
      </c>
      <c r="L15" s="18" t="s">
        <v>96</v>
      </c>
    </row>
    <row r="16" spans="1:14" x14ac:dyDescent="0.3">
      <c r="A16" s="2"/>
      <c r="B16" s="2"/>
      <c r="C16" s="2"/>
      <c r="D16" s="19">
        <v>100</v>
      </c>
      <c r="E16" s="32">
        <v>0.08</v>
      </c>
      <c r="F16" s="2">
        <v>12</v>
      </c>
      <c r="G16" s="19">
        <v>15</v>
      </c>
      <c r="H16" s="19">
        <v>24</v>
      </c>
      <c r="I16" s="19">
        <v>800</v>
      </c>
      <c r="J16" s="2"/>
      <c r="K16" s="2"/>
      <c r="L16" s="2"/>
    </row>
    <row r="17" spans="1:12" x14ac:dyDescent="0.3">
      <c r="A17" s="2"/>
      <c r="B17" s="2"/>
      <c r="C17" s="2"/>
      <c r="D17" s="19"/>
      <c r="E17" s="32"/>
      <c r="F17" s="2"/>
      <c r="G17" s="19"/>
      <c r="H17" s="19"/>
      <c r="I17" s="19">
        <f t="shared" ref="I17:I30" si="0">G17+H17</f>
        <v>0</v>
      </c>
      <c r="J17" s="2"/>
      <c r="K17" s="2"/>
      <c r="L17" s="2"/>
    </row>
    <row r="18" spans="1:12" x14ac:dyDescent="0.3">
      <c r="A18" s="2"/>
      <c r="B18" s="2"/>
      <c r="C18" s="2"/>
      <c r="D18" s="19"/>
      <c r="E18" s="32"/>
      <c r="F18" s="2"/>
      <c r="G18" s="19"/>
      <c r="H18" s="19"/>
      <c r="I18" s="19">
        <f t="shared" si="0"/>
        <v>0</v>
      </c>
      <c r="J18" s="2"/>
      <c r="K18" s="2"/>
      <c r="L18" s="2"/>
    </row>
    <row r="19" spans="1:12" x14ac:dyDescent="0.3">
      <c r="A19" s="2"/>
      <c r="B19" s="2"/>
      <c r="C19" s="2"/>
      <c r="D19" s="19"/>
      <c r="E19" s="32"/>
      <c r="F19" s="2"/>
      <c r="G19" s="19"/>
      <c r="H19" s="19"/>
      <c r="I19" s="19">
        <f t="shared" si="0"/>
        <v>0</v>
      </c>
      <c r="J19" s="2"/>
      <c r="K19" s="2"/>
      <c r="L19" s="2"/>
    </row>
    <row r="20" spans="1:12" x14ac:dyDescent="0.3">
      <c r="A20" s="2"/>
      <c r="B20" s="2"/>
      <c r="C20" s="2"/>
      <c r="D20" s="19"/>
      <c r="E20" s="32"/>
      <c r="F20" s="2"/>
      <c r="G20" s="19"/>
      <c r="H20" s="19"/>
      <c r="I20" s="19">
        <f t="shared" si="0"/>
        <v>0</v>
      </c>
      <c r="J20" s="2"/>
      <c r="K20" s="2"/>
      <c r="L20" s="2"/>
    </row>
    <row r="21" spans="1:12" x14ac:dyDescent="0.3">
      <c r="A21" s="2"/>
      <c r="B21" s="2"/>
      <c r="C21" s="2"/>
      <c r="D21" s="19"/>
      <c r="E21" s="32"/>
      <c r="F21" s="2"/>
      <c r="G21" s="19"/>
      <c r="H21" s="19"/>
      <c r="I21" s="19">
        <f t="shared" si="0"/>
        <v>0</v>
      </c>
      <c r="J21" s="2"/>
      <c r="K21" s="2"/>
      <c r="L21" s="2"/>
    </row>
    <row r="22" spans="1:12" x14ac:dyDescent="0.3">
      <c r="A22" s="2"/>
      <c r="B22" s="2"/>
      <c r="C22" s="2"/>
      <c r="D22" s="19"/>
      <c r="E22" s="32"/>
      <c r="F22" s="2"/>
      <c r="G22" s="19"/>
      <c r="H22" s="19"/>
      <c r="I22" s="19">
        <f t="shared" si="0"/>
        <v>0</v>
      </c>
      <c r="J22" s="2"/>
      <c r="K22" s="2"/>
      <c r="L22" s="2"/>
    </row>
    <row r="23" spans="1:12" x14ac:dyDescent="0.3">
      <c r="A23" s="2"/>
      <c r="B23" s="2"/>
      <c r="C23" s="2"/>
      <c r="D23" s="19"/>
      <c r="E23" s="32"/>
      <c r="F23" s="2"/>
      <c r="G23" s="19"/>
      <c r="H23" s="19"/>
      <c r="I23" s="19">
        <f t="shared" si="0"/>
        <v>0</v>
      </c>
      <c r="J23" s="2"/>
      <c r="K23" s="2"/>
      <c r="L23" s="2"/>
    </row>
    <row r="24" spans="1:12" x14ac:dyDescent="0.3">
      <c r="A24" s="2"/>
      <c r="B24" s="2"/>
      <c r="C24" s="2"/>
      <c r="D24" s="19"/>
      <c r="E24" s="32"/>
      <c r="F24" s="2"/>
      <c r="G24" s="19"/>
      <c r="H24" s="19"/>
      <c r="I24" s="19">
        <f t="shared" si="0"/>
        <v>0</v>
      </c>
      <c r="J24" s="2"/>
      <c r="K24" s="2"/>
      <c r="L24" s="2"/>
    </row>
    <row r="25" spans="1:12" x14ac:dyDescent="0.3">
      <c r="A25" s="2"/>
      <c r="B25" s="2"/>
      <c r="C25" s="2"/>
      <c r="D25" s="19"/>
      <c r="E25" s="32"/>
      <c r="F25" s="2"/>
      <c r="G25" s="19"/>
      <c r="H25" s="19"/>
      <c r="I25" s="19">
        <f t="shared" si="0"/>
        <v>0</v>
      </c>
      <c r="J25" s="2"/>
      <c r="K25" s="2"/>
      <c r="L25" s="2"/>
    </row>
    <row r="26" spans="1:12" x14ac:dyDescent="0.3">
      <c r="A26" s="2"/>
      <c r="B26" s="2"/>
      <c r="C26" s="2"/>
      <c r="D26" s="19"/>
      <c r="E26" s="32"/>
      <c r="F26" s="2"/>
      <c r="G26" s="19"/>
      <c r="H26" s="19"/>
      <c r="I26" s="19">
        <f t="shared" si="0"/>
        <v>0</v>
      </c>
      <c r="J26" s="2"/>
      <c r="K26" s="2"/>
      <c r="L26" s="2"/>
    </row>
    <row r="27" spans="1:12" x14ac:dyDescent="0.3">
      <c r="A27" s="2"/>
      <c r="B27" s="2"/>
      <c r="C27" s="2"/>
      <c r="D27" s="19"/>
      <c r="E27" s="32"/>
      <c r="F27" s="2"/>
      <c r="G27" s="19"/>
      <c r="H27" s="19"/>
      <c r="I27" s="19">
        <f t="shared" si="0"/>
        <v>0</v>
      </c>
      <c r="J27" s="2"/>
      <c r="K27" s="2"/>
      <c r="L27" s="2"/>
    </row>
    <row r="28" spans="1:12" x14ac:dyDescent="0.3">
      <c r="A28" s="2"/>
      <c r="B28" s="2"/>
      <c r="C28" s="2"/>
      <c r="D28" s="19"/>
      <c r="E28" s="32"/>
      <c r="F28" s="2"/>
      <c r="G28" s="19"/>
      <c r="H28" s="19"/>
      <c r="I28" s="19">
        <f t="shared" si="0"/>
        <v>0</v>
      </c>
      <c r="J28" s="2"/>
      <c r="K28" s="2"/>
      <c r="L28" s="2"/>
    </row>
    <row r="29" spans="1:12" x14ac:dyDescent="0.3">
      <c r="A29" s="2"/>
      <c r="B29" s="2"/>
      <c r="C29" s="2"/>
      <c r="D29" s="19"/>
      <c r="E29" s="32"/>
      <c r="F29" s="2"/>
      <c r="G29" s="19"/>
      <c r="H29" s="19"/>
      <c r="I29" s="19">
        <f t="shared" si="0"/>
        <v>0</v>
      </c>
      <c r="J29" s="2"/>
      <c r="K29" s="2"/>
      <c r="L29" s="2"/>
    </row>
    <row r="30" spans="1:12" x14ac:dyDescent="0.3">
      <c r="A30" s="2"/>
      <c r="B30" s="2"/>
      <c r="C30" s="2"/>
      <c r="D30" s="19"/>
      <c r="E30" s="32"/>
      <c r="F30" s="2"/>
      <c r="G30" s="19"/>
      <c r="H30" s="19"/>
      <c r="I30" s="19">
        <f t="shared" si="0"/>
        <v>0</v>
      </c>
      <c r="J30" s="2"/>
      <c r="K30" s="2"/>
      <c r="L30" s="2"/>
    </row>
    <row r="32" spans="1:12" x14ac:dyDescent="0.3">
      <c r="F32" s="33" t="s">
        <v>126</v>
      </c>
      <c r="G32" s="33">
        <f>SUM(G16:G31)</f>
        <v>15</v>
      </c>
      <c r="H32" s="33">
        <f>SUM(H16:H31)</f>
        <v>24</v>
      </c>
      <c r="I32" s="33">
        <f>G32+H32</f>
        <v>39</v>
      </c>
    </row>
    <row r="41" spans="1:11" x14ac:dyDescent="0.3">
      <c r="A41" s="30" t="s">
        <v>88</v>
      </c>
      <c r="B41" s="5"/>
      <c r="C41" s="5"/>
      <c r="H41" s="15" t="s">
        <v>89</v>
      </c>
      <c r="I41" s="5"/>
      <c r="J41" s="5"/>
      <c r="K41" s="5"/>
    </row>
    <row r="42" spans="1:11" x14ac:dyDescent="0.3">
      <c r="A42" s="16" t="s">
        <v>90</v>
      </c>
      <c r="H42" s="16" t="s">
        <v>90</v>
      </c>
    </row>
    <row r="52" spans="1:1" x14ac:dyDescent="0.3">
      <c r="A52" s="22" t="str">
        <f>HYPERLINK("#'INDICE'!A61","&lt;&lt; Volver al Indice")</f>
        <v>&lt;&lt; Volver al Indice</v>
      </c>
    </row>
  </sheetData>
  <mergeCells count="1">
    <mergeCell ref="A11:L11"/>
  </mergeCells>
  <hyperlinks>
    <hyperlink ref="A1" location="ÍNDICE!A1" display="&lt;&lt; Volver al Índice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workbookViewId="0">
      <selection activeCell="E6" sqref="E6:E9"/>
    </sheetView>
  </sheetViews>
  <sheetFormatPr baseColWidth="10" defaultColWidth="9.109375" defaultRowHeight="15.05" x14ac:dyDescent="0.3"/>
  <cols>
    <col min="1" max="11" width="15.6640625" customWidth="1"/>
    <col min="13" max="13" width="17.6640625" customWidth="1"/>
    <col min="14" max="14" width="10.88671875" customWidth="1"/>
  </cols>
  <sheetData>
    <row r="1" spans="1:14" x14ac:dyDescent="0.3">
      <c r="A1" s="12" t="s">
        <v>83</v>
      </c>
    </row>
    <row r="4" spans="1:14" ht="19.649999999999999" x14ac:dyDescent="0.35">
      <c r="N4" s="17" t="s">
        <v>13</v>
      </c>
    </row>
    <row r="6" spans="1:14" x14ac:dyDescent="0.3">
      <c r="E6" s="13" t="s">
        <v>397</v>
      </c>
      <c r="M6" s="2" t="s">
        <v>84</v>
      </c>
      <c r="N6" s="2"/>
    </row>
    <row r="7" spans="1:14" x14ac:dyDescent="0.3">
      <c r="E7" s="13" t="s">
        <v>398</v>
      </c>
      <c r="M7" s="2" t="s">
        <v>41</v>
      </c>
      <c r="N7" s="2"/>
    </row>
    <row r="8" spans="1:14" x14ac:dyDescent="0.3">
      <c r="E8" s="13" t="s">
        <v>399</v>
      </c>
      <c r="M8" s="2" t="s">
        <v>85</v>
      </c>
      <c r="N8" s="2"/>
    </row>
    <row r="9" spans="1:14" x14ac:dyDescent="0.3">
      <c r="E9" s="13" t="s">
        <v>400</v>
      </c>
      <c r="M9" s="2" t="s">
        <v>86</v>
      </c>
      <c r="N9" s="2"/>
    </row>
    <row r="10" spans="1:14" x14ac:dyDescent="0.3">
      <c r="E10" s="13"/>
      <c r="M10" s="93"/>
      <c r="N10" s="93"/>
    </row>
    <row r="11" spans="1:14" x14ac:dyDescent="0.3">
      <c r="E11" s="13"/>
      <c r="M11" s="93"/>
      <c r="N11" s="93"/>
    </row>
    <row r="12" spans="1:14" ht="17.05" x14ac:dyDescent="0.3">
      <c r="A12" s="72" t="s">
        <v>127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</row>
    <row r="15" spans="1:14" x14ac:dyDescent="0.3">
      <c r="A15" s="18" t="s">
        <v>128</v>
      </c>
      <c r="B15" s="18" t="s">
        <v>119</v>
      </c>
      <c r="C15" s="18" t="s">
        <v>129</v>
      </c>
      <c r="D15" s="18" t="s">
        <v>106</v>
      </c>
      <c r="E15" s="18" t="s">
        <v>130</v>
      </c>
      <c r="F15" s="18" t="s">
        <v>131</v>
      </c>
      <c r="G15" s="18" t="s">
        <v>132</v>
      </c>
      <c r="H15" s="18" t="s">
        <v>133</v>
      </c>
      <c r="I15" s="18" t="s">
        <v>134</v>
      </c>
      <c r="J15" s="18" t="s">
        <v>135</v>
      </c>
      <c r="K15" s="18" t="s">
        <v>96</v>
      </c>
    </row>
    <row r="16" spans="1:14" x14ac:dyDescent="0.3">
      <c r="A16" s="2"/>
      <c r="B16" s="2"/>
      <c r="C16" s="2"/>
      <c r="D16" s="19"/>
      <c r="E16" s="19">
        <v>800</v>
      </c>
      <c r="F16" s="19">
        <v>5</v>
      </c>
      <c r="G16" s="19">
        <v>3</v>
      </c>
      <c r="H16" s="19">
        <f t="shared" ref="H16:H25" si="0">D16+E16-F16</f>
        <v>795</v>
      </c>
      <c r="I16" s="34">
        <v>0.05</v>
      </c>
      <c r="J16" s="35" t="str">
        <f t="shared" ref="J16:J25" si="1">IF(H16=D16+E16-F16,"OK","REVISAR")</f>
        <v>OK</v>
      </c>
      <c r="K16" s="2"/>
    </row>
    <row r="17" spans="1:11" x14ac:dyDescent="0.3">
      <c r="A17" s="2"/>
      <c r="B17" s="2"/>
      <c r="C17" s="2"/>
      <c r="D17" s="19"/>
      <c r="E17" s="19"/>
      <c r="F17" s="19"/>
      <c r="G17" s="19"/>
      <c r="H17" s="19">
        <f t="shared" si="0"/>
        <v>0</v>
      </c>
      <c r="I17" s="34"/>
      <c r="J17" s="35" t="str">
        <f t="shared" si="1"/>
        <v>OK</v>
      </c>
      <c r="K17" s="2"/>
    </row>
    <row r="18" spans="1:11" x14ac:dyDescent="0.3">
      <c r="A18" s="2"/>
      <c r="B18" s="2"/>
      <c r="C18" s="2"/>
      <c r="D18" s="19"/>
      <c r="E18" s="19"/>
      <c r="F18" s="19"/>
      <c r="G18" s="19"/>
      <c r="H18" s="19">
        <f t="shared" si="0"/>
        <v>0</v>
      </c>
      <c r="I18" s="34"/>
      <c r="J18" s="35" t="str">
        <f t="shared" si="1"/>
        <v>OK</v>
      </c>
      <c r="K18" s="2"/>
    </row>
    <row r="19" spans="1:11" x14ac:dyDescent="0.3">
      <c r="A19" s="2"/>
      <c r="B19" s="2"/>
      <c r="C19" s="2"/>
      <c r="D19" s="19"/>
      <c r="E19" s="19"/>
      <c r="F19" s="19"/>
      <c r="G19" s="19"/>
      <c r="H19" s="19">
        <f t="shared" si="0"/>
        <v>0</v>
      </c>
      <c r="I19" s="34"/>
      <c r="J19" s="35" t="str">
        <f t="shared" si="1"/>
        <v>OK</v>
      </c>
      <c r="K19" s="2"/>
    </row>
    <row r="20" spans="1:11" x14ac:dyDescent="0.3">
      <c r="A20" s="2"/>
      <c r="B20" s="2"/>
      <c r="C20" s="2"/>
      <c r="D20" s="19"/>
      <c r="E20" s="19"/>
      <c r="F20" s="19"/>
      <c r="G20" s="19"/>
      <c r="H20" s="19">
        <f t="shared" si="0"/>
        <v>0</v>
      </c>
      <c r="I20" s="34"/>
      <c r="J20" s="35" t="str">
        <f t="shared" si="1"/>
        <v>OK</v>
      </c>
      <c r="K20" s="2"/>
    </row>
    <row r="21" spans="1:11" x14ac:dyDescent="0.3">
      <c r="A21" s="2"/>
      <c r="B21" s="2"/>
      <c r="C21" s="2"/>
      <c r="D21" s="19"/>
      <c r="E21" s="19"/>
      <c r="F21" s="19"/>
      <c r="G21" s="19"/>
      <c r="H21" s="19">
        <f t="shared" si="0"/>
        <v>0</v>
      </c>
      <c r="I21" s="34"/>
      <c r="J21" s="35" t="str">
        <f t="shared" si="1"/>
        <v>OK</v>
      </c>
      <c r="K21" s="2"/>
    </row>
    <row r="22" spans="1:11" x14ac:dyDescent="0.3">
      <c r="A22" s="2"/>
      <c r="B22" s="2"/>
      <c r="C22" s="2"/>
      <c r="D22" s="19"/>
      <c r="E22" s="19"/>
      <c r="F22" s="19"/>
      <c r="G22" s="19"/>
      <c r="H22" s="19">
        <f t="shared" si="0"/>
        <v>0</v>
      </c>
      <c r="I22" s="34"/>
      <c r="J22" s="35" t="str">
        <f t="shared" si="1"/>
        <v>OK</v>
      </c>
      <c r="K22" s="2"/>
    </row>
    <row r="23" spans="1:11" x14ac:dyDescent="0.3">
      <c r="A23" s="2"/>
      <c r="B23" s="2"/>
      <c r="C23" s="2"/>
      <c r="D23" s="19"/>
      <c r="E23" s="19"/>
      <c r="F23" s="19"/>
      <c r="G23" s="19"/>
      <c r="H23" s="19">
        <f t="shared" si="0"/>
        <v>0</v>
      </c>
      <c r="I23" s="34"/>
      <c r="J23" s="35" t="str">
        <f t="shared" si="1"/>
        <v>OK</v>
      </c>
      <c r="K23" s="2"/>
    </row>
    <row r="24" spans="1:11" x14ac:dyDescent="0.3">
      <c r="A24" s="2"/>
      <c r="B24" s="2"/>
      <c r="C24" s="2"/>
      <c r="D24" s="19"/>
      <c r="E24" s="19"/>
      <c r="F24" s="19"/>
      <c r="G24" s="19"/>
      <c r="H24" s="19">
        <f t="shared" si="0"/>
        <v>0</v>
      </c>
      <c r="I24" s="34"/>
      <c r="J24" s="35" t="str">
        <f t="shared" si="1"/>
        <v>OK</v>
      </c>
      <c r="K24" s="2"/>
    </row>
    <row r="25" spans="1:11" x14ac:dyDescent="0.3">
      <c r="A25" s="2"/>
      <c r="B25" s="2"/>
      <c r="C25" s="2"/>
      <c r="D25" s="19"/>
      <c r="E25" s="19"/>
      <c r="F25" s="19"/>
      <c r="G25" s="19"/>
      <c r="H25" s="19">
        <f t="shared" si="0"/>
        <v>0</v>
      </c>
      <c r="I25" s="34"/>
      <c r="J25" s="35" t="str">
        <f t="shared" si="1"/>
        <v>OK</v>
      </c>
      <c r="K25" s="2"/>
    </row>
    <row r="36" spans="1:11" x14ac:dyDescent="0.3">
      <c r="A36" s="30" t="s">
        <v>88</v>
      </c>
      <c r="B36" s="5"/>
      <c r="C36" s="5"/>
      <c r="H36" s="15" t="s">
        <v>89</v>
      </c>
      <c r="I36" s="5"/>
      <c r="J36" s="5"/>
      <c r="K36" s="5"/>
    </row>
    <row r="37" spans="1:11" x14ac:dyDescent="0.3">
      <c r="A37" s="16" t="s">
        <v>90</v>
      </c>
      <c r="H37" s="16" t="s">
        <v>90</v>
      </c>
    </row>
    <row r="49" spans="1:1" x14ac:dyDescent="0.3">
      <c r="A49" s="22" t="str">
        <f>HYPERLINK("#'INDICE'!A62","&lt;&lt; Volver al Indice")</f>
        <v>&lt;&lt; Volver al Indice</v>
      </c>
    </row>
  </sheetData>
  <mergeCells count="1">
    <mergeCell ref="A12:K12"/>
  </mergeCells>
  <hyperlinks>
    <hyperlink ref="A1" location="ÍNDICE!A1" display="&lt;&lt; Volver al Índice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"/>
  <sheetViews>
    <sheetView workbookViewId="0">
      <selection activeCell="F5" sqref="F5:F8"/>
    </sheetView>
  </sheetViews>
  <sheetFormatPr baseColWidth="10" defaultColWidth="9.109375" defaultRowHeight="15.05" x14ac:dyDescent="0.3"/>
  <cols>
    <col min="1" max="12" width="15.6640625" customWidth="1"/>
    <col min="13" max="13" width="17.44140625" customWidth="1"/>
    <col min="14" max="14" width="10.88671875" customWidth="1"/>
  </cols>
  <sheetData>
    <row r="1" spans="1:14" x14ac:dyDescent="0.3">
      <c r="A1" s="12" t="s">
        <v>83</v>
      </c>
    </row>
    <row r="3" spans="1:14" ht="19.649999999999999" x14ac:dyDescent="0.3">
      <c r="N3" s="29" t="s">
        <v>15</v>
      </c>
    </row>
    <row r="5" spans="1:14" x14ac:dyDescent="0.3">
      <c r="F5" s="13" t="s">
        <v>397</v>
      </c>
      <c r="M5" s="2" t="s">
        <v>84</v>
      </c>
      <c r="N5" s="2"/>
    </row>
    <row r="6" spans="1:14" x14ac:dyDescent="0.3">
      <c r="F6" s="13" t="s">
        <v>398</v>
      </c>
      <c r="M6" s="2" t="s">
        <v>41</v>
      </c>
      <c r="N6" s="2"/>
    </row>
    <row r="7" spans="1:14" x14ac:dyDescent="0.3">
      <c r="F7" s="13" t="s">
        <v>399</v>
      </c>
      <c r="M7" s="2" t="s">
        <v>85</v>
      </c>
      <c r="N7" s="2"/>
    </row>
    <row r="8" spans="1:14" x14ac:dyDescent="0.3">
      <c r="F8" s="13" t="s">
        <v>400</v>
      </c>
      <c r="M8" s="2" t="s">
        <v>86</v>
      </c>
      <c r="N8" s="2"/>
    </row>
    <row r="10" spans="1:14" ht="20.3" customHeight="1" x14ac:dyDescent="0.3">
      <c r="A10" s="72" t="s">
        <v>136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spans="1:14" x14ac:dyDescent="0.3">
      <c r="A11" s="31" t="s">
        <v>137</v>
      </c>
    </row>
    <row r="13" spans="1:14" x14ac:dyDescent="0.3">
      <c r="A13" s="18" t="s">
        <v>138</v>
      </c>
      <c r="B13" s="18" t="s">
        <v>139</v>
      </c>
      <c r="C13" s="18" t="s">
        <v>140</v>
      </c>
      <c r="D13" s="18" t="s">
        <v>141</v>
      </c>
      <c r="E13" s="18" t="s">
        <v>142</v>
      </c>
      <c r="F13" s="18" t="s">
        <v>143</v>
      </c>
      <c r="G13" s="18" t="s">
        <v>144</v>
      </c>
      <c r="H13" s="18" t="s">
        <v>145</v>
      </c>
      <c r="I13" s="18" t="s">
        <v>146</v>
      </c>
      <c r="J13" s="18" t="s">
        <v>147</v>
      </c>
      <c r="K13" s="18" t="s">
        <v>148</v>
      </c>
      <c r="L13" s="18" t="s">
        <v>96</v>
      </c>
    </row>
    <row r="14" spans="1:14" x14ac:dyDescent="0.3">
      <c r="A14" s="2"/>
      <c r="B14" s="2"/>
      <c r="C14" s="19"/>
      <c r="D14" s="34"/>
      <c r="E14" s="2"/>
      <c r="F14" s="19"/>
      <c r="G14" s="19"/>
      <c r="H14" s="19"/>
      <c r="I14" s="19">
        <f t="shared" ref="I14:I20" si="0">G14+H14</f>
        <v>0</v>
      </c>
      <c r="J14" s="2"/>
      <c r="K14" s="14" t="str">
        <f t="shared" ref="K14:K20" si="1">IF(I14&gt;0,"SÍ","NO")</f>
        <v>NO</v>
      </c>
      <c r="L14" s="2"/>
    </row>
    <row r="15" spans="1:14" x14ac:dyDescent="0.3">
      <c r="A15" s="2"/>
      <c r="B15" s="2"/>
      <c r="C15" s="19"/>
      <c r="D15" s="34"/>
      <c r="E15" s="2"/>
      <c r="F15" s="19"/>
      <c r="G15" s="19"/>
      <c r="H15" s="19"/>
      <c r="I15" s="19">
        <f t="shared" si="0"/>
        <v>0</v>
      </c>
      <c r="J15" s="2"/>
      <c r="K15" s="14" t="str">
        <f t="shared" si="1"/>
        <v>NO</v>
      </c>
      <c r="L15" s="2"/>
    </row>
    <row r="16" spans="1:14" x14ac:dyDescent="0.3">
      <c r="A16" s="2"/>
      <c r="B16" s="2"/>
      <c r="C16" s="19"/>
      <c r="D16" s="34"/>
      <c r="E16" s="2"/>
      <c r="F16" s="19"/>
      <c r="G16" s="19"/>
      <c r="H16" s="19"/>
      <c r="I16" s="19">
        <f t="shared" si="0"/>
        <v>0</v>
      </c>
      <c r="J16" s="2"/>
      <c r="K16" s="14" t="str">
        <f t="shared" si="1"/>
        <v>NO</v>
      </c>
      <c r="L16" s="2"/>
    </row>
    <row r="17" spans="1:12" x14ac:dyDescent="0.3">
      <c r="A17" s="2"/>
      <c r="B17" s="2"/>
      <c r="C17" s="19"/>
      <c r="D17" s="34"/>
      <c r="E17" s="2"/>
      <c r="F17" s="19"/>
      <c r="G17" s="19"/>
      <c r="H17" s="19"/>
      <c r="I17" s="19">
        <f t="shared" si="0"/>
        <v>0</v>
      </c>
      <c r="J17" s="2"/>
      <c r="K17" s="14" t="str">
        <f t="shared" si="1"/>
        <v>NO</v>
      </c>
      <c r="L17" s="2"/>
    </row>
    <row r="18" spans="1:12" x14ac:dyDescent="0.3">
      <c r="A18" s="2"/>
      <c r="B18" s="2"/>
      <c r="C18" s="19"/>
      <c r="D18" s="34"/>
      <c r="E18" s="2"/>
      <c r="F18" s="19"/>
      <c r="G18" s="19"/>
      <c r="H18" s="19"/>
      <c r="I18" s="19">
        <f t="shared" si="0"/>
        <v>0</v>
      </c>
      <c r="J18" s="2"/>
      <c r="K18" s="14" t="str">
        <f t="shared" si="1"/>
        <v>NO</v>
      </c>
      <c r="L18" s="2"/>
    </row>
    <row r="19" spans="1:12" x14ac:dyDescent="0.3">
      <c r="A19" s="2"/>
      <c r="B19" s="2"/>
      <c r="C19" s="19"/>
      <c r="D19" s="34"/>
      <c r="E19" s="2"/>
      <c r="F19" s="19"/>
      <c r="G19" s="19"/>
      <c r="H19" s="19"/>
      <c r="I19" s="19">
        <f t="shared" si="0"/>
        <v>0</v>
      </c>
      <c r="J19" s="2"/>
      <c r="K19" s="14" t="str">
        <f t="shared" si="1"/>
        <v>NO</v>
      </c>
      <c r="L19" s="2"/>
    </row>
    <row r="20" spans="1:12" x14ac:dyDescent="0.3">
      <c r="A20" s="2"/>
      <c r="B20" s="2"/>
      <c r="C20" s="19"/>
      <c r="D20" s="34"/>
      <c r="E20" s="2"/>
      <c r="F20" s="19"/>
      <c r="G20" s="19"/>
      <c r="H20" s="19"/>
      <c r="I20" s="19">
        <f t="shared" si="0"/>
        <v>0</v>
      </c>
      <c r="J20" s="2"/>
      <c r="K20" s="14" t="str">
        <f t="shared" si="1"/>
        <v>NO</v>
      </c>
      <c r="L20" s="2"/>
    </row>
    <row r="22" spans="1:12" x14ac:dyDescent="0.3">
      <c r="F22" s="33" t="s">
        <v>126</v>
      </c>
      <c r="G22" s="33">
        <f>SUM(G14:G21)</f>
        <v>0</v>
      </c>
      <c r="H22" s="33">
        <f>SUM(H14:H21)</f>
        <v>0</v>
      </c>
      <c r="I22" s="33">
        <f>G22+H22</f>
        <v>0</v>
      </c>
    </row>
    <row r="35" spans="1:11" x14ac:dyDescent="0.3">
      <c r="A35" s="30" t="s">
        <v>88</v>
      </c>
      <c r="B35" s="5"/>
      <c r="C35" s="5"/>
      <c r="H35" s="15" t="s">
        <v>89</v>
      </c>
      <c r="I35" s="5"/>
      <c r="J35" s="5"/>
      <c r="K35" s="5"/>
    </row>
    <row r="36" spans="1:11" x14ac:dyDescent="0.3">
      <c r="A36" s="16" t="s">
        <v>90</v>
      </c>
      <c r="H36" s="16" t="s">
        <v>90</v>
      </c>
    </row>
    <row r="42" spans="1:11" x14ac:dyDescent="0.3">
      <c r="A42" s="22" t="str">
        <f>HYPERLINK("#'INDICE'!A63","&lt;&lt; Volver al Indice")</f>
        <v>&lt;&lt; Volver al Indice</v>
      </c>
    </row>
  </sheetData>
  <mergeCells count="1">
    <mergeCell ref="A10:L10"/>
  </mergeCells>
  <hyperlinks>
    <hyperlink ref="A1" location="ÍNDICE!A1" display="&lt;&lt; Volver al Índice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2"/>
  <sheetViews>
    <sheetView workbookViewId="0">
      <selection activeCell="E5" sqref="E5:E8"/>
    </sheetView>
  </sheetViews>
  <sheetFormatPr baseColWidth="10" defaultColWidth="9.109375" defaultRowHeight="15.05" x14ac:dyDescent="0.3"/>
  <cols>
    <col min="1" max="10" width="15.6640625" customWidth="1"/>
    <col min="13" max="13" width="17.109375" customWidth="1"/>
    <col min="14" max="14" width="11.44140625" customWidth="1"/>
  </cols>
  <sheetData>
    <row r="1" spans="1:14" x14ac:dyDescent="0.3">
      <c r="A1" s="12" t="s">
        <v>83</v>
      </c>
    </row>
    <row r="3" spans="1:14" ht="24.75" customHeight="1" x14ac:dyDescent="0.3">
      <c r="N3" s="29" t="s">
        <v>17</v>
      </c>
    </row>
    <row r="5" spans="1:14" x14ac:dyDescent="0.3">
      <c r="E5" s="13" t="s">
        <v>397</v>
      </c>
      <c r="M5" s="2" t="s">
        <v>84</v>
      </c>
      <c r="N5" s="2"/>
    </row>
    <row r="6" spans="1:14" x14ac:dyDescent="0.3">
      <c r="E6" s="13" t="s">
        <v>398</v>
      </c>
      <c r="M6" s="2" t="s">
        <v>41</v>
      </c>
      <c r="N6" s="2"/>
    </row>
    <row r="7" spans="1:14" x14ac:dyDescent="0.3">
      <c r="E7" s="13" t="s">
        <v>399</v>
      </c>
      <c r="M7" s="2" t="s">
        <v>85</v>
      </c>
      <c r="N7" s="2"/>
    </row>
    <row r="8" spans="1:14" x14ac:dyDescent="0.3">
      <c r="E8" s="13" t="s">
        <v>400</v>
      </c>
      <c r="M8" s="2" t="s">
        <v>86</v>
      </c>
      <c r="N8" s="2"/>
    </row>
    <row r="10" spans="1:14" ht="17.05" x14ac:dyDescent="0.3">
      <c r="A10" s="72" t="s">
        <v>149</v>
      </c>
      <c r="B10" s="72"/>
      <c r="C10" s="72"/>
      <c r="D10" s="72"/>
      <c r="E10" s="72"/>
      <c r="F10" s="72"/>
      <c r="G10" s="72"/>
      <c r="H10" s="72"/>
      <c r="I10" s="72"/>
      <c r="J10" s="72"/>
    </row>
    <row r="13" spans="1:14" x14ac:dyDescent="0.3">
      <c r="A13" s="18" t="s">
        <v>150</v>
      </c>
      <c r="B13" s="18" t="s">
        <v>118</v>
      </c>
      <c r="C13" s="18" t="s">
        <v>151</v>
      </c>
      <c r="D13" s="18" t="s">
        <v>152</v>
      </c>
      <c r="E13" s="18" t="s">
        <v>113</v>
      </c>
      <c r="F13" s="18" t="s">
        <v>153</v>
      </c>
      <c r="G13" s="18" t="s">
        <v>154</v>
      </c>
      <c r="H13" s="18" t="s">
        <v>155</v>
      </c>
      <c r="I13" s="18" t="s">
        <v>156</v>
      </c>
      <c r="J13" s="18" t="s">
        <v>96</v>
      </c>
    </row>
    <row r="14" spans="1:14" x14ac:dyDescent="0.3">
      <c r="A14" s="2"/>
      <c r="B14" s="2"/>
      <c r="C14" s="32">
        <v>0.05</v>
      </c>
      <c r="D14" s="32">
        <v>7.0000000000000007E-2</v>
      </c>
      <c r="E14" s="34">
        <f t="shared" ref="E14:E28" si="0">D14-C14</f>
        <v>2.0000000000000004E-2</v>
      </c>
      <c r="F14" s="19">
        <v>100</v>
      </c>
      <c r="G14" s="20">
        <v>50</v>
      </c>
      <c r="H14" s="20">
        <f t="shared" ref="H14:H28" si="1">G14-F14</f>
        <v>-50</v>
      </c>
      <c r="I14" s="35" t="str">
        <f t="shared" ref="I14:I28" si="2">IF(ABS(H14)&lt;1000,"SÍ","REVISAR")</f>
        <v>SÍ</v>
      </c>
      <c r="J14" s="2"/>
    </row>
    <row r="15" spans="1:14" x14ac:dyDescent="0.3">
      <c r="A15" s="2"/>
      <c r="B15" s="2"/>
      <c r="C15" s="32"/>
      <c r="D15" s="32"/>
      <c r="E15" s="34">
        <f t="shared" si="0"/>
        <v>0</v>
      </c>
      <c r="F15" s="19"/>
      <c r="G15" s="20"/>
      <c r="H15" s="20">
        <f t="shared" si="1"/>
        <v>0</v>
      </c>
      <c r="I15" s="35" t="str">
        <f t="shared" si="2"/>
        <v>SÍ</v>
      </c>
      <c r="J15" s="2"/>
    </row>
    <row r="16" spans="1:14" x14ac:dyDescent="0.3">
      <c r="A16" s="2"/>
      <c r="B16" s="2"/>
      <c r="C16" s="32"/>
      <c r="D16" s="32"/>
      <c r="E16" s="34">
        <f t="shared" si="0"/>
        <v>0</v>
      </c>
      <c r="F16" s="19"/>
      <c r="G16" s="20"/>
      <c r="H16" s="20">
        <f t="shared" si="1"/>
        <v>0</v>
      </c>
      <c r="I16" s="35" t="str">
        <f t="shared" si="2"/>
        <v>SÍ</v>
      </c>
      <c r="J16" s="2"/>
    </row>
    <row r="17" spans="1:10" x14ac:dyDescent="0.3">
      <c r="A17" s="2"/>
      <c r="B17" s="2"/>
      <c r="C17" s="32"/>
      <c r="D17" s="32"/>
      <c r="E17" s="34">
        <f t="shared" si="0"/>
        <v>0</v>
      </c>
      <c r="F17" s="19"/>
      <c r="G17" s="20"/>
      <c r="H17" s="20">
        <f t="shared" si="1"/>
        <v>0</v>
      </c>
      <c r="I17" s="35" t="str">
        <f t="shared" si="2"/>
        <v>SÍ</v>
      </c>
      <c r="J17" s="2"/>
    </row>
    <row r="18" spans="1:10" x14ac:dyDescent="0.3">
      <c r="A18" s="2"/>
      <c r="B18" s="2"/>
      <c r="C18" s="32"/>
      <c r="D18" s="32"/>
      <c r="E18" s="34">
        <f t="shared" si="0"/>
        <v>0</v>
      </c>
      <c r="F18" s="19"/>
      <c r="G18" s="20"/>
      <c r="H18" s="20">
        <f t="shared" si="1"/>
        <v>0</v>
      </c>
      <c r="I18" s="35" t="str">
        <f t="shared" si="2"/>
        <v>SÍ</v>
      </c>
      <c r="J18" s="2"/>
    </row>
    <row r="19" spans="1:10" x14ac:dyDescent="0.3">
      <c r="A19" s="2"/>
      <c r="B19" s="2"/>
      <c r="C19" s="32"/>
      <c r="D19" s="32"/>
      <c r="E19" s="34">
        <f t="shared" si="0"/>
        <v>0</v>
      </c>
      <c r="F19" s="19"/>
      <c r="G19" s="20"/>
      <c r="H19" s="20">
        <f t="shared" si="1"/>
        <v>0</v>
      </c>
      <c r="I19" s="35" t="str">
        <f t="shared" si="2"/>
        <v>SÍ</v>
      </c>
      <c r="J19" s="2"/>
    </row>
    <row r="20" spans="1:10" x14ac:dyDescent="0.3">
      <c r="A20" s="2"/>
      <c r="B20" s="2"/>
      <c r="C20" s="32"/>
      <c r="D20" s="32"/>
      <c r="E20" s="34">
        <f t="shared" si="0"/>
        <v>0</v>
      </c>
      <c r="F20" s="19"/>
      <c r="G20" s="20"/>
      <c r="H20" s="20">
        <f t="shared" si="1"/>
        <v>0</v>
      </c>
      <c r="I20" s="35" t="str">
        <f t="shared" si="2"/>
        <v>SÍ</v>
      </c>
      <c r="J20" s="2"/>
    </row>
    <row r="21" spans="1:10" x14ac:dyDescent="0.3">
      <c r="A21" s="2"/>
      <c r="B21" s="2"/>
      <c r="C21" s="32"/>
      <c r="D21" s="32"/>
      <c r="E21" s="34">
        <f t="shared" si="0"/>
        <v>0</v>
      </c>
      <c r="F21" s="19"/>
      <c r="G21" s="20"/>
      <c r="H21" s="20">
        <f t="shared" si="1"/>
        <v>0</v>
      </c>
      <c r="I21" s="35" t="str">
        <f t="shared" si="2"/>
        <v>SÍ</v>
      </c>
      <c r="J21" s="2"/>
    </row>
    <row r="22" spans="1:10" x14ac:dyDescent="0.3">
      <c r="A22" s="2"/>
      <c r="B22" s="2"/>
      <c r="C22" s="32"/>
      <c r="D22" s="32"/>
      <c r="E22" s="34">
        <f t="shared" si="0"/>
        <v>0</v>
      </c>
      <c r="F22" s="19"/>
      <c r="G22" s="20"/>
      <c r="H22" s="20">
        <f t="shared" si="1"/>
        <v>0</v>
      </c>
      <c r="I22" s="35" t="str">
        <f t="shared" si="2"/>
        <v>SÍ</v>
      </c>
      <c r="J22" s="2"/>
    </row>
    <row r="23" spans="1:10" x14ac:dyDescent="0.3">
      <c r="A23" s="2"/>
      <c r="B23" s="2"/>
      <c r="C23" s="32"/>
      <c r="D23" s="32"/>
      <c r="E23" s="34">
        <f t="shared" si="0"/>
        <v>0</v>
      </c>
      <c r="F23" s="19"/>
      <c r="G23" s="20"/>
      <c r="H23" s="20">
        <f t="shared" si="1"/>
        <v>0</v>
      </c>
      <c r="I23" s="35" t="str">
        <f t="shared" si="2"/>
        <v>SÍ</v>
      </c>
      <c r="J23" s="2"/>
    </row>
    <row r="24" spans="1:10" x14ac:dyDescent="0.3">
      <c r="A24" s="2"/>
      <c r="B24" s="2"/>
      <c r="C24" s="32"/>
      <c r="D24" s="32"/>
      <c r="E24" s="34">
        <f t="shared" si="0"/>
        <v>0</v>
      </c>
      <c r="F24" s="19"/>
      <c r="G24" s="20"/>
      <c r="H24" s="20">
        <f t="shared" si="1"/>
        <v>0</v>
      </c>
      <c r="I24" s="35" t="str">
        <f t="shared" si="2"/>
        <v>SÍ</v>
      </c>
      <c r="J24" s="2"/>
    </row>
    <row r="25" spans="1:10" x14ac:dyDescent="0.3">
      <c r="A25" s="2"/>
      <c r="B25" s="2"/>
      <c r="C25" s="32"/>
      <c r="D25" s="32"/>
      <c r="E25" s="34">
        <f t="shared" si="0"/>
        <v>0</v>
      </c>
      <c r="F25" s="19"/>
      <c r="G25" s="20"/>
      <c r="H25" s="20">
        <f t="shared" si="1"/>
        <v>0</v>
      </c>
      <c r="I25" s="35" t="str">
        <f t="shared" si="2"/>
        <v>SÍ</v>
      </c>
      <c r="J25" s="2"/>
    </row>
    <row r="26" spans="1:10" x14ac:dyDescent="0.3">
      <c r="A26" s="2"/>
      <c r="B26" s="2"/>
      <c r="C26" s="32"/>
      <c r="D26" s="32"/>
      <c r="E26" s="34">
        <f t="shared" si="0"/>
        <v>0</v>
      </c>
      <c r="F26" s="19"/>
      <c r="G26" s="20"/>
      <c r="H26" s="20">
        <f t="shared" si="1"/>
        <v>0</v>
      </c>
      <c r="I26" s="35" t="str">
        <f t="shared" si="2"/>
        <v>SÍ</v>
      </c>
      <c r="J26" s="2"/>
    </row>
    <row r="27" spans="1:10" x14ac:dyDescent="0.3">
      <c r="A27" s="2"/>
      <c r="B27" s="2"/>
      <c r="C27" s="32"/>
      <c r="D27" s="32"/>
      <c r="E27" s="34">
        <f t="shared" si="0"/>
        <v>0</v>
      </c>
      <c r="F27" s="19"/>
      <c r="G27" s="20"/>
      <c r="H27" s="20">
        <f t="shared" si="1"/>
        <v>0</v>
      </c>
      <c r="I27" s="35" t="str">
        <f t="shared" si="2"/>
        <v>SÍ</v>
      </c>
      <c r="J27" s="2"/>
    </row>
    <row r="28" spans="1:10" x14ac:dyDescent="0.3">
      <c r="A28" s="2"/>
      <c r="B28" s="2"/>
      <c r="C28" s="32"/>
      <c r="D28" s="32"/>
      <c r="E28" s="34">
        <f t="shared" si="0"/>
        <v>0</v>
      </c>
      <c r="F28" s="19"/>
      <c r="G28" s="20"/>
      <c r="H28" s="20">
        <f t="shared" si="1"/>
        <v>0</v>
      </c>
      <c r="I28" s="35" t="str">
        <f t="shared" si="2"/>
        <v>SÍ</v>
      </c>
      <c r="J28" s="2"/>
    </row>
    <row r="37" spans="1:11" x14ac:dyDescent="0.3">
      <c r="A37" s="30" t="s">
        <v>88</v>
      </c>
      <c r="B37" s="5"/>
      <c r="C37" s="5"/>
      <c r="H37" s="15" t="s">
        <v>89</v>
      </c>
      <c r="I37" s="5"/>
      <c r="J37" s="5"/>
      <c r="K37" s="5"/>
    </row>
    <row r="38" spans="1:11" x14ac:dyDescent="0.3">
      <c r="A38" s="16" t="s">
        <v>90</v>
      </c>
      <c r="H38" s="16" t="s">
        <v>90</v>
      </c>
    </row>
    <row r="52" spans="1:1" x14ac:dyDescent="0.3">
      <c r="A52" s="22" t="str">
        <f>HYPERLINK("#'INDICE'!A64","&lt;&lt; Volver al Indice")</f>
        <v>&lt;&lt; Volver al Indice</v>
      </c>
    </row>
  </sheetData>
  <mergeCells count="1">
    <mergeCell ref="A10:J10"/>
  </mergeCells>
  <hyperlinks>
    <hyperlink ref="A1" location="ÍNDICE!A1" display="&lt;&lt; Volver al Índice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2"/>
  <sheetViews>
    <sheetView workbookViewId="0">
      <selection activeCell="E5" sqref="E5:E8"/>
    </sheetView>
  </sheetViews>
  <sheetFormatPr baseColWidth="10" defaultColWidth="9.109375" defaultRowHeight="15.05" x14ac:dyDescent="0.3"/>
  <cols>
    <col min="1" max="11" width="15.6640625" customWidth="1"/>
    <col min="13" max="13" width="17.33203125" customWidth="1"/>
    <col min="14" max="14" width="10.88671875" customWidth="1"/>
  </cols>
  <sheetData>
    <row r="1" spans="1:14" x14ac:dyDescent="0.3">
      <c r="A1" s="12" t="s">
        <v>83</v>
      </c>
    </row>
    <row r="3" spans="1:14" ht="19.649999999999999" x14ac:dyDescent="0.35">
      <c r="N3" s="17" t="s">
        <v>21</v>
      </c>
    </row>
    <row r="5" spans="1:14" x14ac:dyDescent="0.3">
      <c r="E5" s="13" t="s">
        <v>397</v>
      </c>
      <c r="M5" s="2" t="s">
        <v>84</v>
      </c>
      <c r="N5" s="2"/>
    </row>
    <row r="6" spans="1:14" x14ac:dyDescent="0.3">
      <c r="E6" s="13" t="s">
        <v>398</v>
      </c>
      <c r="M6" s="2" t="s">
        <v>41</v>
      </c>
      <c r="N6" s="2"/>
    </row>
    <row r="7" spans="1:14" x14ac:dyDescent="0.3">
      <c r="E7" s="13" t="s">
        <v>399</v>
      </c>
      <c r="M7" s="2" t="s">
        <v>85</v>
      </c>
      <c r="N7" s="2"/>
    </row>
    <row r="8" spans="1:14" x14ac:dyDescent="0.3">
      <c r="E8" s="13" t="s">
        <v>400</v>
      </c>
      <c r="M8" s="2" t="s">
        <v>86</v>
      </c>
      <c r="N8" s="2"/>
    </row>
    <row r="10" spans="1:14" ht="18.850000000000001" customHeight="1" x14ac:dyDescent="0.3">
      <c r="A10" s="72" t="s">
        <v>157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</row>
    <row r="11" spans="1:14" x14ac:dyDescent="0.3">
      <c r="A11" s="31" t="s">
        <v>158</v>
      </c>
    </row>
    <row r="13" spans="1:14" ht="29.45" x14ac:dyDescent="0.3">
      <c r="A13" s="18" t="s">
        <v>159</v>
      </c>
      <c r="B13" s="18" t="s">
        <v>160</v>
      </c>
      <c r="C13" s="18" t="s">
        <v>161</v>
      </c>
      <c r="D13" s="18" t="s">
        <v>162</v>
      </c>
      <c r="E13" s="18" t="s">
        <v>163</v>
      </c>
      <c r="F13" s="18" t="s">
        <v>164</v>
      </c>
      <c r="G13" s="18" t="s">
        <v>113</v>
      </c>
      <c r="H13" s="18" t="s">
        <v>165</v>
      </c>
      <c r="I13" s="18" t="s">
        <v>166</v>
      </c>
      <c r="J13" s="18" t="s">
        <v>167</v>
      </c>
      <c r="K13" s="18" t="s">
        <v>96</v>
      </c>
    </row>
    <row r="14" spans="1:14" x14ac:dyDescent="0.3">
      <c r="A14" s="2"/>
      <c r="B14" s="19">
        <v>95</v>
      </c>
      <c r="C14" s="2"/>
      <c r="D14" s="2"/>
      <c r="E14" s="2"/>
      <c r="F14" s="19">
        <v>100</v>
      </c>
      <c r="G14" s="20">
        <f t="shared" ref="G14:G33" si="0">F14-B14</f>
        <v>5</v>
      </c>
      <c r="H14" s="36">
        <f t="shared" ref="H14:H33" si="1">IF(B14=0,0,G14/B14)</f>
        <v>5.2631578947368418E-2</v>
      </c>
      <c r="I14" s="20"/>
      <c r="J14" s="35" t="str">
        <f t="shared" ref="J14:J33" si="2">IF(E14="SÍ",IF(ABS(H14)&lt;0.05,"OK","REVISAR"),"PENDIENTE")</f>
        <v>PENDIENTE</v>
      </c>
      <c r="K14" s="2"/>
    </row>
    <row r="15" spans="1:14" x14ac:dyDescent="0.3">
      <c r="A15" s="2"/>
      <c r="B15" s="19"/>
      <c r="C15" s="2"/>
      <c r="D15" s="2"/>
      <c r="E15" s="2"/>
      <c r="F15" s="19"/>
      <c r="G15" s="20">
        <f t="shared" si="0"/>
        <v>0</v>
      </c>
      <c r="H15" s="36">
        <f t="shared" si="1"/>
        <v>0</v>
      </c>
      <c r="I15" s="20"/>
      <c r="J15" s="35" t="str">
        <f t="shared" si="2"/>
        <v>PENDIENTE</v>
      </c>
      <c r="K15" s="2"/>
    </row>
    <row r="16" spans="1:14" x14ac:dyDescent="0.3">
      <c r="A16" s="2"/>
      <c r="B16" s="19"/>
      <c r="C16" s="2"/>
      <c r="D16" s="2"/>
      <c r="E16" s="2"/>
      <c r="F16" s="19"/>
      <c r="G16" s="20">
        <f t="shared" si="0"/>
        <v>0</v>
      </c>
      <c r="H16" s="36">
        <f t="shared" si="1"/>
        <v>0</v>
      </c>
      <c r="I16" s="20"/>
      <c r="J16" s="35" t="str">
        <f t="shared" si="2"/>
        <v>PENDIENTE</v>
      </c>
      <c r="K16" s="2"/>
    </row>
    <row r="17" spans="1:11" x14ac:dyDescent="0.3">
      <c r="A17" s="2"/>
      <c r="B17" s="19"/>
      <c r="C17" s="2"/>
      <c r="D17" s="2"/>
      <c r="E17" s="2"/>
      <c r="F17" s="19"/>
      <c r="G17" s="20">
        <f t="shared" si="0"/>
        <v>0</v>
      </c>
      <c r="H17" s="36">
        <f t="shared" si="1"/>
        <v>0</v>
      </c>
      <c r="I17" s="20"/>
      <c r="J17" s="35" t="str">
        <f t="shared" si="2"/>
        <v>PENDIENTE</v>
      </c>
      <c r="K17" s="2"/>
    </row>
    <row r="18" spans="1:11" x14ac:dyDescent="0.3">
      <c r="A18" s="2"/>
      <c r="B18" s="19"/>
      <c r="C18" s="2"/>
      <c r="D18" s="2"/>
      <c r="E18" s="2"/>
      <c r="F18" s="19"/>
      <c r="G18" s="20">
        <f t="shared" si="0"/>
        <v>0</v>
      </c>
      <c r="H18" s="36">
        <f t="shared" si="1"/>
        <v>0</v>
      </c>
      <c r="I18" s="20"/>
      <c r="J18" s="35" t="str">
        <f t="shared" si="2"/>
        <v>PENDIENTE</v>
      </c>
      <c r="K18" s="2"/>
    </row>
    <row r="19" spans="1:11" x14ac:dyDescent="0.3">
      <c r="A19" s="2"/>
      <c r="B19" s="19"/>
      <c r="C19" s="2"/>
      <c r="D19" s="2"/>
      <c r="E19" s="2"/>
      <c r="F19" s="19"/>
      <c r="G19" s="20">
        <f t="shared" si="0"/>
        <v>0</v>
      </c>
      <c r="H19" s="36">
        <f t="shared" si="1"/>
        <v>0</v>
      </c>
      <c r="I19" s="20"/>
      <c r="J19" s="35" t="str">
        <f t="shared" si="2"/>
        <v>PENDIENTE</v>
      </c>
      <c r="K19" s="2"/>
    </row>
    <row r="20" spans="1:11" x14ac:dyDescent="0.3">
      <c r="A20" s="2"/>
      <c r="B20" s="19"/>
      <c r="C20" s="2"/>
      <c r="D20" s="2"/>
      <c r="E20" s="2"/>
      <c r="F20" s="19"/>
      <c r="G20" s="20">
        <f t="shared" si="0"/>
        <v>0</v>
      </c>
      <c r="H20" s="36">
        <f t="shared" si="1"/>
        <v>0</v>
      </c>
      <c r="I20" s="20"/>
      <c r="J20" s="35" t="str">
        <f t="shared" si="2"/>
        <v>PENDIENTE</v>
      </c>
      <c r="K20" s="2"/>
    </row>
    <row r="21" spans="1:11" x14ac:dyDescent="0.3">
      <c r="A21" s="2"/>
      <c r="B21" s="19"/>
      <c r="C21" s="2"/>
      <c r="D21" s="2"/>
      <c r="E21" s="2"/>
      <c r="F21" s="19"/>
      <c r="G21" s="20">
        <f t="shared" si="0"/>
        <v>0</v>
      </c>
      <c r="H21" s="36">
        <f t="shared" si="1"/>
        <v>0</v>
      </c>
      <c r="I21" s="20"/>
      <c r="J21" s="35" t="str">
        <f t="shared" si="2"/>
        <v>PENDIENTE</v>
      </c>
      <c r="K21" s="2"/>
    </row>
    <row r="22" spans="1:11" x14ac:dyDescent="0.3">
      <c r="A22" s="2"/>
      <c r="B22" s="19"/>
      <c r="C22" s="2"/>
      <c r="D22" s="2"/>
      <c r="E22" s="2"/>
      <c r="F22" s="19"/>
      <c r="G22" s="20">
        <f t="shared" si="0"/>
        <v>0</v>
      </c>
      <c r="H22" s="36">
        <f t="shared" si="1"/>
        <v>0</v>
      </c>
      <c r="I22" s="20"/>
      <c r="J22" s="35" t="str">
        <f t="shared" si="2"/>
        <v>PENDIENTE</v>
      </c>
      <c r="K22" s="2"/>
    </row>
    <row r="23" spans="1:11" x14ac:dyDescent="0.3">
      <c r="A23" s="2"/>
      <c r="B23" s="19"/>
      <c r="C23" s="2"/>
      <c r="D23" s="2"/>
      <c r="E23" s="2"/>
      <c r="F23" s="19"/>
      <c r="G23" s="20">
        <f t="shared" si="0"/>
        <v>0</v>
      </c>
      <c r="H23" s="36">
        <f t="shared" si="1"/>
        <v>0</v>
      </c>
      <c r="I23" s="20"/>
      <c r="J23" s="35" t="str">
        <f t="shared" si="2"/>
        <v>PENDIENTE</v>
      </c>
      <c r="K23" s="2"/>
    </row>
    <row r="24" spans="1:11" x14ac:dyDescent="0.3">
      <c r="A24" s="2"/>
      <c r="B24" s="19"/>
      <c r="C24" s="2"/>
      <c r="D24" s="2"/>
      <c r="E24" s="2"/>
      <c r="F24" s="19"/>
      <c r="G24" s="20">
        <f t="shared" si="0"/>
        <v>0</v>
      </c>
      <c r="H24" s="36">
        <f t="shared" si="1"/>
        <v>0</v>
      </c>
      <c r="I24" s="20"/>
      <c r="J24" s="35" t="str">
        <f t="shared" si="2"/>
        <v>PENDIENTE</v>
      </c>
      <c r="K24" s="2"/>
    </row>
    <row r="25" spans="1:11" x14ac:dyDescent="0.3">
      <c r="A25" s="2"/>
      <c r="B25" s="19"/>
      <c r="C25" s="2"/>
      <c r="D25" s="2"/>
      <c r="E25" s="2"/>
      <c r="F25" s="19"/>
      <c r="G25" s="20">
        <f t="shared" si="0"/>
        <v>0</v>
      </c>
      <c r="H25" s="36">
        <f t="shared" si="1"/>
        <v>0</v>
      </c>
      <c r="I25" s="20"/>
      <c r="J25" s="35" t="str">
        <f t="shared" si="2"/>
        <v>PENDIENTE</v>
      </c>
      <c r="K25" s="2"/>
    </row>
    <row r="26" spans="1:11" x14ac:dyDescent="0.3">
      <c r="A26" s="2"/>
      <c r="B26" s="19"/>
      <c r="C26" s="2"/>
      <c r="D26" s="2"/>
      <c r="E26" s="2"/>
      <c r="F26" s="19"/>
      <c r="G26" s="20">
        <f t="shared" si="0"/>
        <v>0</v>
      </c>
      <c r="H26" s="36">
        <f t="shared" si="1"/>
        <v>0</v>
      </c>
      <c r="I26" s="20"/>
      <c r="J26" s="35" t="str">
        <f t="shared" si="2"/>
        <v>PENDIENTE</v>
      </c>
      <c r="K26" s="2"/>
    </row>
    <row r="27" spans="1:11" x14ac:dyDescent="0.3">
      <c r="A27" s="2"/>
      <c r="B27" s="19"/>
      <c r="C27" s="2"/>
      <c r="D27" s="2"/>
      <c r="E27" s="2"/>
      <c r="F27" s="19"/>
      <c r="G27" s="20">
        <f t="shared" si="0"/>
        <v>0</v>
      </c>
      <c r="H27" s="36">
        <f t="shared" si="1"/>
        <v>0</v>
      </c>
      <c r="I27" s="20"/>
      <c r="J27" s="35" t="str">
        <f t="shared" si="2"/>
        <v>PENDIENTE</v>
      </c>
      <c r="K27" s="2"/>
    </row>
    <row r="28" spans="1:11" x14ac:dyDescent="0.3">
      <c r="A28" s="2"/>
      <c r="B28" s="19"/>
      <c r="C28" s="2"/>
      <c r="D28" s="2"/>
      <c r="E28" s="2"/>
      <c r="F28" s="19"/>
      <c r="G28" s="20">
        <f t="shared" si="0"/>
        <v>0</v>
      </c>
      <c r="H28" s="36">
        <f t="shared" si="1"/>
        <v>0</v>
      </c>
      <c r="I28" s="20"/>
      <c r="J28" s="35" t="str">
        <f t="shared" si="2"/>
        <v>PENDIENTE</v>
      </c>
      <c r="K28" s="2"/>
    </row>
    <row r="29" spans="1:11" x14ac:dyDescent="0.3">
      <c r="A29" s="2"/>
      <c r="B29" s="19"/>
      <c r="C29" s="2"/>
      <c r="D29" s="2"/>
      <c r="E29" s="2"/>
      <c r="F29" s="19"/>
      <c r="G29" s="20">
        <f t="shared" si="0"/>
        <v>0</v>
      </c>
      <c r="H29" s="36">
        <f t="shared" si="1"/>
        <v>0</v>
      </c>
      <c r="I29" s="20"/>
      <c r="J29" s="35" t="str">
        <f t="shared" si="2"/>
        <v>PENDIENTE</v>
      </c>
      <c r="K29" s="2"/>
    </row>
    <row r="30" spans="1:11" x14ac:dyDescent="0.3">
      <c r="A30" s="2"/>
      <c r="B30" s="19"/>
      <c r="C30" s="2"/>
      <c r="D30" s="2"/>
      <c r="E30" s="2"/>
      <c r="F30" s="19"/>
      <c r="G30" s="20">
        <f t="shared" si="0"/>
        <v>0</v>
      </c>
      <c r="H30" s="36">
        <f t="shared" si="1"/>
        <v>0</v>
      </c>
      <c r="I30" s="20"/>
      <c r="J30" s="35" t="str">
        <f t="shared" si="2"/>
        <v>PENDIENTE</v>
      </c>
      <c r="K30" s="2"/>
    </row>
    <row r="31" spans="1:11" x14ac:dyDescent="0.3">
      <c r="A31" s="2"/>
      <c r="B31" s="19"/>
      <c r="C31" s="2"/>
      <c r="D31" s="2"/>
      <c r="E31" s="2"/>
      <c r="F31" s="19"/>
      <c r="G31" s="20">
        <f t="shared" si="0"/>
        <v>0</v>
      </c>
      <c r="H31" s="36">
        <f t="shared" si="1"/>
        <v>0</v>
      </c>
      <c r="I31" s="20"/>
      <c r="J31" s="35" t="str">
        <f t="shared" si="2"/>
        <v>PENDIENTE</v>
      </c>
      <c r="K31" s="2"/>
    </row>
    <row r="32" spans="1:11" x14ac:dyDescent="0.3">
      <c r="A32" s="2"/>
      <c r="B32" s="19"/>
      <c r="C32" s="2"/>
      <c r="D32" s="2"/>
      <c r="E32" s="2"/>
      <c r="F32" s="19"/>
      <c r="G32" s="20">
        <f t="shared" si="0"/>
        <v>0</v>
      </c>
      <c r="H32" s="36">
        <f t="shared" si="1"/>
        <v>0</v>
      </c>
      <c r="I32" s="20"/>
      <c r="J32" s="35" t="str">
        <f t="shared" si="2"/>
        <v>PENDIENTE</v>
      </c>
      <c r="K32" s="2"/>
    </row>
    <row r="33" spans="1:11" x14ac:dyDescent="0.3">
      <c r="A33" s="2"/>
      <c r="B33" s="19"/>
      <c r="C33" s="2"/>
      <c r="D33" s="2"/>
      <c r="E33" s="2"/>
      <c r="F33" s="19"/>
      <c r="G33" s="20">
        <f t="shared" si="0"/>
        <v>0</v>
      </c>
      <c r="H33" s="36">
        <f t="shared" si="1"/>
        <v>0</v>
      </c>
      <c r="I33" s="20"/>
      <c r="J33" s="35" t="str">
        <f t="shared" si="2"/>
        <v>PENDIENTE</v>
      </c>
      <c r="K33" s="2"/>
    </row>
    <row r="36" spans="1:11" x14ac:dyDescent="0.3">
      <c r="A36" s="37" t="s">
        <v>168</v>
      </c>
    </row>
    <row r="37" spans="1:11" x14ac:dyDescent="0.3">
      <c r="A37" t="s">
        <v>169</v>
      </c>
      <c r="B37" s="33">
        <f>SUM(B14:B34)</f>
        <v>95</v>
      </c>
    </row>
    <row r="38" spans="1:11" x14ac:dyDescent="0.3">
      <c r="A38" t="s">
        <v>170</v>
      </c>
      <c r="B38" s="38">
        <f>IF(B37=0,0,SUMIF(C14:C35,"SÍ",B14:B35)/B37)</f>
        <v>0</v>
      </c>
    </row>
    <row r="50" spans="1:11" x14ac:dyDescent="0.3">
      <c r="A50" s="30" t="s">
        <v>88</v>
      </c>
      <c r="B50" s="5"/>
      <c r="C50" s="5"/>
      <c r="H50" s="15" t="s">
        <v>89</v>
      </c>
      <c r="I50" s="5"/>
      <c r="J50" s="5"/>
      <c r="K50" s="5"/>
    </row>
    <row r="51" spans="1:11" x14ac:dyDescent="0.3">
      <c r="A51" s="16" t="s">
        <v>90</v>
      </c>
      <c r="H51" s="16" t="s">
        <v>90</v>
      </c>
    </row>
    <row r="62" spans="1:11" x14ac:dyDescent="0.3">
      <c r="A62" s="22" t="str">
        <f>HYPERLINK("#'INDICE'!A65","&lt;&lt; Volver al Indice")</f>
        <v>&lt;&lt; Volver al Indice</v>
      </c>
    </row>
  </sheetData>
  <mergeCells count="1">
    <mergeCell ref="A10:K10"/>
  </mergeCells>
  <hyperlinks>
    <hyperlink ref="A1" location="ÍNDICE!A1" display="&lt;&lt; Volver al Índice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>
      <selection activeCell="E5" sqref="E5:E8"/>
    </sheetView>
  </sheetViews>
  <sheetFormatPr baseColWidth="10" defaultColWidth="9.109375" defaultRowHeight="15.05" x14ac:dyDescent="0.3"/>
  <cols>
    <col min="1" max="7" width="15.6640625" customWidth="1"/>
    <col min="8" max="8" width="37.6640625" customWidth="1"/>
    <col min="10" max="10" width="16.88671875" customWidth="1"/>
    <col min="11" max="11" width="10.44140625" customWidth="1"/>
  </cols>
  <sheetData>
    <row r="1" spans="1:11" x14ac:dyDescent="0.3">
      <c r="A1" s="12" t="s">
        <v>83</v>
      </c>
    </row>
    <row r="3" spans="1:11" ht="19.649999999999999" x14ac:dyDescent="0.3">
      <c r="K3" s="29" t="s">
        <v>23</v>
      </c>
    </row>
    <row r="5" spans="1:11" x14ac:dyDescent="0.3">
      <c r="E5" s="13" t="s">
        <v>397</v>
      </c>
      <c r="J5" s="2" t="s">
        <v>84</v>
      </c>
      <c r="K5" s="2"/>
    </row>
    <row r="6" spans="1:11" x14ac:dyDescent="0.3">
      <c r="E6" s="13" t="s">
        <v>398</v>
      </c>
      <c r="J6" s="2" t="s">
        <v>41</v>
      </c>
      <c r="K6" s="2"/>
    </row>
    <row r="7" spans="1:11" x14ac:dyDescent="0.3">
      <c r="E7" s="13" t="s">
        <v>399</v>
      </c>
      <c r="J7" s="2" t="s">
        <v>85</v>
      </c>
      <c r="K7" s="2"/>
    </row>
    <row r="8" spans="1:11" x14ac:dyDescent="0.3">
      <c r="E8" s="13" t="s">
        <v>400</v>
      </c>
      <c r="J8" s="2" t="s">
        <v>86</v>
      </c>
      <c r="K8" s="2"/>
    </row>
    <row r="10" spans="1:11" ht="20.3" customHeight="1" x14ac:dyDescent="0.3">
      <c r="A10" s="72" t="s">
        <v>171</v>
      </c>
      <c r="B10" s="72"/>
      <c r="C10" s="72"/>
      <c r="D10" s="72"/>
      <c r="E10" s="72"/>
      <c r="F10" s="72"/>
      <c r="G10" s="72"/>
      <c r="H10" s="72"/>
    </row>
    <row r="12" spans="1:11" ht="23.25" customHeight="1" x14ac:dyDescent="0.3">
      <c r="A12" s="18" t="s">
        <v>159</v>
      </c>
      <c r="B12" s="18" t="s">
        <v>172</v>
      </c>
      <c r="C12" s="18" t="s">
        <v>173</v>
      </c>
      <c r="D12" s="18" t="s">
        <v>174</v>
      </c>
      <c r="E12" s="18" t="s">
        <v>175</v>
      </c>
      <c r="F12" s="18" t="s">
        <v>176</v>
      </c>
      <c r="G12" s="18" t="s">
        <v>95</v>
      </c>
      <c r="H12" s="18" t="s">
        <v>177</v>
      </c>
    </row>
    <row r="13" spans="1:11" x14ac:dyDescent="0.3">
      <c r="A13" s="2"/>
      <c r="B13" s="19">
        <v>1</v>
      </c>
      <c r="C13" s="19"/>
      <c r="D13" s="19"/>
      <c r="E13" s="19"/>
      <c r="F13" s="19"/>
      <c r="G13" s="19">
        <f t="shared" ref="G13:G32" si="0">SUM(B13:F13)</f>
        <v>1</v>
      </c>
      <c r="H13" s="2"/>
    </row>
    <row r="14" spans="1:11" x14ac:dyDescent="0.3">
      <c r="A14" s="2"/>
      <c r="B14" s="19"/>
      <c r="C14" s="19"/>
      <c r="D14" s="19"/>
      <c r="E14" s="19"/>
      <c r="F14" s="19"/>
      <c r="G14" s="19">
        <f t="shared" si="0"/>
        <v>0</v>
      </c>
      <c r="H14" s="2"/>
    </row>
    <row r="15" spans="1:11" x14ac:dyDescent="0.3">
      <c r="A15" s="2"/>
      <c r="B15" s="19"/>
      <c r="C15" s="19"/>
      <c r="D15" s="19"/>
      <c r="E15" s="19"/>
      <c r="F15" s="19"/>
      <c r="G15" s="19">
        <f t="shared" si="0"/>
        <v>0</v>
      </c>
      <c r="H15" s="2"/>
    </row>
    <row r="16" spans="1:11" x14ac:dyDescent="0.3">
      <c r="A16" s="2"/>
      <c r="B16" s="19"/>
      <c r="C16" s="19"/>
      <c r="D16" s="19"/>
      <c r="E16" s="19"/>
      <c r="F16" s="19"/>
      <c r="G16" s="19">
        <f t="shared" si="0"/>
        <v>0</v>
      </c>
      <c r="H16" s="2"/>
    </row>
    <row r="17" spans="1:8" x14ac:dyDescent="0.3">
      <c r="A17" s="2"/>
      <c r="B17" s="19"/>
      <c r="C17" s="19"/>
      <c r="D17" s="19"/>
      <c r="E17" s="19"/>
      <c r="F17" s="19"/>
      <c r="G17" s="19">
        <f t="shared" si="0"/>
        <v>0</v>
      </c>
      <c r="H17" s="2"/>
    </row>
    <row r="18" spans="1:8" x14ac:dyDescent="0.3">
      <c r="A18" s="2"/>
      <c r="B18" s="19"/>
      <c r="C18" s="19"/>
      <c r="D18" s="19"/>
      <c r="E18" s="19"/>
      <c r="F18" s="19"/>
      <c r="G18" s="19">
        <f t="shared" si="0"/>
        <v>0</v>
      </c>
      <c r="H18" s="2"/>
    </row>
    <row r="19" spans="1:8" x14ac:dyDescent="0.3">
      <c r="A19" s="2"/>
      <c r="B19" s="19"/>
      <c r="C19" s="19"/>
      <c r="D19" s="19"/>
      <c r="E19" s="19"/>
      <c r="F19" s="19"/>
      <c r="G19" s="19">
        <f t="shared" si="0"/>
        <v>0</v>
      </c>
      <c r="H19" s="2"/>
    </row>
    <row r="20" spans="1:8" x14ac:dyDescent="0.3">
      <c r="A20" s="2"/>
      <c r="B20" s="19"/>
      <c r="C20" s="19"/>
      <c r="D20" s="19"/>
      <c r="E20" s="19"/>
      <c r="F20" s="19"/>
      <c r="G20" s="19">
        <f t="shared" si="0"/>
        <v>0</v>
      </c>
      <c r="H20" s="2"/>
    </row>
    <row r="21" spans="1:8" x14ac:dyDescent="0.3">
      <c r="A21" s="2"/>
      <c r="B21" s="19"/>
      <c r="C21" s="19"/>
      <c r="D21" s="19"/>
      <c r="E21" s="19"/>
      <c r="F21" s="19"/>
      <c r="G21" s="19">
        <f t="shared" si="0"/>
        <v>0</v>
      </c>
      <c r="H21" s="2"/>
    </row>
    <row r="22" spans="1:8" x14ac:dyDescent="0.3">
      <c r="A22" s="2"/>
      <c r="B22" s="19"/>
      <c r="C22" s="19"/>
      <c r="D22" s="19"/>
      <c r="E22" s="19"/>
      <c r="F22" s="19"/>
      <c r="G22" s="19">
        <f t="shared" si="0"/>
        <v>0</v>
      </c>
      <c r="H22" s="2"/>
    </row>
    <row r="23" spans="1:8" x14ac:dyDescent="0.3">
      <c r="A23" s="2"/>
      <c r="B23" s="19"/>
      <c r="C23" s="19"/>
      <c r="D23" s="19"/>
      <c r="E23" s="19"/>
      <c r="F23" s="19"/>
      <c r="G23" s="19">
        <f t="shared" si="0"/>
        <v>0</v>
      </c>
      <c r="H23" s="2"/>
    </row>
    <row r="24" spans="1:8" x14ac:dyDescent="0.3">
      <c r="A24" s="2"/>
      <c r="B24" s="19"/>
      <c r="C24" s="19"/>
      <c r="D24" s="19"/>
      <c r="E24" s="19"/>
      <c r="F24" s="19"/>
      <c r="G24" s="19">
        <f t="shared" si="0"/>
        <v>0</v>
      </c>
      <c r="H24" s="2"/>
    </row>
    <row r="25" spans="1:8" x14ac:dyDescent="0.3">
      <c r="A25" s="2"/>
      <c r="B25" s="19"/>
      <c r="C25" s="19"/>
      <c r="D25" s="19"/>
      <c r="E25" s="19"/>
      <c r="F25" s="19"/>
      <c r="G25" s="19">
        <f t="shared" si="0"/>
        <v>0</v>
      </c>
      <c r="H25" s="2"/>
    </row>
    <row r="26" spans="1:8" x14ac:dyDescent="0.3">
      <c r="A26" s="2"/>
      <c r="B26" s="19"/>
      <c r="C26" s="19"/>
      <c r="D26" s="19"/>
      <c r="E26" s="19"/>
      <c r="F26" s="19"/>
      <c r="G26" s="19">
        <f t="shared" si="0"/>
        <v>0</v>
      </c>
      <c r="H26" s="2"/>
    </row>
    <row r="27" spans="1:8" x14ac:dyDescent="0.3">
      <c r="A27" s="2"/>
      <c r="B27" s="19"/>
      <c r="C27" s="19"/>
      <c r="D27" s="19"/>
      <c r="E27" s="19"/>
      <c r="F27" s="19"/>
      <c r="G27" s="19">
        <f t="shared" si="0"/>
        <v>0</v>
      </c>
      <c r="H27" s="2"/>
    </row>
    <row r="28" spans="1:8" x14ac:dyDescent="0.3">
      <c r="A28" s="2"/>
      <c r="B28" s="19"/>
      <c r="C28" s="19"/>
      <c r="D28" s="19"/>
      <c r="E28" s="19"/>
      <c r="F28" s="19"/>
      <c r="G28" s="19">
        <f t="shared" si="0"/>
        <v>0</v>
      </c>
      <c r="H28" s="2"/>
    </row>
    <row r="29" spans="1:8" x14ac:dyDescent="0.3">
      <c r="A29" s="2"/>
      <c r="B29" s="19"/>
      <c r="C29" s="19"/>
      <c r="D29" s="19"/>
      <c r="E29" s="19"/>
      <c r="F29" s="19"/>
      <c r="G29" s="19">
        <f t="shared" si="0"/>
        <v>0</v>
      </c>
      <c r="H29" s="2"/>
    </row>
    <row r="30" spans="1:8" x14ac:dyDescent="0.3">
      <c r="A30" s="2"/>
      <c r="B30" s="19"/>
      <c r="C30" s="19"/>
      <c r="D30" s="19"/>
      <c r="E30" s="19"/>
      <c r="F30" s="19"/>
      <c r="G30" s="19">
        <f t="shared" si="0"/>
        <v>0</v>
      </c>
      <c r="H30" s="2"/>
    </row>
    <row r="31" spans="1:8" x14ac:dyDescent="0.3">
      <c r="A31" s="2"/>
      <c r="B31" s="19"/>
      <c r="C31" s="19"/>
      <c r="D31" s="19"/>
      <c r="E31" s="19"/>
      <c r="F31" s="19"/>
      <c r="G31" s="19">
        <f t="shared" si="0"/>
        <v>0</v>
      </c>
      <c r="H31" s="2"/>
    </row>
    <row r="32" spans="1:8" x14ac:dyDescent="0.3">
      <c r="A32" s="2"/>
      <c r="B32" s="19"/>
      <c r="C32" s="19"/>
      <c r="D32" s="19"/>
      <c r="E32" s="19"/>
      <c r="F32" s="19"/>
      <c r="G32" s="19">
        <f t="shared" si="0"/>
        <v>0</v>
      </c>
      <c r="H32" s="2"/>
    </row>
    <row r="34" spans="1:9" x14ac:dyDescent="0.3">
      <c r="A34" s="33" t="s">
        <v>178</v>
      </c>
      <c r="B34" s="39">
        <f t="shared" ref="B34:G34" si="1">SUM(B13:B33)</f>
        <v>1</v>
      </c>
      <c r="C34" s="39">
        <f t="shared" si="1"/>
        <v>0</v>
      </c>
      <c r="D34" s="39">
        <f t="shared" si="1"/>
        <v>0</v>
      </c>
      <c r="E34" s="39">
        <f t="shared" si="1"/>
        <v>0</v>
      </c>
      <c r="F34" s="39">
        <f t="shared" si="1"/>
        <v>0</v>
      </c>
      <c r="G34" s="39">
        <f t="shared" si="1"/>
        <v>1</v>
      </c>
    </row>
    <row r="45" spans="1:9" x14ac:dyDescent="0.3">
      <c r="A45" s="30" t="s">
        <v>88</v>
      </c>
      <c r="B45" s="5"/>
      <c r="C45" s="5"/>
      <c r="H45" s="30" t="s">
        <v>89</v>
      </c>
      <c r="I45" s="5"/>
    </row>
    <row r="46" spans="1:9" x14ac:dyDescent="0.3">
      <c r="A46" s="16" t="s">
        <v>90</v>
      </c>
      <c r="H46" s="16" t="s">
        <v>90</v>
      </c>
    </row>
    <row r="56" spans="1:1" x14ac:dyDescent="0.3">
      <c r="A56" s="22" t="str">
        <f>HYPERLINK("#'INDICE'!A66","&lt;&lt; Volver al Indice")</f>
        <v>&lt;&lt; Volver al Indice</v>
      </c>
    </row>
  </sheetData>
  <mergeCells count="1">
    <mergeCell ref="A10:H10"/>
  </mergeCells>
  <hyperlinks>
    <hyperlink ref="A1" location="ÍNDICE!A1" display="&lt;&lt; Volver al Índice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3"/>
  <sheetViews>
    <sheetView workbookViewId="0">
      <selection activeCell="D6" sqref="D6:D9"/>
    </sheetView>
  </sheetViews>
  <sheetFormatPr baseColWidth="10" defaultColWidth="9.109375" defaultRowHeight="15.05" x14ac:dyDescent="0.3"/>
  <cols>
    <col min="1" max="1" width="25" customWidth="1"/>
    <col min="2" max="9" width="15.6640625" customWidth="1"/>
    <col min="11" max="11" width="17" customWidth="1"/>
    <col min="12" max="12" width="11.6640625" customWidth="1"/>
  </cols>
  <sheetData>
    <row r="1" spans="1:12" x14ac:dyDescent="0.3">
      <c r="A1" s="12" t="s">
        <v>83</v>
      </c>
    </row>
    <row r="5" spans="1:12" ht="19.649999999999999" x14ac:dyDescent="0.3">
      <c r="L5" s="29" t="s">
        <v>25</v>
      </c>
    </row>
    <row r="6" spans="1:12" x14ac:dyDescent="0.3">
      <c r="D6" s="13" t="s">
        <v>397</v>
      </c>
    </row>
    <row r="7" spans="1:12" x14ac:dyDescent="0.3">
      <c r="D7" s="13" t="s">
        <v>398</v>
      </c>
      <c r="K7" s="2" t="s">
        <v>84</v>
      </c>
      <c r="L7" s="2"/>
    </row>
    <row r="8" spans="1:12" x14ac:dyDescent="0.3">
      <c r="D8" s="13" t="s">
        <v>399</v>
      </c>
      <c r="K8" s="2" t="s">
        <v>41</v>
      </c>
      <c r="L8" s="2"/>
    </row>
    <row r="9" spans="1:12" x14ac:dyDescent="0.3">
      <c r="D9" s="13" t="s">
        <v>400</v>
      </c>
      <c r="K9" s="2" t="s">
        <v>85</v>
      </c>
      <c r="L9" s="2"/>
    </row>
    <row r="10" spans="1:12" x14ac:dyDescent="0.3">
      <c r="D10" s="13"/>
      <c r="K10" s="2" t="s">
        <v>86</v>
      </c>
      <c r="L10" s="2"/>
    </row>
    <row r="11" spans="1:12" x14ac:dyDescent="0.3">
      <c r="D11" s="13"/>
    </row>
    <row r="12" spans="1:12" ht="17.05" x14ac:dyDescent="0.3">
      <c r="A12" s="72" t="s">
        <v>179</v>
      </c>
      <c r="B12" s="72"/>
      <c r="C12" s="72"/>
      <c r="D12" s="72"/>
      <c r="E12" s="72"/>
      <c r="F12" s="72"/>
      <c r="G12" s="72"/>
      <c r="H12" s="72"/>
      <c r="I12" s="72"/>
    </row>
    <row r="15" spans="1:12" x14ac:dyDescent="0.3">
      <c r="A15" s="18" t="s">
        <v>180</v>
      </c>
      <c r="B15" s="18" t="s">
        <v>159</v>
      </c>
      <c r="C15" s="18" t="s">
        <v>181</v>
      </c>
      <c r="D15" s="18" t="s">
        <v>182</v>
      </c>
      <c r="E15" s="18" t="s">
        <v>183</v>
      </c>
      <c r="F15" s="18" t="s">
        <v>184</v>
      </c>
      <c r="G15" s="18" t="s">
        <v>185</v>
      </c>
      <c r="H15" s="18" t="s">
        <v>186</v>
      </c>
      <c r="I15" s="18" t="s">
        <v>96</v>
      </c>
    </row>
    <row r="16" spans="1:12" x14ac:dyDescent="0.3">
      <c r="A16" s="2" t="s">
        <v>187</v>
      </c>
      <c r="B16" s="2"/>
      <c r="C16" s="2"/>
      <c r="D16" s="19">
        <v>100</v>
      </c>
      <c r="E16" s="19">
        <v>50</v>
      </c>
      <c r="F16" s="19">
        <v>85</v>
      </c>
      <c r="G16" s="20">
        <f t="shared" ref="G16:G23" si="0">E16-F16</f>
        <v>-35</v>
      </c>
      <c r="H16" s="2"/>
      <c r="I16" s="2"/>
    </row>
    <row r="17" spans="1:9" x14ac:dyDescent="0.3">
      <c r="A17" s="2" t="s">
        <v>188</v>
      </c>
      <c r="B17" s="2"/>
      <c r="C17" s="2"/>
      <c r="D17" s="19"/>
      <c r="E17" s="19"/>
      <c r="F17" s="19"/>
      <c r="G17" s="20">
        <f t="shared" si="0"/>
        <v>0</v>
      </c>
      <c r="H17" s="2"/>
      <c r="I17" s="2"/>
    </row>
    <row r="18" spans="1:9" x14ac:dyDescent="0.3">
      <c r="A18" s="2" t="s">
        <v>189</v>
      </c>
      <c r="B18" s="2"/>
      <c r="C18" s="2"/>
      <c r="D18" s="19"/>
      <c r="E18" s="19"/>
      <c r="F18" s="19"/>
      <c r="G18" s="20">
        <f t="shared" si="0"/>
        <v>0</v>
      </c>
      <c r="H18" s="2"/>
      <c r="I18" s="2"/>
    </row>
    <row r="19" spans="1:9" x14ac:dyDescent="0.3">
      <c r="A19" s="2" t="s">
        <v>190</v>
      </c>
      <c r="B19" s="2"/>
      <c r="C19" s="2"/>
      <c r="D19" s="19"/>
      <c r="E19" s="19"/>
      <c r="F19" s="19"/>
      <c r="G19" s="20">
        <f t="shared" si="0"/>
        <v>0</v>
      </c>
      <c r="H19" s="2"/>
      <c r="I19" s="2"/>
    </row>
    <row r="20" spans="1:9" x14ac:dyDescent="0.3">
      <c r="A20" s="2" t="s">
        <v>191</v>
      </c>
      <c r="B20" s="2"/>
      <c r="C20" s="2"/>
      <c r="D20" s="19"/>
      <c r="E20" s="19"/>
      <c r="F20" s="19"/>
      <c r="G20" s="20">
        <f t="shared" si="0"/>
        <v>0</v>
      </c>
      <c r="H20" s="2"/>
      <c r="I20" s="2"/>
    </row>
    <row r="21" spans="1:9" x14ac:dyDescent="0.3">
      <c r="A21" s="2" t="s">
        <v>192</v>
      </c>
      <c r="B21" s="2"/>
      <c r="C21" s="2"/>
      <c r="D21" s="19"/>
      <c r="E21" s="19"/>
      <c r="F21" s="19"/>
      <c r="G21" s="20">
        <f t="shared" si="0"/>
        <v>0</v>
      </c>
      <c r="H21" s="2"/>
      <c r="I21" s="2"/>
    </row>
    <row r="22" spans="1:9" x14ac:dyDescent="0.3">
      <c r="A22" s="2" t="s">
        <v>193</v>
      </c>
      <c r="B22" s="2"/>
      <c r="C22" s="2"/>
      <c r="D22" s="19"/>
      <c r="E22" s="19"/>
      <c r="F22" s="19"/>
      <c r="G22" s="20">
        <f t="shared" si="0"/>
        <v>0</v>
      </c>
      <c r="H22" s="2"/>
      <c r="I22" s="2"/>
    </row>
    <row r="23" spans="1:9" x14ac:dyDescent="0.3">
      <c r="A23" s="2" t="s">
        <v>194</v>
      </c>
      <c r="B23" s="2"/>
      <c r="C23" s="2"/>
      <c r="D23" s="19"/>
      <c r="E23" s="19"/>
      <c r="F23" s="19"/>
      <c r="G23" s="20">
        <f t="shared" si="0"/>
        <v>0</v>
      </c>
      <c r="H23" s="2"/>
      <c r="I23" s="2"/>
    </row>
    <row r="25" spans="1:9" x14ac:dyDescent="0.3">
      <c r="C25" s="33" t="s">
        <v>195</v>
      </c>
      <c r="D25" s="39">
        <f>SUM(D16:D24)</f>
        <v>100</v>
      </c>
      <c r="E25" s="39">
        <f>SUM(E16:E24)</f>
        <v>50</v>
      </c>
      <c r="F25" s="39">
        <f>SUM(F16:F24)</f>
        <v>85</v>
      </c>
      <c r="G25" s="39">
        <f>SUM(G16:G24)</f>
        <v>-35</v>
      </c>
    </row>
    <row r="37" spans="1:8" x14ac:dyDescent="0.3">
      <c r="A37" s="30" t="s">
        <v>88</v>
      </c>
      <c r="B37" s="5"/>
      <c r="C37" s="5"/>
      <c r="F37" s="30" t="s">
        <v>89</v>
      </c>
      <c r="G37" s="5"/>
      <c r="H37" s="5"/>
    </row>
    <row r="38" spans="1:8" x14ac:dyDescent="0.3">
      <c r="A38" s="16" t="s">
        <v>90</v>
      </c>
      <c r="F38" s="16" t="s">
        <v>90</v>
      </c>
    </row>
    <row r="53" spans="1:1" x14ac:dyDescent="0.3">
      <c r="A53" s="22" t="str">
        <f>HYPERLINK("#'INDICE'!A67","&lt;&lt; Volver al Indice")</f>
        <v>&lt;&lt; Volver al Indice</v>
      </c>
    </row>
  </sheetData>
  <mergeCells count="1">
    <mergeCell ref="A12:I12"/>
  </mergeCells>
  <hyperlinks>
    <hyperlink ref="A1" location="ÍNDICE!A1" display="&lt;&lt; Volver al Índice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7"/>
  <sheetViews>
    <sheetView workbookViewId="0">
      <selection activeCell="G3" sqref="G3:G6"/>
    </sheetView>
  </sheetViews>
  <sheetFormatPr baseColWidth="10" defaultColWidth="9.109375" defaultRowHeight="15.05" x14ac:dyDescent="0.3"/>
  <cols>
    <col min="1" max="1" width="21" customWidth="1"/>
    <col min="11" max="11" width="19.5546875" customWidth="1"/>
    <col min="14" max="14" width="17.44140625" customWidth="1"/>
    <col min="15" max="15" width="11.44140625" customWidth="1"/>
    <col min="18" max="18" width="17.5546875" customWidth="1"/>
    <col min="19" max="19" width="11.109375" customWidth="1"/>
  </cols>
  <sheetData>
    <row r="1" spans="1:19" x14ac:dyDescent="0.3">
      <c r="A1" s="12" t="s">
        <v>83</v>
      </c>
    </row>
    <row r="3" spans="1:19" ht="19.649999999999999" x14ac:dyDescent="0.3">
      <c r="G3" s="13" t="s">
        <v>397</v>
      </c>
      <c r="S3" s="29" t="s">
        <v>27</v>
      </c>
    </row>
    <row r="4" spans="1:19" x14ac:dyDescent="0.3">
      <c r="G4" s="13" t="s">
        <v>398</v>
      </c>
    </row>
    <row r="5" spans="1:19" x14ac:dyDescent="0.3">
      <c r="G5" s="13" t="s">
        <v>399</v>
      </c>
      <c r="R5" s="2" t="s">
        <v>84</v>
      </c>
      <c r="S5" s="2"/>
    </row>
    <row r="6" spans="1:19" x14ac:dyDescent="0.3">
      <c r="G6" s="13" t="s">
        <v>400</v>
      </c>
      <c r="R6" s="2" t="s">
        <v>41</v>
      </c>
      <c r="S6" s="2"/>
    </row>
    <row r="7" spans="1:19" x14ac:dyDescent="0.3">
      <c r="R7" s="2" t="s">
        <v>85</v>
      </c>
      <c r="S7" s="2"/>
    </row>
    <row r="8" spans="1:19" x14ac:dyDescent="0.3">
      <c r="R8" s="2" t="s">
        <v>86</v>
      </c>
      <c r="S8" s="2"/>
    </row>
    <row r="10" spans="1:19" ht="20.95" customHeight="1" x14ac:dyDescent="0.3">
      <c r="A10" s="81" t="s">
        <v>237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</row>
    <row r="11" spans="1:19" x14ac:dyDescent="0.3">
      <c r="A11" s="82" t="s">
        <v>238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</row>
    <row r="13" spans="1:19" x14ac:dyDescent="0.3">
      <c r="A13" s="43" t="s">
        <v>239</v>
      </c>
      <c r="B13" s="83" t="s">
        <v>240</v>
      </c>
      <c r="C13" s="64"/>
      <c r="D13" s="64"/>
      <c r="E13" s="64"/>
      <c r="F13" s="43" t="s">
        <v>241</v>
      </c>
      <c r="G13" s="83" t="s">
        <v>242</v>
      </c>
      <c r="H13" s="64"/>
      <c r="I13" s="64"/>
      <c r="J13" s="43" t="s">
        <v>243</v>
      </c>
      <c r="K13" s="83" t="s">
        <v>244</v>
      </c>
      <c r="L13" s="64"/>
      <c r="M13" s="43" t="s">
        <v>245</v>
      </c>
      <c r="N13" s="84" t="s">
        <v>246</v>
      </c>
      <c r="O13" s="64"/>
      <c r="P13" s="64"/>
      <c r="Q13" s="64"/>
    </row>
    <row r="16" spans="1:19" ht="37.35" x14ac:dyDescent="0.3">
      <c r="A16" s="8" t="s">
        <v>57</v>
      </c>
      <c r="B16" s="8" t="s">
        <v>247</v>
      </c>
      <c r="C16" s="8" t="s">
        <v>248</v>
      </c>
      <c r="D16" s="8" t="s">
        <v>249</v>
      </c>
      <c r="E16" s="8" t="s">
        <v>250</v>
      </c>
      <c r="F16" s="8" t="s">
        <v>251</v>
      </c>
      <c r="G16" s="8" t="s">
        <v>252</v>
      </c>
      <c r="H16" s="8" t="s">
        <v>253</v>
      </c>
      <c r="I16" s="8" t="s">
        <v>254</v>
      </c>
      <c r="J16" s="8" t="s">
        <v>255</v>
      </c>
      <c r="K16" s="8" t="s">
        <v>256</v>
      </c>
      <c r="L16" s="8" t="s">
        <v>257</v>
      </c>
      <c r="M16" s="8" t="s">
        <v>258</v>
      </c>
      <c r="N16" s="8" t="s">
        <v>259</v>
      </c>
      <c r="O16" s="8" t="s">
        <v>260</v>
      </c>
      <c r="P16" s="8" t="s">
        <v>261</v>
      </c>
      <c r="Q16" s="8" t="s">
        <v>262</v>
      </c>
    </row>
    <row r="17" spans="1:17" x14ac:dyDescent="0.3">
      <c r="A17" s="40">
        <v>1</v>
      </c>
      <c r="B17" s="44"/>
      <c r="C17" s="44"/>
      <c r="D17" s="44"/>
      <c r="E17" s="45">
        <v>100</v>
      </c>
      <c r="F17" s="46">
        <f>IF(E17&lt;=([1]PARÁMETROS!$B$4*2),[1]PARÁMETROS!$B$5,0)</f>
        <v>162000</v>
      </c>
      <c r="G17" s="45"/>
      <c r="H17" s="46">
        <f t="shared" ref="H17:H36" si="0">E17+F17+G17</f>
        <v>162100</v>
      </c>
      <c r="I17" s="47">
        <v>5</v>
      </c>
      <c r="J17" s="46">
        <f>IF(H17="","",H17*I17/[1]PARÁMETROS!$B$10)</f>
        <v>2251.3888888888887</v>
      </c>
      <c r="K17" s="46">
        <f>IF(J17="","",J17*[1]PARÁMETROS!$B$7)</f>
        <v>270.16666666666663</v>
      </c>
      <c r="L17" s="46">
        <f>IF(H17="","",H17*I17/[1]PARÁMETROS!$B$10)</f>
        <v>2251.3888888888887</v>
      </c>
      <c r="M17" s="46">
        <f t="shared" ref="M17:M36" si="1">IF(E17="","",E17*I17/720)</f>
        <v>0.69444444444444442</v>
      </c>
      <c r="N17" s="48">
        <f t="shared" ref="N17:N36" si="2">J17+K17+L17+M17</f>
        <v>4773.6388888888878</v>
      </c>
      <c r="O17" s="45"/>
      <c r="P17" s="49" t="str">
        <f t="shared" ref="P17:P36" si="3">IF(O17="","",IF(ABS(O17)&lt;1000,"✓ OK","⚠ REVISAR"))</f>
        <v/>
      </c>
      <c r="Q17" s="44"/>
    </row>
    <row r="18" spans="1:17" x14ac:dyDescent="0.3">
      <c r="A18" s="40">
        <v>2</v>
      </c>
      <c r="B18" s="44"/>
      <c r="C18" s="44"/>
      <c r="D18" s="44"/>
      <c r="E18" s="45"/>
      <c r="F18" s="46">
        <f>IF(E18&lt;=([1]PARÁMETROS!$B$4*2),[1]PARÁMETROS!$B$5,0)</f>
        <v>162000</v>
      </c>
      <c r="G18" s="45"/>
      <c r="H18" s="46">
        <f t="shared" si="0"/>
        <v>162000</v>
      </c>
      <c r="I18" s="47">
        <v>8</v>
      </c>
      <c r="J18" s="46">
        <f>IF(H18="","",H18*I18/[1]PARÁMETROS!$B$10)</f>
        <v>3600</v>
      </c>
      <c r="K18" s="46">
        <f>IF(J18="","",J18*[1]PARÁMETROS!$B$7)</f>
        <v>432</v>
      </c>
      <c r="L18" s="46">
        <f>IF(H18="","",H18*I18/[1]PARÁMETROS!$B$10)</f>
        <v>3600</v>
      </c>
      <c r="M18" s="46">
        <v>5</v>
      </c>
      <c r="N18" s="48">
        <f t="shared" si="2"/>
        <v>7637</v>
      </c>
      <c r="O18" s="45"/>
      <c r="P18" s="49" t="str">
        <f t="shared" si="3"/>
        <v/>
      </c>
      <c r="Q18" s="44"/>
    </row>
    <row r="19" spans="1:17" x14ac:dyDescent="0.3">
      <c r="A19" s="40">
        <v>3</v>
      </c>
      <c r="B19" s="44"/>
      <c r="C19" s="44"/>
      <c r="D19" s="44"/>
      <c r="E19" s="45"/>
      <c r="F19" s="46">
        <f>IF(E19&lt;=([1]PARÁMETROS!$B$4*2),[1]PARÁMETROS!$B$5,0)</f>
        <v>162000</v>
      </c>
      <c r="G19" s="45"/>
      <c r="H19" s="46">
        <f t="shared" si="0"/>
        <v>162000</v>
      </c>
      <c r="I19" s="47" t="str">
        <f t="shared" ref="I19:I36" si="4">IF(D19="","",MIN(360,MAX(0,(DATE(2024,12,31)-D19))))</f>
        <v/>
      </c>
      <c r="J19" s="46" t="e">
        <f>IF(H19="","",H19*I19/[1]PARÁMETROS!$B$10)</f>
        <v>#VALUE!</v>
      </c>
      <c r="K19" s="46" t="e">
        <f>IF(J19="","",J19*[1]PARÁMETROS!$B$7)</f>
        <v>#VALUE!</v>
      </c>
      <c r="L19" s="46" t="e">
        <f>IF(H19="","",H19*I19/[1]PARÁMETROS!$B$10)</f>
        <v>#VALUE!</v>
      </c>
      <c r="M19" s="46" t="str">
        <f t="shared" si="1"/>
        <v/>
      </c>
      <c r="N19" s="48" t="e">
        <f t="shared" si="2"/>
        <v>#VALUE!</v>
      </c>
      <c r="O19" s="45"/>
      <c r="P19" s="49" t="str">
        <f t="shared" si="3"/>
        <v/>
      </c>
      <c r="Q19" s="44"/>
    </row>
    <row r="20" spans="1:17" x14ac:dyDescent="0.3">
      <c r="A20" s="40">
        <v>4</v>
      </c>
      <c r="B20" s="44"/>
      <c r="C20" s="44"/>
      <c r="D20" s="44"/>
      <c r="E20" s="45"/>
      <c r="F20" s="46">
        <f>IF(E20&lt;=([1]PARÁMETROS!$B$4*2),[1]PARÁMETROS!$B$5,0)</f>
        <v>162000</v>
      </c>
      <c r="G20" s="45"/>
      <c r="H20" s="46">
        <f t="shared" si="0"/>
        <v>162000</v>
      </c>
      <c r="I20" s="47" t="str">
        <f t="shared" si="4"/>
        <v/>
      </c>
      <c r="J20" s="46" t="e">
        <f>IF(H20="","",H20*I20/[1]PARÁMETROS!$B$10)</f>
        <v>#VALUE!</v>
      </c>
      <c r="K20" s="46" t="e">
        <f>IF(J20="","",J20*[1]PARÁMETROS!$B$7)</f>
        <v>#VALUE!</v>
      </c>
      <c r="L20" s="46" t="e">
        <f>IF(H20="","",H20*I20/[1]PARÁMETROS!$B$10)</f>
        <v>#VALUE!</v>
      </c>
      <c r="M20" s="46" t="str">
        <f t="shared" si="1"/>
        <v/>
      </c>
      <c r="N20" s="48" t="e">
        <f t="shared" si="2"/>
        <v>#VALUE!</v>
      </c>
      <c r="O20" s="45"/>
      <c r="P20" s="49" t="str">
        <f t="shared" si="3"/>
        <v/>
      </c>
      <c r="Q20" s="44"/>
    </row>
    <row r="21" spans="1:17" x14ac:dyDescent="0.3">
      <c r="A21" s="40">
        <v>5</v>
      </c>
      <c r="B21" s="44"/>
      <c r="C21" s="44"/>
      <c r="D21" s="44"/>
      <c r="E21" s="45"/>
      <c r="F21" s="46">
        <f>IF(E21&lt;=([1]PARÁMETROS!$B$4*2),[1]PARÁMETROS!$B$5,0)</f>
        <v>162000</v>
      </c>
      <c r="G21" s="45"/>
      <c r="H21" s="46">
        <f t="shared" si="0"/>
        <v>162000</v>
      </c>
      <c r="I21" s="47" t="str">
        <f t="shared" si="4"/>
        <v/>
      </c>
      <c r="J21" s="46" t="e">
        <f>IF(H21="","",H21*I21/[1]PARÁMETROS!$B$10)</f>
        <v>#VALUE!</v>
      </c>
      <c r="K21" s="46" t="e">
        <f>IF(J21="","",J21*[1]PARÁMETROS!$B$7)</f>
        <v>#VALUE!</v>
      </c>
      <c r="L21" s="46" t="e">
        <f>IF(H21="","",H21*I21/[1]PARÁMETROS!$B$10)</f>
        <v>#VALUE!</v>
      </c>
      <c r="M21" s="46" t="str">
        <f t="shared" si="1"/>
        <v/>
      </c>
      <c r="N21" s="48" t="e">
        <f t="shared" si="2"/>
        <v>#VALUE!</v>
      </c>
      <c r="O21" s="45"/>
      <c r="P21" s="49" t="str">
        <f t="shared" si="3"/>
        <v/>
      </c>
      <c r="Q21" s="44"/>
    </row>
    <row r="22" spans="1:17" x14ac:dyDescent="0.3">
      <c r="A22" s="40">
        <v>6</v>
      </c>
      <c r="B22" s="44"/>
      <c r="C22" s="44"/>
      <c r="D22" s="44"/>
      <c r="E22" s="45"/>
      <c r="F22" s="46">
        <f>IF(E22&lt;=([1]PARÁMETROS!$B$4*2),[1]PARÁMETROS!$B$5,0)</f>
        <v>162000</v>
      </c>
      <c r="G22" s="45"/>
      <c r="H22" s="46">
        <f t="shared" si="0"/>
        <v>162000</v>
      </c>
      <c r="I22" s="47" t="str">
        <f t="shared" si="4"/>
        <v/>
      </c>
      <c r="J22" s="46" t="e">
        <f>IF(H22="","",H22*I22/[1]PARÁMETROS!$B$10)</f>
        <v>#VALUE!</v>
      </c>
      <c r="K22" s="46" t="e">
        <f>IF(J22="","",J22*[1]PARÁMETROS!$B$7)</f>
        <v>#VALUE!</v>
      </c>
      <c r="L22" s="46" t="e">
        <f>IF(H22="","",H22*I22/[1]PARÁMETROS!$B$10)</f>
        <v>#VALUE!</v>
      </c>
      <c r="M22" s="46" t="str">
        <f t="shared" si="1"/>
        <v/>
      </c>
      <c r="N22" s="48" t="e">
        <f t="shared" si="2"/>
        <v>#VALUE!</v>
      </c>
      <c r="O22" s="45"/>
      <c r="P22" s="49" t="str">
        <f t="shared" si="3"/>
        <v/>
      </c>
      <c r="Q22" s="44"/>
    </row>
    <row r="23" spans="1:17" x14ac:dyDescent="0.3">
      <c r="A23" s="40">
        <v>7</v>
      </c>
      <c r="B23" s="44"/>
      <c r="C23" s="44"/>
      <c r="D23" s="44"/>
      <c r="E23" s="45"/>
      <c r="F23" s="46">
        <f>IF(E23&lt;=([1]PARÁMETROS!$B$4*2),[1]PARÁMETROS!$B$5,0)</f>
        <v>162000</v>
      </c>
      <c r="G23" s="45"/>
      <c r="H23" s="46">
        <f t="shared" si="0"/>
        <v>162000</v>
      </c>
      <c r="I23" s="47" t="str">
        <f t="shared" si="4"/>
        <v/>
      </c>
      <c r="J23" s="46" t="e">
        <f>IF(H23="","",H23*I23/[1]PARÁMETROS!$B$10)</f>
        <v>#VALUE!</v>
      </c>
      <c r="K23" s="46" t="e">
        <f>IF(J23="","",J23*[1]PARÁMETROS!$B$7)</f>
        <v>#VALUE!</v>
      </c>
      <c r="L23" s="46" t="e">
        <f>IF(H23="","",H23*I23/[1]PARÁMETROS!$B$10)</f>
        <v>#VALUE!</v>
      </c>
      <c r="M23" s="46" t="str">
        <f t="shared" si="1"/>
        <v/>
      </c>
      <c r="N23" s="48" t="e">
        <f t="shared" si="2"/>
        <v>#VALUE!</v>
      </c>
      <c r="O23" s="45"/>
      <c r="P23" s="49" t="str">
        <f t="shared" si="3"/>
        <v/>
      </c>
      <c r="Q23" s="44"/>
    </row>
    <row r="24" spans="1:17" x14ac:dyDescent="0.3">
      <c r="A24" s="40">
        <v>8</v>
      </c>
      <c r="B24" s="44"/>
      <c r="C24" s="44"/>
      <c r="D24" s="44"/>
      <c r="E24" s="45"/>
      <c r="F24" s="46">
        <f>IF(E24&lt;=([1]PARÁMETROS!$B$4*2),[1]PARÁMETROS!$B$5,0)</f>
        <v>162000</v>
      </c>
      <c r="G24" s="45"/>
      <c r="H24" s="46">
        <f t="shared" si="0"/>
        <v>162000</v>
      </c>
      <c r="I24" s="47" t="str">
        <f t="shared" si="4"/>
        <v/>
      </c>
      <c r="J24" s="46" t="e">
        <f>IF(H24="","",H24*I24/[1]PARÁMETROS!$B$10)</f>
        <v>#VALUE!</v>
      </c>
      <c r="K24" s="46" t="e">
        <f>IF(J24="","",J24*[1]PARÁMETROS!$B$7)</f>
        <v>#VALUE!</v>
      </c>
      <c r="L24" s="46" t="e">
        <f>IF(H24="","",H24*I24/[1]PARÁMETROS!$B$10)</f>
        <v>#VALUE!</v>
      </c>
      <c r="M24" s="46" t="str">
        <f t="shared" si="1"/>
        <v/>
      </c>
      <c r="N24" s="48" t="e">
        <f t="shared" si="2"/>
        <v>#VALUE!</v>
      </c>
      <c r="O24" s="45"/>
      <c r="P24" s="49" t="str">
        <f t="shared" si="3"/>
        <v/>
      </c>
      <c r="Q24" s="44"/>
    </row>
    <row r="25" spans="1:17" x14ac:dyDescent="0.3">
      <c r="A25" s="40">
        <v>9</v>
      </c>
      <c r="B25" s="44"/>
      <c r="C25" s="44"/>
      <c r="D25" s="44"/>
      <c r="E25" s="45"/>
      <c r="F25" s="46">
        <f>IF(E25&lt;=([1]PARÁMETROS!$B$4*2),[1]PARÁMETROS!$B$5,0)</f>
        <v>162000</v>
      </c>
      <c r="G25" s="45"/>
      <c r="H25" s="46">
        <f t="shared" si="0"/>
        <v>162000</v>
      </c>
      <c r="I25" s="47" t="str">
        <f t="shared" si="4"/>
        <v/>
      </c>
      <c r="J25" s="46" t="e">
        <f>IF(H25="","",H25*I25/[1]PARÁMETROS!$B$10)</f>
        <v>#VALUE!</v>
      </c>
      <c r="K25" s="46" t="e">
        <f>IF(J25="","",J25*[1]PARÁMETROS!$B$7)</f>
        <v>#VALUE!</v>
      </c>
      <c r="L25" s="46" t="e">
        <f>IF(H25="","",H25*I25/[1]PARÁMETROS!$B$10)</f>
        <v>#VALUE!</v>
      </c>
      <c r="M25" s="46" t="str">
        <f t="shared" si="1"/>
        <v/>
      </c>
      <c r="N25" s="48" t="e">
        <f t="shared" si="2"/>
        <v>#VALUE!</v>
      </c>
      <c r="O25" s="45"/>
      <c r="P25" s="49" t="str">
        <f t="shared" si="3"/>
        <v/>
      </c>
      <c r="Q25" s="44"/>
    </row>
    <row r="26" spans="1:17" x14ac:dyDescent="0.3">
      <c r="A26" s="40">
        <v>10</v>
      </c>
      <c r="B26" s="44"/>
      <c r="C26" s="44"/>
      <c r="D26" s="44"/>
      <c r="E26" s="45"/>
      <c r="F26" s="46">
        <f>IF(E26&lt;=([1]PARÁMETROS!$B$4*2),[1]PARÁMETROS!$B$5,0)</f>
        <v>162000</v>
      </c>
      <c r="G26" s="45"/>
      <c r="H26" s="46">
        <f t="shared" si="0"/>
        <v>162000</v>
      </c>
      <c r="I26" s="47" t="str">
        <f t="shared" si="4"/>
        <v/>
      </c>
      <c r="J26" s="46" t="e">
        <f>IF(H26="","",H26*I26/[1]PARÁMETROS!$B$10)</f>
        <v>#VALUE!</v>
      </c>
      <c r="K26" s="46" t="e">
        <f>IF(J26="","",J26*[1]PARÁMETROS!$B$7)</f>
        <v>#VALUE!</v>
      </c>
      <c r="L26" s="46" t="e">
        <f>IF(H26="","",H26*I26/[1]PARÁMETROS!$B$10)</f>
        <v>#VALUE!</v>
      </c>
      <c r="M26" s="46" t="str">
        <f t="shared" si="1"/>
        <v/>
      </c>
      <c r="N26" s="48" t="e">
        <f t="shared" si="2"/>
        <v>#VALUE!</v>
      </c>
      <c r="O26" s="45"/>
      <c r="P26" s="49" t="str">
        <f t="shared" si="3"/>
        <v/>
      </c>
      <c r="Q26" s="44"/>
    </row>
    <row r="27" spans="1:17" x14ac:dyDescent="0.3">
      <c r="A27" s="40">
        <v>11</v>
      </c>
      <c r="B27" s="44"/>
      <c r="C27" s="44"/>
      <c r="D27" s="44"/>
      <c r="E27" s="45"/>
      <c r="F27" s="46">
        <f>IF(E27&lt;=([1]PARÁMETROS!$B$4*2),[1]PARÁMETROS!$B$5,0)</f>
        <v>162000</v>
      </c>
      <c r="G27" s="45"/>
      <c r="H27" s="46">
        <f t="shared" si="0"/>
        <v>162000</v>
      </c>
      <c r="I27" s="47" t="str">
        <f t="shared" si="4"/>
        <v/>
      </c>
      <c r="J27" s="46" t="e">
        <f>IF(H27="","",H27*I27/[1]PARÁMETROS!$B$10)</f>
        <v>#VALUE!</v>
      </c>
      <c r="K27" s="46" t="e">
        <f>IF(J27="","",J27*[1]PARÁMETROS!$B$7)</f>
        <v>#VALUE!</v>
      </c>
      <c r="L27" s="46" t="e">
        <f>IF(H27="","",H27*I27/[1]PARÁMETROS!$B$10)</f>
        <v>#VALUE!</v>
      </c>
      <c r="M27" s="46" t="str">
        <f t="shared" si="1"/>
        <v/>
      </c>
      <c r="N27" s="48" t="e">
        <f t="shared" si="2"/>
        <v>#VALUE!</v>
      </c>
      <c r="O27" s="45"/>
      <c r="P27" s="49" t="str">
        <f t="shared" si="3"/>
        <v/>
      </c>
      <c r="Q27" s="44"/>
    </row>
    <row r="28" spans="1:17" x14ac:dyDescent="0.3">
      <c r="A28" s="40">
        <v>12</v>
      </c>
      <c r="B28" s="44"/>
      <c r="C28" s="44"/>
      <c r="D28" s="44"/>
      <c r="E28" s="45"/>
      <c r="F28" s="46">
        <f>IF(E28&lt;=([1]PARÁMETROS!$B$4*2),[1]PARÁMETROS!$B$5,0)</f>
        <v>162000</v>
      </c>
      <c r="G28" s="45"/>
      <c r="H28" s="46">
        <f t="shared" si="0"/>
        <v>162000</v>
      </c>
      <c r="I28" s="47" t="str">
        <f t="shared" si="4"/>
        <v/>
      </c>
      <c r="J28" s="46" t="e">
        <f>IF(H28="","",H28*I28/[1]PARÁMETROS!$B$10)</f>
        <v>#VALUE!</v>
      </c>
      <c r="K28" s="46" t="e">
        <f>IF(J28="","",J28*[1]PARÁMETROS!$B$7)</f>
        <v>#VALUE!</v>
      </c>
      <c r="L28" s="46" t="e">
        <f>IF(H28="","",H28*I28/[1]PARÁMETROS!$B$10)</f>
        <v>#VALUE!</v>
      </c>
      <c r="M28" s="46" t="str">
        <f t="shared" si="1"/>
        <v/>
      </c>
      <c r="N28" s="48" t="e">
        <f t="shared" si="2"/>
        <v>#VALUE!</v>
      </c>
      <c r="O28" s="45"/>
      <c r="P28" s="49" t="str">
        <f t="shared" si="3"/>
        <v/>
      </c>
      <c r="Q28" s="44"/>
    </row>
    <row r="29" spans="1:17" x14ac:dyDescent="0.3">
      <c r="A29" s="40">
        <v>13</v>
      </c>
      <c r="B29" s="44"/>
      <c r="C29" s="44"/>
      <c r="D29" s="44"/>
      <c r="E29" s="45"/>
      <c r="F29" s="46">
        <f>IF(E29&lt;=([1]PARÁMETROS!$B$4*2),[1]PARÁMETROS!$B$5,0)</f>
        <v>162000</v>
      </c>
      <c r="G29" s="45"/>
      <c r="H29" s="46">
        <f t="shared" si="0"/>
        <v>162000</v>
      </c>
      <c r="I29" s="47" t="str">
        <f t="shared" si="4"/>
        <v/>
      </c>
      <c r="J29" s="46" t="e">
        <f>IF(H29="","",H29*I29/[1]PARÁMETROS!$B$10)</f>
        <v>#VALUE!</v>
      </c>
      <c r="K29" s="46" t="e">
        <f>IF(J29="","",J29*[1]PARÁMETROS!$B$7)</f>
        <v>#VALUE!</v>
      </c>
      <c r="L29" s="46" t="e">
        <f>IF(H29="","",H29*I29/[1]PARÁMETROS!$B$10)</f>
        <v>#VALUE!</v>
      </c>
      <c r="M29" s="46" t="str">
        <f t="shared" si="1"/>
        <v/>
      </c>
      <c r="N29" s="48" t="e">
        <f t="shared" si="2"/>
        <v>#VALUE!</v>
      </c>
      <c r="O29" s="45"/>
      <c r="P29" s="49" t="str">
        <f t="shared" si="3"/>
        <v/>
      </c>
      <c r="Q29" s="44"/>
    </row>
    <row r="30" spans="1:17" x14ac:dyDescent="0.3">
      <c r="A30" s="40">
        <v>14</v>
      </c>
      <c r="B30" s="44"/>
      <c r="C30" s="44"/>
      <c r="D30" s="44"/>
      <c r="E30" s="45"/>
      <c r="F30" s="46">
        <f>IF(E30&lt;=([1]PARÁMETROS!$B$4*2),[1]PARÁMETROS!$B$5,0)</f>
        <v>162000</v>
      </c>
      <c r="G30" s="45"/>
      <c r="H30" s="46">
        <f t="shared" si="0"/>
        <v>162000</v>
      </c>
      <c r="I30" s="47" t="str">
        <f t="shared" si="4"/>
        <v/>
      </c>
      <c r="J30" s="46" t="e">
        <f>IF(H30="","",H30*I30/[1]PARÁMETROS!$B$10)</f>
        <v>#VALUE!</v>
      </c>
      <c r="K30" s="46" t="e">
        <f>IF(J30="","",J30*[1]PARÁMETROS!$B$7)</f>
        <v>#VALUE!</v>
      </c>
      <c r="L30" s="46" t="e">
        <f>IF(H30="","",H30*I30/[1]PARÁMETROS!$B$10)</f>
        <v>#VALUE!</v>
      </c>
      <c r="M30" s="46" t="str">
        <f t="shared" si="1"/>
        <v/>
      </c>
      <c r="N30" s="48" t="e">
        <f t="shared" si="2"/>
        <v>#VALUE!</v>
      </c>
      <c r="O30" s="45"/>
      <c r="P30" s="49" t="str">
        <f t="shared" si="3"/>
        <v/>
      </c>
      <c r="Q30" s="44"/>
    </row>
    <row r="31" spans="1:17" x14ac:dyDescent="0.3">
      <c r="A31" s="40">
        <v>15</v>
      </c>
      <c r="B31" s="44"/>
      <c r="C31" s="44"/>
      <c r="D31" s="44"/>
      <c r="E31" s="45"/>
      <c r="F31" s="46">
        <f>IF(E31&lt;=([1]PARÁMETROS!$B$4*2),[1]PARÁMETROS!$B$5,0)</f>
        <v>162000</v>
      </c>
      <c r="G31" s="45"/>
      <c r="H31" s="46">
        <f t="shared" si="0"/>
        <v>162000</v>
      </c>
      <c r="I31" s="47" t="str">
        <f t="shared" si="4"/>
        <v/>
      </c>
      <c r="J31" s="46" t="e">
        <f>IF(H31="","",H31*I31/[1]PARÁMETROS!$B$10)</f>
        <v>#VALUE!</v>
      </c>
      <c r="K31" s="46" t="e">
        <f>IF(J31="","",J31*[1]PARÁMETROS!$B$7)</f>
        <v>#VALUE!</v>
      </c>
      <c r="L31" s="46" t="e">
        <f>IF(H31="","",H31*I31/[1]PARÁMETROS!$B$10)</f>
        <v>#VALUE!</v>
      </c>
      <c r="M31" s="46" t="str">
        <f t="shared" si="1"/>
        <v/>
      </c>
      <c r="N31" s="48" t="e">
        <f t="shared" si="2"/>
        <v>#VALUE!</v>
      </c>
      <c r="O31" s="45"/>
      <c r="P31" s="49" t="str">
        <f t="shared" si="3"/>
        <v/>
      </c>
      <c r="Q31" s="44"/>
    </row>
    <row r="32" spans="1:17" x14ac:dyDescent="0.3">
      <c r="A32" s="40">
        <v>16</v>
      </c>
      <c r="B32" s="44"/>
      <c r="C32" s="44"/>
      <c r="D32" s="44"/>
      <c r="E32" s="45"/>
      <c r="F32" s="46">
        <f>IF(E32&lt;=([1]PARÁMETROS!$B$4*2),[1]PARÁMETROS!$B$5,0)</f>
        <v>162000</v>
      </c>
      <c r="G32" s="45"/>
      <c r="H32" s="46">
        <f t="shared" si="0"/>
        <v>162000</v>
      </c>
      <c r="I32" s="47" t="str">
        <f t="shared" si="4"/>
        <v/>
      </c>
      <c r="J32" s="46" t="e">
        <f>IF(H32="","",H32*I32/[1]PARÁMETROS!$B$10)</f>
        <v>#VALUE!</v>
      </c>
      <c r="K32" s="46" t="e">
        <f>IF(J32="","",J32*[1]PARÁMETROS!$B$7)</f>
        <v>#VALUE!</v>
      </c>
      <c r="L32" s="46" t="e">
        <f>IF(H32="","",H32*I32/[1]PARÁMETROS!$B$10)</f>
        <v>#VALUE!</v>
      </c>
      <c r="M32" s="46" t="str">
        <f t="shared" si="1"/>
        <v/>
      </c>
      <c r="N32" s="48" t="e">
        <f t="shared" si="2"/>
        <v>#VALUE!</v>
      </c>
      <c r="O32" s="45"/>
      <c r="P32" s="49" t="str">
        <f t="shared" si="3"/>
        <v/>
      </c>
      <c r="Q32" s="44"/>
    </row>
    <row r="33" spans="1:17" x14ac:dyDescent="0.3">
      <c r="A33" s="40">
        <v>17</v>
      </c>
      <c r="B33" s="44"/>
      <c r="C33" s="44"/>
      <c r="D33" s="44"/>
      <c r="E33" s="45"/>
      <c r="F33" s="46">
        <f>IF(E33&lt;=([1]PARÁMETROS!$B$4*2),[1]PARÁMETROS!$B$5,0)</f>
        <v>162000</v>
      </c>
      <c r="G33" s="45"/>
      <c r="H33" s="46">
        <f t="shared" si="0"/>
        <v>162000</v>
      </c>
      <c r="I33" s="47" t="str">
        <f t="shared" si="4"/>
        <v/>
      </c>
      <c r="J33" s="46" t="e">
        <f>IF(H33="","",H33*I33/[1]PARÁMETROS!$B$10)</f>
        <v>#VALUE!</v>
      </c>
      <c r="K33" s="46" t="e">
        <f>IF(J33="","",J33*[1]PARÁMETROS!$B$7)</f>
        <v>#VALUE!</v>
      </c>
      <c r="L33" s="46" t="e">
        <f>IF(H33="","",H33*I33/[1]PARÁMETROS!$B$10)</f>
        <v>#VALUE!</v>
      </c>
      <c r="M33" s="46" t="str">
        <f t="shared" si="1"/>
        <v/>
      </c>
      <c r="N33" s="48" t="e">
        <f t="shared" si="2"/>
        <v>#VALUE!</v>
      </c>
      <c r="O33" s="45"/>
      <c r="P33" s="49" t="str">
        <f t="shared" si="3"/>
        <v/>
      </c>
      <c r="Q33" s="44"/>
    </row>
    <row r="34" spans="1:17" x14ac:dyDescent="0.3">
      <c r="A34" s="40">
        <v>18</v>
      </c>
      <c r="B34" s="44"/>
      <c r="C34" s="44"/>
      <c r="D34" s="44"/>
      <c r="E34" s="45"/>
      <c r="F34" s="46">
        <f>IF(E34&lt;=([1]PARÁMETROS!$B$4*2),[1]PARÁMETROS!$B$5,0)</f>
        <v>162000</v>
      </c>
      <c r="G34" s="45"/>
      <c r="H34" s="46">
        <f t="shared" si="0"/>
        <v>162000</v>
      </c>
      <c r="I34" s="47" t="str">
        <f t="shared" si="4"/>
        <v/>
      </c>
      <c r="J34" s="46" t="e">
        <f>IF(H34="","",H34*I34/[1]PARÁMETROS!$B$10)</f>
        <v>#VALUE!</v>
      </c>
      <c r="K34" s="46" t="e">
        <f>IF(J34="","",J34*[1]PARÁMETROS!$B$7)</f>
        <v>#VALUE!</v>
      </c>
      <c r="L34" s="46" t="e">
        <f>IF(H34="","",H34*I34/[1]PARÁMETROS!$B$10)</f>
        <v>#VALUE!</v>
      </c>
      <c r="M34" s="46" t="str">
        <f t="shared" si="1"/>
        <v/>
      </c>
      <c r="N34" s="48" t="e">
        <f t="shared" si="2"/>
        <v>#VALUE!</v>
      </c>
      <c r="O34" s="45"/>
      <c r="P34" s="49" t="str">
        <f t="shared" si="3"/>
        <v/>
      </c>
      <c r="Q34" s="44"/>
    </row>
    <row r="35" spans="1:17" x14ac:dyDescent="0.3">
      <c r="A35" s="40">
        <v>19</v>
      </c>
      <c r="B35" s="44"/>
      <c r="C35" s="44"/>
      <c r="D35" s="44"/>
      <c r="E35" s="45"/>
      <c r="F35" s="46">
        <f>IF(E35&lt;=([1]PARÁMETROS!$B$4*2),[1]PARÁMETROS!$B$5,0)</f>
        <v>162000</v>
      </c>
      <c r="G35" s="45"/>
      <c r="H35" s="46">
        <f t="shared" si="0"/>
        <v>162000</v>
      </c>
      <c r="I35" s="47" t="str">
        <f t="shared" si="4"/>
        <v/>
      </c>
      <c r="J35" s="46" t="e">
        <f>IF(H35="","",H35*I35/[1]PARÁMETROS!$B$10)</f>
        <v>#VALUE!</v>
      </c>
      <c r="K35" s="46" t="e">
        <f>IF(J35="","",J35*[1]PARÁMETROS!$B$7)</f>
        <v>#VALUE!</v>
      </c>
      <c r="L35" s="46" t="e">
        <f>IF(H35="","",H35*I35/[1]PARÁMETROS!$B$10)</f>
        <v>#VALUE!</v>
      </c>
      <c r="M35" s="46" t="str">
        <f t="shared" si="1"/>
        <v/>
      </c>
      <c r="N35" s="48" t="e">
        <f t="shared" si="2"/>
        <v>#VALUE!</v>
      </c>
      <c r="O35" s="45"/>
      <c r="P35" s="49" t="str">
        <f t="shared" si="3"/>
        <v/>
      </c>
      <c r="Q35" s="44"/>
    </row>
    <row r="36" spans="1:17" x14ac:dyDescent="0.3">
      <c r="A36" s="40">
        <v>20</v>
      </c>
      <c r="B36" s="44"/>
      <c r="C36" s="44"/>
      <c r="D36" s="44"/>
      <c r="E36" s="45"/>
      <c r="F36" s="46">
        <f>IF(E36&lt;=([1]PARÁMETROS!$B$4*2),[1]PARÁMETROS!$B$5,0)</f>
        <v>162000</v>
      </c>
      <c r="G36" s="45"/>
      <c r="H36" s="46">
        <f t="shared" si="0"/>
        <v>162000</v>
      </c>
      <c r="I36" s="47" t="str">
        <f t="shared" si="4"/>
        <v/>
      </c>
      <c r="J36" s="46" t="e">
        <f>IF(H36="","",H36*I36/[1]PARÁMETROS!$B$10)</f>
        <v>#VALUE!</v>
      </c>
      <c r="K36" s="46" t="e">
        <f>IF(J36="","",J36*[1]PARÁMETROS!$B$7)</f>
        <v>#VALUE!</v>
      </c>
      <c r="L36" s="46" t="e">
        <f>IF(H36="","",H36*I36/[1]PARÁMETROS!$B$10)</f>
        <v>#VALUE!</v>
      </c>
      <c r="M36" s="46" t="str">
        <f t="shared" si="1"/>
        <v/>
      </c>
      <c r="N36" s="48" t="e">
        <f t="shared" si="2"/>
        <v>#VALUE!</v>
      </c>
      <c r="O36" s="45"/>
      <c r="P36" s="49" t="str">
        <f t="shared" si="3"/>
        <v/>
      </c>
      <c r="Q36" s="44"/>
    </row>
    <row r="37" spans="1:17" x14ac:dyDescent="0.3">
      <c r="A37" s="75" t="s">
        <v>178</v>
      </c>
      <c r="B37" s="64"/>
      <c r="C37" s="64"/>
      <c r="D37" s="64"/>
      <c r="E37" s="50">
        <f>SUM(E17:E36)</f>
        <v>100</v>
      </c>
      <c r="F37" s="50">
        <f>SUM(F17:F36)</f>
        <v>3240000</v>
      </c>
      <c r="G37" s="50">
        <f>SUM(G17:G36)</f>
        <v>0</v>
      </c>
      <c r="H37" s="50">
        <f>SUM(H17:H36)</f>
        <v>3240100</v>
      </c>
      <c r="J37" s="50" t="e">
        <f t="shared" ref="J37:O37" si="5">SUM(J17:J36)</f>
        <v>#VALUE!</v>
      </c>
      <c r="K37" s="50" t="e">
        <f t="shared" si="5"/>
        <v>#VALUE!</v>
      </c>
      <c r="L37" s="50" t="e">
        <f t="shared" si="5"/>
        <v>#VALUE!</v>
      </c>
      <c r="M37" s="50">
        <f t="shared" si="5"/>
        <v>5.6944444444444446</v>
      </c>
      <c r="N37" s="50" t="e">
        <f t="shared" si="5"/>
        <v>#VALUE!</v>
      </c>
      <c r="O37" s="50">
        <f t="shared" si="5"/>
        <v>0</v>
      </c>
    </row>
    <row r="40" spans="1:17" x14ac:dyDescent="0.3">
      <c r="A40" s="76" t="s">
        <v>263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</row>
    <row r="41" spans="1:17" x14ac:dyDescent="0.3">
      <c r="A41" s="51" t="s">
        <v>264</v>
      </c>
      <c r="B41" s="77" t="s">
        <v>265</v>
      </c>
      <c r="C41" s="78"/>
      <c r="D41" s="77" t="s">
        <v>266</v>
      </c>
      <c r="E41" s="79"/>
      <c r="F41" s="78"/>
    </row>
    <row r="42" spans="1:17" x14ac:dyDescent="0.3">
      <c r="A42" s="52" t="s">
        <v>255</v>
      </c>
      <c r="B42" s="74" t="e">
        <f>(Salario Base * Días Trabajados) / 360</f>
        <v>#NAME?</v>
      </c>
      <c r="C42" s="64"/>
      <c r="D42" s="74" t="s">
        <v>267</v>
      </c>
      <c r="E42" s="64"/>
      <c r="F42" s="64"/>
    </row>
    <row r="43" spans="1:17" x14ac:dyDescent="0.3">
      <c r="A43" s="52" t="s">
        <v>268</v>
      </c>
      <c r="B43" s="74"/>
      <c r="C43" s="64"/>
      <c r="D43" s="74" t="s">
        <v>269</v>
      </c>
      <c r="E43" s="64"/>
      <c r="F43" s="64"/>
    </row>
    <row r="44" spans="1:17" x14ac:dyDescent="0.3">
      <c r="A44" s="52" t="s">
        <v>270</v>
      </c>
      <c r="B44" s="74" t="e">
        <f>(Salario Base * Días Trabajados) / 360</f>
        <v>#NAME?</v>
      </c>
      <c r="C44" s="64"/>
      <c r="D44" s="74" t="s">
        <v>271</v>
      </c>
      <c r="E44" s="64"/>
      <c r="F44" s="64"/>
    </row>
    <row r="45" spans="1:17" x14ac:dyDescent="0.3">
      <c r="A45" s="52" t="s">
        <v>258</v>
      </c>
      <c r="B45" s="74" t="e">
        <f>(Salario Básico * Días Trabajados) / 720</f>
        <v>#NAME?</v>
      </c>
      <c r="C45" s="64"/>
      <c r="D45" s="74" t="s">
        <v>272</v>
      </c>
      <c r="E45" s="64"/>
      <c r="F45" s="64"/>
    </row>
    <row r="46" spans="1:17" x14ac:dyDescent="0.3">
      <c r="A46" s="52" t="s">
        <v>273</v>
      </c>
      <c r="B46" s="74"/>
      <c r="C46" s="64"/>
      <c r="D46" s="74" t="s">
        <v>274</v>
      </c>
      <c r="E46" s="64"/>
      <c r="F46" s="64"/>
    </row>
    <row r="48" spans="1:17" x14ac:dyDescent="0.3">
      <c r="A48" s="7" t="s">
        <v>275</v>
      </c>
    </row>
    <row r="49" spans="1:17" x14ac:dyDescent="0.3">
      <c r="A49" s="73" t="s">
        <v>276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</row>
    <row r="50" spans="1:17" x14ac:dyDescent="0.3">
      <c r="A50" s="73" t="s">
        <v>277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</row>
    <row r="51" spans="1:17" x14ac:dyDescent="0.3">
      <c r="A51" s="73" t="s">
        <v>278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</row>
    <row r="52" spans="1:17" x14ac:dyDescent="0.3">
      <c r="A52" s="73" t="s">
        <v>279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</row>
    <row r="53" spans="1:17" x14ac:dyDescent="0.3">
      <c r="A53" s="73" t="s">
        <v>280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</row>
    <row r="54" spans="1:17" x14ac:dyDescent="0.3">
      <c r="A54" s="73" t="s">
        <v>281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</row>
    <row r="61" spans="1:17" x14ac:dyDescent="0.3">
      <c r="A61" s="30" t="s">
        <v>88</v>
      </c>
      <c r="B61" s="5"/>
      <c r="C61" s="5"/>
      <c r="J61" s="30" t="s">
        <v>89</v>
      </c>
      <c r="K61" s="5"/>
      <c r="L61" s="5"/>
    </row>
    <row r="62" spans="1:17" x14ac:dyDescent="0.3">
      <c r="A62" s="16" t="s">
        <v>90</v>
      </c>
      <c r="J62" s="16" t="s">
        <v>90</v>
      </c>
    </row>
    <row r="77" spans="1:1" x14ac:dyDescent="0.3">
      <c r="A77" s="22" t="str">
        <f>HYPERLINK("#'INDICE'!A67","&lt;&lt; Volver al Indice")</f>
        <v>&lt;&lt; Volver al Indice</v>
      </c>
    </row>
  </sheetData>
  <mergeCells count="26">
    <mergeCell ref="A10:Q10"/>
    <mergeCell ref="A11:Q11"/>
    <mergeCell ref="B13:E13"/>
    <mergeCell ref="G13:I13"/>
    <mergeCell ref="K13:L13"/>
    <mergeCell ref="N13:Q13"/>
    <mergeCell ref="A37:D37"/>
    <mergeCell ref="A40:Q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A52:Q52"/>
    <mergeCell ref="A53:Q53"/>
    <mergeCell ref="A54:Q54"/>
    <mergeCell ref="B46:C46"/>
    <mergeCell ref="D46:F46"/>
    <mergeCell ref="A49:Q49"/>
    <mergeCell ref="A50:Q50"/>
    <mergeCell ref="A51:Q51"/>
  </mergeCells>
  <hyperlinks>
    <hyperlink ref="A1" location="ÍNDICE!A1" display="&lt;&lt; Volver al Índice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71"/>
  <sheetViews>
    <sheetView workbookViewId="0">
      <selection activeCell="A7" sqref="A7:I7"/>
    </sheetView>
  </sheetViews>
  <sheetFormatPr baseColWidth="10" defaultColWidth="9.109375" defaultRowHeight="15.05" x14ac:dyDescent="0.3"/>
  <cols>
    <col min="2" max="2" width="28.6640625" customWidth="1"/>
    <col min="3" max="3" width="15.6640625" customWidth="1"/>
    <col min="4" max="4" width="22" customWidth="1"/>
    <col min="5" max="13" width="15.6640625" customWidth="1"/>
    <col min="14" max="14" width="18.6640625" customWidth="1"/>
    <col min="15" max="15" width="10.6640625" customWidth="1"/>
    <col min="20" max="20" width="17.33203125" customWidth="1"/>
    <col min="21" max="21" width="12.6640625" customWidth="1"/>
  </cols>
  <sheetData>
    <row r="1" spans="1:21" x14ac:dyDescent="0.3">
      <c r="A1" s="12" t="s">
        <v>83</v>
      </c>
    </row>
    <row r="3" spans="1:21" ht="21.8" customHeight="1" x14ac:dyDescent="0.3">
      <c r="G3" s="13" t="s">
        <v>397</v>
      </c>
      <c r="U3" s="29" t="s">
        <v>29</v>
      </c>
    </row>
    <row r="4" spans="1:21" x14ac:dyDescent="0.3">
      <c r="G4" s="13" t="s">
        <v>398</v>
      </c>
    </row>
    <row r="5" spans="1:21" x14ac:dyDescent="0.3">
      <c r="G5" s="13" t="s">
        <v>399</v>
      </c>
      <c r="T5" s="2" t="s">
        <v>84</v>
      </c>
      <c r="U5" s="2"/>
    </row>
    <row r="6" spans="1:21" x14ac:dyDescent="0.3">
      <c r="G6" s="13" t="s">
        <v>400</v>
      </c>
      <c r="T6" s="2" t="s">
        <v>41</v>
      </c>
      <c r="U6" s="2"/>
    </row>
    <row r="7" spans="1:21" ht="17.05" x14ac:dyDescent="0.3">
      <c r="A7" s="80"/>
      <c r="B7" s="80"/>
      <c r="C7" s="80"/>
      <c r="D7" s="80"/>
      <c r="E7" s="80"/>
      <c r="F7" s="80"/>
      <c r="G7" s="80"/>
      <c r="H7" s="80"/>
      <c r="I7" s="80"/>
      <c r="T7" s="2" t="s">
        <v>85</v>
      </c>
      <c r="U7" s="2"/>
    </row>
    <row r="8" spans="1:21" x14ac:dyDescent="0.3">
      <c r="T8" s="2" t="s">
        <v>86</v>
      </c>
      <c r="U8" s="2"/>
    </row>
    <row r="10" spans="1:21" ht="24.75" customHeight="1" x14ac:dyDescent="0.3">
      <c r="A10" s="86" t="s">
        <v>316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</row>
    <row r="11" spans="1:21" x14ac:dyDescent="0.3">
      <c r="A11" s="82" t="s">
        <v>282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</row>
    <row r="13" spans="1:21" x14ac:dyDescent="0.3">
      <c r="A13" s="43" t="s">
        <v>239</v>
      </c>
      <c r="B13" s="88" t="s">
        <v>283</v>
      </c>
      <c r="C13" s="89"/>
      <c r="D13" s="89"/>
      <c r="E13" s="89"/>
      <c r="F13" s="89"/>
      <c r="G13" s="43" t="s">
        <v>241</v>
      </c>
      <c r="H13" s="83" t="s">
        <v>242</v>
      </c>
      <c r="I13" s="64"/>
      <c r="J13" s="64"/>
      <c r="K13" s="43" t="s">
        <v>243</v>
      </c>
      <c r="L13" s="53" t="s">
        <v>244</v>
      </c>
      <c r="M13" s="43" t="s">
        <v>284</v>
      </c>
      <c r="N13" s="83" t="s">
        <v>285</v>
      </c>
      <c r="O13" s="64"/>
      <c r="P13" s="43" t="s">
        <v>286</v>
      </c>
      <c r="Q13" s="83" t="s">
        <v>287</v>
      </c>
      <c r="R13" s="64"/>
      <c r="S13" s="64"/>
    </row>
    <row r="16" spans="1:21" ht="24.9" x14ac:dyDescent="0.3">
      <c r="A16" s="8" t="s">
        <v>57</v>
      </c>
      <c r="B16" s="8" t="s">
        <v>247</v>
      </c>
      <c r="C16" s="8" t="s">
        <v>288</v>
      </c>
      <c r="D16" s="8" t="s">
        <v>289</v>
      </c>
      <c r="E16" s="8" t="s">
        <v>290</v>
      </c>
      <c r="F16" s="8" t="s">
        <v>291</v>
      </c>
      <c r="G16" s="8" t="s">
        <v>292</v>
      </c>
      <c r="H16" s="8" t="s">
        <v>293</v>
      </c>
      <c r="I16" s="8" t="s">
        <v>294</v>
      </c>
      <c r="J16" s="8" t="s">
        <v>255</v>
      </c>
      <c r="K16" s="8" t="s">
        <v>295</v>
      </c>
      <c r="L16" s="8" t="s">
        <v>296</v>
      </c>
      <c r="M16" s="8" t="s">
        <v>258</v>
      </c>
      <c r="N16" s="8" t="s">
        <v>297</v>
      </c>
      <c r="O16" s="8" t="s">
        <v>298</v>
      </c>
      <c r="P16" s="8" t="s">
        <v>260</v>
      </c>
      <c r="Q16" s="8" t="s">
        <v>299</v>
      </c>
      <c r="R16" s="8" t="s">
        <v>261</v>
      </c>
      <c r="S16" s="8" t="s">
        <v>262</v>
      </c>
    </row>
    <row r="17" spans="1:19" x14ac:dyDescent="0.3">
      <c r="A17" s="54">
        <v>1</v>
      </c>
      <c r="B17" s="44" t="s">
        <v>300</v>
      </c>
      <c r="C17" s="44" t="s">
        <v>301</v>
      </c>
      <c r="D17" s="55">
        <v>43480</v>
      </c>
      <c r="E17" s="45">
        <v>2800000</v>
      </c>
      <c r="F17" s="46">
        <f>IF(E17="","",IF(E17&lt;=[2]PARÁMETROS!$B$7,[2]PARÁMETROS!$B$6,0))</f>
        <v>0</v>
      </c>
      <c r="G17" s="45">
        <v>0</v>
      </c>
      <c r="H17" s="46">
        <f t="shared" ref="H17:H41" si="0">IF(E17="","",E17+F17+G17)</f>
        <v>2800000</v>
      </c>
      <c r="I17" s="47">
        <f t="shared" ref="I17:I41" si="1">IF(D17="","",MIN(360,MAX(0,(DATE(2024,12,31)-D17))))</f>
        <v>360</v>
      </c>
      <c r="J17" s="46" t="e">
        <f>IF(H17="","",H17*I17/[2]PARÁMETROS!$B$49)</f>
        <v>#DIV/0!</v>
      </c>
      <c r="K17" s="46" t="e">
        <f>IF(J17="","",J17*[2]PARÁMETROS!$B$12)</f>
        <v>#DIV/0!</v>
      </c>
      <c r="L17" s="46" t="e">
        <f>IF(H17="","",H17*I17/[2]PARÁMETROS!$B$49)</f>
        <v>#DIV/0!</v>
      </c>
      <c r="M17" s="46">
        <f t="shared" ref="M17:M41" si="2">IF(E17="","",E17*I17/720)</f>
        <v>1400000</v>
      </c>
      <c r="N17" s="48" t="e">
        <f t="shared" ref="N17:N41" si="3">IF(J17="","",J17+K17+L17+M17)</f>
        <v>#DIV/0!</v>
      </c>
      <c r="O17" s="45"/>
      <c r="P17" s="46" t="str">
        <f t="shared" ref="P17:P41" si="4">IF(O17="","",N17-O17)</f>
        <v/>
      </c>
      <c r="Q17" s="56" t="str">
        <f t="shared" ref="Q17:Q41" si="5">IF(O17=0,"",P17/O17)</f>
        <v/>
      </c>
      <c r="R17" s="49" t="str">
        <f t="shared" ref="R17:R41" si="6">IF(P17="","",IF(ABS(Q17)&lt;0.05,"✓ OK",IF(ABS(Q17)&lt;0.1,"⚠ REVISAR","❌ CRÍTICO")))</f>
        <v/>
      </c>
      <c r="S17" s="44"/>
    </row>
    <row r="18" spans="1:19" x14ac:dyDescent="0.3">
      <c r="A18" s="54">
        <v>2</v>
      </c>
      <c r="B18" s="44" t="s">
        <v>302</v>
      </c>
      <c r="C18" s="44" t="s">
        <v>303</v>
      </c>
      <c r="D18" s="55">
        <v>43900</v>
      </c>
      <c r="E18" s="45">
        <v>1500000</v>
      </c>
      <c r="F18" s="46">
        <f>IF(E18="","",IF(E18&lt;=[2]PARÁMETROS!$B$7,[2]PARÁMETROS!$B$6,0))</f>
        <v>0</v>
      </c>
      <c r="G18" s="45">
        <v>0</v>
      </c>
      <c r="H18" s="46">
        <f t="shared" si="0"/>
        <v>1500000</v>
      </c>
      <c r="I18" s="47">
        <f t="shared" si="1"/>
        <v>360</v>
      </c>
      <c r="J18" s="46" t="e">
        <f>IF(H18="","",H18*I18/[2]PARÁMETROS!$B$49)</f>
        <v>#DIV/0!</v>
      </c>
      <c r="K18" s="46" t="e">
        <f>IF(J18="","",J18*[2]PARÁMETROS!$B$12)</f>
        <v>#DIV/0!</v>
      </c>
      <c r="L18" s="46" t="e">
        <f>IF(H18="","",H18*I18/[2]PARÁMETROS!$B$49)</f>
        <v>#DIV/0!</v>
      </c>
      <c r="M18" s="46">
        <f t="shared" si="2"/>
        <v>750000</v>
      </c>
      <c r="N18" s="48" t="e">
        <f t="shared" si="3"/>
        <v>#DIV/0!</v>
      </c>
      <c r="O18" s="45"/>
      <c r="P18" s="46" t="str">
        <f t="shared" si="4"/>
        <v/>
      </c>
      <c r="Q18" s="56" t="str">
        <f t="shared" si="5"/>
        <v/>
      </c>
      <c r="R18" s="49" t="str">
        <f t="shared" si="6"/>
        <v/>
      </c>
      <c r="S18" s="44"/>
    </row>
    <row r="19" spans="1:19" x14ac:dyDescent="0.3">
      <c r="A19" s="54">
        <v>3</v>
      </c>
      <c r="B19" s="44" t="s">
        <v>304</v>
      </c>
      <c r="C19" s="44" t="s">
        <v>305</v>
      </c>
      <c r="D19" s="55">
        <v>43301</v>
      </c>
      <c r="E19" s="45">
        <v>4200000</v>
      </c>
      <c r="F19" s="46">
        <f>IF(E19="","",IF(E19&lt;=[2]PARÁMETROS!$B$7,[2]PARÁMETROS!$B$6,0))</f>
        <v>0</v>
      </c>
      <c r="G19" s="45">
        <v>0</v>
      </c>
      <c r="H19" s="46">
        <f t="shared" si="0"/>
        <v>4200000</v>
      </c>
      <c r="I19" s="47">
        <f t="shared" si="1"/>
        <v>360</v>
      </c>
      <c r="J19" s="46" t="e">
        <f>IF(H19="","",H19*I19/[2]PARÁMETROS!$B$49)</f>
        <v>#DIV/0!</v>
      </c>
      <c r="K19" s="46" t="e">
        <f>IF(J19="","",J19*[2]PARÁMETROS!$B$12)</f>
        <v>#DIV/0!</v>
      </c>
      <c r="L19" s="46" t="e">
        <f>IF(H19="","",H19*I19/[2]PARÁMETROS!$B$49)</f>
        <v>#DIV/0!</v>
      </c>
      <c r="M19" s="46">
        <f t="shared" si="2"/>
        <v>2100000</v>
      </c>
      <c r="N19" s="48" t="e">
        <f t="shared" si="3"/>
        <v>#DIV/0!</v>
      </c>
      <c r="O19" s="45"/>
      <c r="P19" s="46" t="str">
        <f t="shared" si="4"/>
        <v/>
      </c>
      <c r="Q19" s="56" t="str">
        <f t="shared" si="5"/>
        <v/>
      </c>
      <c r="R19" s="49" t="str">
        <f t="shared" si="6"/>
        <v/>
      </c>
      <c r="S19" s="44"/>
    </row>
    <row r="20" spans="1:19" x14ac:dyDescent="0.3">
      <c r="A20" s="54">
        <v>4</v>
      </c>
      <c r="B20" s="44" t="s">
        <v>306</v>
      </c>
      <c r="C20" s="44" t="s">
        <v>307</v>
      </c>
      <c r="D20" s="55">
        <v>44317</v>
      </c>
      <c r="E20" s="45">
        <v>1800000</v>
      </c>
      <c r="F20" s="46">
        <f>IF(E20="","",IF(E20&lt;=[2]PARÁMETROS!$B$7,[2]PARÁMETROS!$B$6,0))</f>
        <v>0</v>
      </c>
      <c r="G20" s="45">
        <v>0</v>
      </c>
      <c r="H20" s="46">
        <f t="shared" si="0"/>
        <v>1800000</v>
      </c>
      <c r="I20" s="47">
        <f t="shared" si="1"/>
        <v>360</v>
      </c>
      <c r="J20" s="46" t="e">
        <f>IF(H20="","",H20*I20/[2]PARÁMETROS!$B$49)</f>
        <v>#DIV/0!</v>
      </c>
      <c r="K20" s="46" t="e">
        <f>IF(J20="","",J20*[2]PARÁMETROS!$B$12)</f>
        <v>#DIV/0!</v>
      </c>
      <c r="L20" s="46" t="e">
        <f>IF(H20="","",H20*I20/[2]PARÁMETROS!$B$49)</f>
        <v>#DIV/0!</v>
      </c>
      <c r="M20" s="46">
        <f t="shared" si="2"/>
        <v>900000</v>
      </c>
      <c r="N20" s="48" t="e">
        <f t="shared" si="3"/>
        <v>#DIV/0!</v>
      </c>
      <c r="O20" s="45"/>
      <c r="P20" s="46" t="str">
        <f t="shared" si="4"/>
        <v/>
      </c>
      <c r="Q20" s="56" t="str">
        <f t="shared" si="5"/>
        <v/>
      </c>
      <c r="R20" s="49" t="str">
        <f t="shared" si="6"/>
        <v/>
      </c>
      <c r="S20" s="44"/>
    </row>
    <row r="21" spans="1:19" x14ac:dyDescent="0.3">
      <c r="A21" s="54">
        <v>5</v>
      </c>
      <c r="B21" s="44" t="s">
        <v>308</v>
      </c>
      <c r="C21" s="44" t="s">
        <v>309</v>
      </c>
      <c r="D21" s="55">
        <v>44819</v>
      </c>
      <c r="E21" s="45">
        <v>3500000</v>
      </c>
      <c r="F21" s="46">
        <f>IF(E21="","",IF(E21&lt;=[2]PARÁMETROS!$B$7,[2]PARÁMETROS!$B$6,0))</f>
        <v>0</v>
      </c>
      <c r="G21" s="45">
        <v>0</v>
      </c>
      <c r="H21" s="46">
        <f t="shared" si="0"/>
        <v>3500000</v>
      </c>
      <c r="I21" s="47">
        <f t="shared" si="1"/>
        <v>360</v>
      </c>
      <c r="J21" s="46" t="e">
        <f>IF(H21="","",H21*I21/[2]PARÁMETROS!$B$49)</f>
        <v>#DIV/0!</v>
      </c>
      <c r="K21" s="46" t="e">
        <f>IF(J21="","",J21*[2]PARÁMETROS!$B$12)</f>
        <v>#DIV/0!</v>
      </c>
      <c r="L21" s="46" t="e">
        <f>IF(H21="","",H21*I21/[2]PARÁMETROS!$B$49)</f>
        <v>#DIV/0!</v>
      </c>
      <c r="M21" s="46">
        <f t="shared" si="2"/>
        <v>1750000</v>
      </c>
      <c r="N21" s="48" t="e">
        <f t="shared" si="3"/>
        <v>#DIV/0!</v>
      </c>
      <c r="O21" s="45"/>
      <c r="P21" s="46" t="str">
        <f t="shared" si="4"/>
        <v/>
      </c>
      <c r="Q21" s="56" t="str">
        <f t="shared" si="5"/>
        <v/>
      </c>
      <c r="R21" s="49" t="str">
        <f t="shared" si="6"/>
        <v/>
      </c>
      <c r="S21" s="44"/>
    </row>
    <row r="22" spans="1:19" x14ac:dyDescent="0.3">
      <c r="A22" s="54">
        <v>6</v>
      </c>
      <c r="B22" s="44" t="s">
        <v>310</v>
      </c>
      <c r="C22" s="44" t="s">
        <v>311</v>
      </c>
      <c r="D22" s="55">
        <v>43064</v>
      </c>
      <c r="E22" s="45">
        <v>5000000</v>
      </c>
      <c r="F22" s="46">
        <f>IF(E22="","",IF(E22&lt;=[2]PARÁMETROS!$B$7,[2]PARÁMETROS!$B$6,0))</f>
        <v>0</v>
      </c>
      <c r="G22" s="45">
        <v>0</v>
      </c>
      <c r="H22" s="46">
        <f t="shared" si="0"/>
        <v>5000000</v>
      </c>
      <c r="I22" s="47">
        <f t="shared" si="1"/>
        <v>360</v>
      </c>
      <c r="J22" s="46" t="e">
        <f>IF(H22="","",H22*I22/[2]PARÁMETROS!$B$49)</f>
        <v>#DIV/0!</v>
      </c>
      <c r="K22" s="46" t="e">
        <f>IF(J22="","",J22*[2]PARÁMETROS!$B$12)</f>
        <v>#DIV/0!</v>
      </c>
      <c r="L22" s="46" t="e">
        <f>IF(H22="","",H22*I22/[2]PARÁMETROS!$B$49)</f>
        <v>#DIV/0!</v>
      </c>
      <c r="M22" s="46">
        <f t="shared" si="2"/>
        <v>2500000</v>
      </c>
      <c r="N22" s="48" t="e">
        <f t="shared" si="3"/>
        <v>#DIV/0!</v>
      </c>
      <c r="O22" s="45"/>
      <c r="P22" s="46" t="str">
        <f t="shared" si="4"/>
        <v/>
      </c>
      <c r="Q22" s="56" t="str">
        <f t="shared" si="5"/>
        <v/>
      </c>
      <c r="R22" s="49" t="str">
        <f t="shared" si="6"/>
        <v/>
      </c>
      <c r="S22" s="44"/>
    </row>
    <row r="23" spans="1:19" x14ac:dyDescent="0.3">
      <c r="A23" s="54">
        <v>7</v>
      </c>
      <c r="B23" s="44" t="s">
        <v>312</v>
      </c>
      <c r="C23" s="44" t="s">
        <v>313</v>
      </c>
      <c r="D23" s="55">
        <v>43875</v>
      </c>
      <c r="E23" s="45">
        <v>2200000</v>
      </c>
      <c r="F23" s="46">
        <f>IF(E23="","",IF(E23&lt;=[2]PARÁMETROS!$B$7,[2]PARÁMETROS!$B$6,0))</f>
        <v>0</v>
      </c>
      <c r="G23" s="45">
        <v>0</v>
      </c>
      <c r="H23" s="46">
        <f t="shared" si="0"/>
        <v>2200000</v>
      </c>
      <c r="I23" s="47">
        <f t="shared" si="1"/>
        <v>360</v>
      </c>
      <c r="J23" s="46" t="e">
        <f>IF(H23="","",H23*I23/[2]PARÁMETROS!$B$49)</f>
        <v>#DIV/0!</v>
      </c>
      <c r="K23" s="46" t="e">
        <f>IF(J23="","",J23*[2]PARÁMETROS!$B$12)</f>
        <v>#DIV/0!</v>
      </c>
      <c r="L23" s="46" t="e">
        <f>IF(H23="","",H23*I23/[2]PARÁMETROS!$B$49)</f>
        <v>#DIV/0!</v>
      </c>
      <c r="M23" s="46">
        <f t="shared" si="2"/>
        <v>1100000</v>
      </c>
      <c r="N23" s="48" t="e">
        <f t="shared" si="3"/>
        <v>#DIV/0!</v>
      </c>
      <c r="O23" s="45"/>
      <c r="P23" s="46" t="str">
        <f t="shared" si="4"/>
        <v/>
      </c>
      <c r="Q23" s="56" t="str">
        <f t="shared" si="5"/>
        <v/>
      </c>
      <c r="R23" s="49" t="str">
        <f t="shared" si="6"/>
        <v/>
      </c>
      <c r="S23" s="44"/>
    </row>
    <row r="24" spans="1:19" x14ac:dyDescent="0.3">
      <c r="A24" s="54">
        <v>8</v>
      </c>
      <c r="B24" s="44" t="s">
        <v>314</v>
      </c>
      <c r="C24" s="44" t="s">
        <v>315</v>
      </c>
      <c r="D24" s="55">
        <v>43646</v>
      </c>
      <c r="E24" s="45">
        <v>3800000</v>
      </c>
      <c r="F24" s="46">
        <f>IF(E24="","",IF(E24&lt;=[2]PARÁMETROS!$B$7,[2]PARÁMETROS!$B$6,0))</f>
        <v>0</v>
      </c>
      <c r="G24" s="45">
        <v>0</v>
      </c>
      <c r="H24" s="46">
        <f t="shared" si="0"/>
        <v>3800000</v>
      </c>
      <c r="I24" s="47">
        <f t="shared" si="1"/>
        <v>360</v>
      </c>
      <c r="J24" s="46" t="e">
        <f>IF(H24="","",H24*I24/[2]PARÁMETROS!$B$49)</f>
        <v>#DIV/0!</v>
      </c>
      <c r="K24" s="46" t="e">
        <f>IF(J24="","",J24*[2]PARÁMETROS!$B$12)</f>
        <v>#DIV/0!</v>
      </c>
      <c r="L24" s="46" t="e">
        <f>IF(H24="","",H24*I24/[2]PARÁMETROS!$B$49)</f>
        <v>#DIV/0!</v>
      </c>
      <c r="M24" s="46">
        <f t="shared" si="2"/>
        <v>1900000</v>
      </c>
      <c r="N24" s="48" t="e">
        <f t="shared" si="3"/>
        <v>#DIV/0!</v>
      </c>
      <c r="O24" s="45"/>
      <c r="P24" s="46" t="str">
        <f t="shared" si="4"/>
        <v/>
      </c>
      <c r="Q24" s="56" t="str">
        <f t="shared" si="5"/>
        <v/>
      </c>
      <c r="R24" s="49" t="str">
        <f t="shared" si="6"/>
        <v/>
      </c>
      <c r="S24" s="44"/>
    </row>
    <row r="25" spans="1:19" x14ac:dyDescent="0.3">
      <c r="A25" s="54">
        <v>9</v>
      </c>
      <c r="B25" s="44"/>
      <c r="C25" s="44"/>
      <c r="D25" s="44"/>
      <c r="E25" s="45"/>
      <c r="F25" s="46" t="str">
        <f>IF(E25="","",IF(E25&lt;=[2]PARÁMETROS!$B$7,[2]PARÁMETROS!$B$6,0))</f>
        <v/>
      </c>
      <c r="G25" s="45">
        <v>0</v>
      </c>
      <c r="H25" s="46" t="str">
        <f t="shared" si="0"/>
        <v/>
      </c>
      <c r="I25" s="47" t="str">
        <f t="shared" si="1"/>
        <v/>
      </c>
      <c r="J25" s="46" t="str">
        <f>IF(H25="","",H25*I25/[2]PARÁMETROS!$B$49)</f>
        <v/>
      </c>
      <c r="K25" s="46" t="str">
        <f>IF(J25="","",J25*[2]PARÁMETROS!$B$12)</f>
        <v/>
      </c>
      <c r="L25" s="46" t="str">
        <f>IF(H25="","",H25*I25/[2]PARÁMETROS!$B$49)</f>
        <v/>
      </c>
      <c r="M25" s="46" t="str">
        <f t="shared" si="2"/>
        <v/>
      </c>
      <c r="N25" s="48" t="str">
        <f t="shared" si="3"/>
        <v/>
      </c>
      <c r="O25" s="45"/>
      <c r="P25" s="46" t="str">
        <f t="shared" si="4"/>
        <v/>
      </c>
      <c r="Q25" s="56" t="str">
        <f t="shared" si="5"/>
        <v/>
      </c>
      <c r="R25" s="49" t="str">
        <f t="shared" si="6"/>
        <v/>
      </c>
      <c r="S25" s="44"/>
    </row>
    <row r="26" spans="1:19" x14ac:dyDescent="0.3">
      <c r="A26" s="54">
        <v>10</v>
      </c>
      <c r="B26" s="44"/>
      <c r="C26" s="44"/>
      <c r="D26" s="44"/>
      <c r="E26" s="45"/>
      <c r="F26" s="46" t="str">
        <f>IF(E26="","",IF(E26&lt;=[2]PARÁMETROS!$B$7,[2]PARÁMETROS!$B$6,0))</f>
        <v/>
      </c>
      <c r="G26" s="45">
        <v>0</v>
      </c>
      <c r="H26" s="46" t="str">
        <f t="shared" si="0"/>
        <v/>
      </c>
      <c r="I26" s="47" t="str">
        <f t="shared" si="1"/>
        <v/>
      </c>
      <c r="J26" s="46" t="str">
        <f>IF(H26="","",H26*I26/[2]PARÁMETROS!$B$49)</f>
        <v/>
      </c>
      <c r="K26" s="46" t="str">
        <f>IF(J26="","",J26*[2]PARÁMETROS!$B$12)</f>
        <v/>
      </c>
      <c r="L26" s="46" t="str">
        <f>IF(H26="","",H26*I26/[2]PARÁMETROS!$B$49)</f>
        <v/>
      </c>
      <c r="M26" s="46" t="str">
        <f t="shared" si="2"/>
        <v/>
      </c>
      <c r="N26" s="48" t="str">
        <f t="shared" si="3"/>
        <v/>
      </c>
      <c r="O26" s="45"/>
      <c r="P26" s="46" t="str">
        <f t="shared" si="4"/>
        <v/>
      </c>
      <c r="Q26" s="56" t="str">
        <f t="shared" si="5"/>
        <v/>
      </c>
      <c r="R26" s="49" t="str">
        <f t="shared" si="6"/>
        <v/>
      </c>
      <c r="S26" s="44"/>
    </row>
    <row r="27" spans="1:19" x14ac:dyDescent="0.3">
      <c r="A27" s="54">
        <v>11</v>
      </c>
      <c r="B27" s="44"/>
      <c r="C27" s="44"/>
      <c r="D27" s="44"/>
      <c r="E27" s="45"/>
      <c r="F27" s="46" t="str">
        <f>IF(E27="","",IF(E27&lt;=[2]PARÁMETROS!$B$7,[2]PARÁMETROS!$B$6,0))</f>
        <v/>
      </c>
      <c r="G27" s="45">
        <v>0</v>
      </c>
      <c r="H27" s="46" t="str">
        <f t="shared" si="0"/>
        <v/>
      </c>
      <c r="I27" s="47" t="str">
        <f t="shared" si="1"/>
        <v/>
      </c>
      <c r="J27" s="46" t="str">
        <f>IF(H27="","",H27*I27/[2]PARÁMETROS!$B$49)</f>
        <v/>
      </c>
      <c r="K27" s="46" t="str">
        <f>IF(J27="","",J27*[2]PARÁMETROS!$B$12)</f>
        <v/>
      </c>
      <c r="L27" s="46" t="str">
        <f>IF(H27="","",H27*I27/[2]PARÁMETROS!$B$49)</f>
        <v/>
      </c>
      <c r="M27" s="46" t="str">
        <f t="shared" si="2"/>
        <v/>
      </c>
      <c r="N27" s="48" t="str">
        <f t="shared" si="3"/>
        <v/>
      </c>
      <c r="O27" s="45"/>
      <c r="P27" s="46" t="str">
        <f t="shared" si="4"/>
        <v/>
      </c>
      <c r="Q27" s="56" t="str">
        <f t="shared" si="5"/>
        <v/>
      </c>
      <c r="R27" s="49" t="str">
        <f t="shared" si="6"/>
        <v/>
      </c>
      <c r="S27" s="44"/>
    </row>
    <row r="28" spans="1:19" x14ac:dyDescent="0.3">
      <c r="A28" s="54">
        <v>12</v>
      </c>
      <c r="B28" s="44"/>
      <c r="C28" s="44"/>
      <c r="D28" s="44"/>
      <c r="E28" s="45"/>
      <c r="F28" s="46" t="str">
        <f>IF(E28="","",IF(E28&lt;=[2]PARÁMETROS!$B$7,[2]PARÁMETROS!$B$6,0))</f>
        <v/>
      </c>
      <c r="G28" s="45">
        <v>0</v>
      </c>
      <c r="H28" s="46" t="str">
        <f t="shared" si="0"/>
        <v/>
      </c>
      <c r="I28" s="47" t="str">
        <f t="shared" si="1"/>
        <v/>
      </c>
      <c r="J28" s="46" t="str">
        <f>IF(H28="","",H28*I28/[2]PARÁMETROS!$B$49)</f>
        <v/>
      </c>
      <c r="K28" s="46" t="str">
        <f>IF(J28="","",J28*[2]PARÁMETROS!$B$12)</f>
        <v/>
      </c>
      <c r="L28" s="46" t="str">
        <f>IF(H28="","",H28*I28/[2]PARÁMETROS!$B$49)</f>
        <v/>
      </c>
      <c r="M28" s="46" t="str">
        <f t="shared" si="2"/>
        <v/>
      </c>
      <c r="N28" s="48" t="str">
        <f t="shared" si="3"/>
        <v/>
      </c>
      <c r="O28" s="45"/>
      <c r="P28" s="46" t="str">
        <f t="shared" si="4"/>
        <v/>
      </c>
      <c r="Q28" s="56" t="str">
        <f t="shared" si="5"/>
        <v/>
      </c>
      <c r="R28" s="49" t="str">
        <f t="shared" si="6"/>
        <v/>
      </c>
      <c r="S28" s="44"/>
    </row>
    <row r="29" spans="1:19" x14ac:dyDescent="0.3">
      <c r="A29" s="54">
        <v>13</v>
      </c>
      <c r="B29" s="44"/>
      <c r="C29" s="44"/>
      <c r="D29" s="44"/>
      <c r="E29" s="45"/>
      <c r="F29" s="46" t="str">
        <f>IF(E29="","",IF(E29&lt;=[2]PARÁMETROS!$B$7,[2]PARÁMETROS!$B$6,0))</f>
        <v/>
      </c>
      <c r="G29" s="45">
        <v>0</v>
      </c>
      <c r="H29" s="46" t="str">
        <f t="shared" si="0"/>
        <v/>
      </c>
      <c r="I29" s="47" t="str">
        <f t="shared" si="1"/>
        <v/>
      </c>
      <c r="J29" s="46" t="str">
        <f>IF(H29="","",H29*I29/[2]PARÁMETROS!$B$49)</f>
        <v/>
      </c>
      <c r="K29" s="46" t="str">
        <f>IF(J29="","",J29*[2]PARÁMETROS!$B$12)</f>
        <v/>
      </c>
      <c r="L29" s="46" t="str">
        <f>IF(H29="","",H29*I29/[2]PARÁMETROS!$B$49)</f>
        <v/>
      </c>
      <c r="M29" s="46" t="str">
        <f t="shared" si="2"/>
        <v/>
      </c>
      <c r="N29" s="48" t="str">
        <f t="shared" si="3"/>
        <v/>
      </c>
      <c r="O29" s="45"/>
      <c r="P29" s="46" t="str">
        <f t="shared" si="4"/>
        <v/>
      </c>
      <c r="Q29" s="56" t="str">
        <f t="shared" si="5"/>
        <v/>
      </c>
      <c r="R29" s="49" t="str">
        <f t="shared" si="6"/>
        <v/>
      </c>
      <c r="S29" s="44"/>
    </row>
    <row r="30" spans="1:19" x14ac:dyDescent="0.3">
      <c r="A30" s="54">
        <v>14</v>
      </c>
      <c r="B30" s="44"/>
      <c r="C30" s="44"/>
      <c r="D30" s="44"/>
      <c r="E30" s="45"/>
      <c r="F30" s="46" t="str">
        <f>IF(E30="","",IF(E30&lt;=[2]PARÁMETROS!$B$7,[2]PARÁMETROS!$B$6,0))</f>
        <v/>
      </c>
      <c r="G30" s="45">
        <v>0</v>
      </c>
      <c r="H30" s="46" t="str">
        <f t="shared" si="0"/>
        <v/>
      </c>
      <c r="I30" s="47" t="str">
        <f t="shared" si="1"/>
        <v/>
      </c>
      <c r="J30" s="46" t="str">
        <f>IF(H30="","",H30*I30/[2]PARÁMETROS!$B$49)</f>
        <v/>
      </c>
      <c r="K30" s="46" t="str">
        <f>IF(J30="","",J30*[2]PARÁMETROS!$B$12)</f>
        <v/>
      </c>
      <c r="L30" s="46" t="str">
        <f>IF(H30="","",H30*I30/[2]PARÁMETROS!$B$49)</f>
        <v/>
      </c>
      <c r="M30" s="46" t="str">
        <f t="shared" si="2"/>
        <v/>
      </c>
      <c r="N30" s="48" t="str">
        <f t="shared" si="3"/>
        <v/>
      </c>
      <c r="O30" s="45"/>
      <c r="P30" s="46" t="str">
        <f t="shared" si="4"/>
        <v/>
      </c>
      <c r="Q30" s="56" t="str">
        <f t="shared" si="5"/>
        <v/>
      </c>
      <c r="R30" s="49" t="str">
        <f t="shared" si="6"/>
        <v/>
      </c>
      <c r="S30" s="44"/>
    </row>
    <row r="31" spans="1:19" x14ac:dyDescent="0.3">
      <c r="A31" s="54">
        <v>15</v>
      </c>
      <c r="B31" s="44"/>
      <c r="C31" s="44"/>
      <c r="D31" s="44"/>
      <c r="E31" s="45"/>
      <c r="F31" s="46" t="str">
        <f>IF(E31="","",IF(E31&lt;=[2]PARÁMETROS!$B$7,[2]PARÁMETROS!$B$6,0))</f>
        <v/>
      </c>
      <c r="G31" s="45">
        <v>0</v>
      </c>
      <c r="H31" s="46" t="str">
        <f t="shared" si="0"/>
        <v/>
      </c>
      <c r="I31" s="47" t="str">
        <f t="shared" si="1"/>
        <v/>
      </c>
      <c r="J31" s="46" t="str">
        <f>IF(H31="","",H31*I31/[2]PARÁMETROS!$B$49)</f>
        <v/>
      </c>
      <c r="K31" s="46" t="str">
        <f>IF(J31="","",J31*[2]PARÁMETROS!$B$12)</f>
        <v/>
      </c>
      <c r="L31" s="46" t="str">
        <f>IF(H31="","",H31*I31/[2]PARÁMETROS!$B$49)</f>
        <v/>
      </c>
      <c r="M31" s="46" t="str">
        <f t="shared" si="2"/>
        <v/>
      </c>
      <c r="N31" s="48" t="str">
        <f t="shared" si="3"/>
        <v/>
      </c>
      <c r="O31" s="45"/>
      <c r="P31" s="46" t="str">
        <f t="shared" si="4"/>
        <v/>
      </c>
      <c r="Q31" s="56" t="str">
        <f t="shared" si="5"/>
        <v/>
      </c>
      <c r="R31" s="49" t="str">
        <f t="shared" si="6"/>
        <v/>
      </c>
      <c r="S31" s="44"/>
    </row>
    <row r="32" spans="1:19" x14ac:dyDescent="0.3">
      <c r="A32" s="54">
        <v>16</v>
      </c>
      <c r="B32" s="44"/>
      <c r="C32" s="44"/>
      <c r="D32" s="44"/>
      <c r="E32" s="45"/>
      <c r="F32" s="46" t="str">
        <f>IF(E32="","",IF(E32&lt;=[2]PARÁMETROS!$B$7,[2]PARÁMETROS!$B$6,0))</f>
        <v/>
      </c>
      <c r="G32" s="45">
        <v>0</v>
      </c>
      <c r="H32" s="46" t="str">
        <f t="shared" si="0"/>
        <v/>
      </c>
      <c r="I32" s="47" t="str">
        <f t="shared" si="1"/>
        <v/>
      </c>
      <c r="J32" s="46" t="str">
        <f>IF(H32="","",H32*I32/[2]PARÁMETROS!$B$49)</f>
        <v/>
      </c>
      <c r="K32" s="46" t="str">
        <f>IF(J32="","",J32*[2]PARÁMETROS!$B$12)</f>
        <v/>
      </c>
      <c r="L32" s="46" t="str">
        <f>IF(H32="","",H32*I32/[2]PARÁMETROS!$B$49)</f>
        <v/>
      </c>
      <c r="M32" s="46" t="str">
        <f t="shared" si="2"/>
        <v/>
      </c>
      <c r="N32" s="48" t="str">
        <f t="shared" si="3"/>
        <v/>
      </c>
      <c r="O32" s="45"/>
      <c r="P32" s="46" t="str">
        <f t="shared" si="4"/>
        <v/>
      </c>
      <c r="Q32" s="56" t="str">
        <f t="shared" si="5"/>
        <v/>
      </c>
      <c r="R32" s="49" t="str">
        <f t="shared" si="6"/>
        <v/>
      </c>
      <c r="S32" s="44"/>
    </row>
    <row r="33" spans="1:19" x14ac:dyDescent="0.3">
      <c r="A33" s="54">
        <v>17</v>
      </c>
      <c r="B33" s="44"/>
      <c r="C33" s="44"/>
      <c r="D33" s="44"/>
      <c r="E33" s="45"/>
      <c r="F33" s="46" t="str">
        <f>IF(E33="","",IF(E33&lt;=[2]PARÁMETROS!$B$7,[2]PARÁMETROS!$B$6,0))</f>
        <v/>
      </c>
      <c r="G33" s="45">
        <v>0</v>
      </c>
      <c r="H33" s="46" t="str">
        <f t="shared" si="0"/>
        <v/>
      </c>
      <c r="I33" s="47" t="str">
        <f t="shared" si="1"/>
        <v/>
      </c>
      <c r="J33" s="46" t="str">
        <f>IF(H33="","",H33*I33/[2]PARÁMETROS!$B$49)</f>
        <v/>
      </c>
      <c r="K33" s="46" t="str">
        <f>IF(J33="","",J33*[2]PARÁMETROS!$B$12)</f>
        <v/>
      </c>
      <c r="L33" s="46" t="str">
        <f>IF(H33="","",H33*I33/[2]PARÁMETROS!$B$49)</f>
        <v/>
      </c>
      <c r="M33" s="46" t="str">
        <f t="shared" si="2"/>
        <v/>
      </c>
      <c r="N33" s="48" t="str">
        <f t="shared" si="3"/>
        <v/>
      </c>
      <c r="O33" s="45"/>
      <c r="P33" s="46" t="str">
        <f t="shared" si="4"/>
        <v/>
      </c>
      <c r="Q33" s="56" t="str">
        <f t="shared" si="5"/>
        <v/>
      </c>
      <c r="R33" s="49" t="str">
        <f t="shared" si="6"/>
        <v/>
      </c>
      <c r="S33" s="44"/>
    </row>
    <row r="34" spans="1:19" x14ac:dyDescent="0.3">
      <c r="A34" s="54">
        <v>18</v>
      </c>
      <c r="B34" s="44"/>
      <c r="C34" s="44"/>
      <c r="D34" s="44"/>
      <c r="E34" s="45"/>
      <c r="F34" s="46" t="str">
        <f>IF(E34="","",IF(E34&lt;=[2]PARÁMETROS!$B$7,[2]PARÁMETROS!$B$6,0))</f>
        <v/>
      </c>
      <c r="G34" s="45">
        <v>0</v>
      </c>
      <c r="H34" s="46" t="str">
        <f t="shared" si="0"/>
        <v/>
      </c>
      <c r="I34" s="47" t="str">
        <f t="shared" si="1"/>
        <v/>
      </c>
      <c r="J34" s="46" t="str">
        <f>IF(H34="","",H34*I34/[2]PARÁMETROS!$B$49)</f>
        <v/>
      </c>
      <c r="K34" s="46" t="str">
        <f>IF(J34="","",J34*[2]PARÁMETROS!$B$12)</f>
        <v/>
      </c>
      <c r="L34" s="46" t="str">
        <f>IF(H34="","",H34*I34/[2]PARÁMETROS!$B$49)</f>
        <v/>
      </c>
      <c r="M34" s="46" t="str">
        <f t="shared" si="2"/>
        <v/>
      </c>
      <c r="N34" s="48" t="str">
        <f t="shared" si="3"/>
        <v/>
      </c>
      <c r="O34" s="45"/>
      <c r="P34" s="46" t="str">
        <f t="shared" si="4"/>
        <v/>
      </c>
      <c r="Q34" s="56" t="str">
        <f t="shared" si="5"/>
        <v/>
      </c>
      <c r="R34" s="49" t="str">
        <f t="shared" si="6"/>
        <v/>
      </c>
      <c r="S34" s="44"/>
    </row>
    <row r="35" spans="1:19" x14ac:dyDescent="0.3">
      <c r="A35" s="54">
        <v>19</v>
      </c>
      <c r="B35" s="44"/>
      <c r="C35" s="44"/>
      <c r="D35" s="44"/>
      <c r="E35" s="45"/>
      <c r="F35" s="46" t="str">
        <f>IF(E35="","",IF(E35&lt;=[2]PARÁMETROS!$B$7,[2]PARÁMETROS!$B$6,0))</f>
        <v/>
      </c>
      <c r="G35" s="45">
        <v>0</v>
      </c>
      <c r="H35" s="46" t="str">
        <f t="shared" si="0"/>
        <v/>
      </c>
      <c r="I35" s="47" t="str">
        <f t="shared" si="1"/>
        <v/>
      </c>
      <c r="J35" s="46" t="str">
        <f>IF(H35="","",H35*I35/[2]PARÁMETROS!$B$49)</f>
        <v/>
      </c>
      <c r="K35" s="46" t="str">
        <f>IF(J35="","",J35*[2]PARÁMETROS!$B$12)</f>
        <v/>
      </c>
      <c r="L35" s="46" t="str">
        <f>IF(H35="","",H35*I35/[2]PARÁMETROS!$B$49)</f>
        <v/>
      </c>
      <c r="M35" s="46" t="str">
        <f t="shared" si="2"/>
        <v/>
      </c>
      <c r="N35" s="48" t="str">
        <f t="shared" si="3"/>
        <v/>
      </c>
      <c r="O35" s="45"/>
      <c r="P35" s="46" t="str">
        <f t="shared" si="4"/>
        <v/>
      </c>
      <c r="Q35" s="56" t="str">
        <f t="shared" si="5"/>
        <v/>
      </c>
      <c r="R35" s="49" t="str">
        <f t="shared" si="6"/>
        <v/>
      </c>
      <c r="S35" s="44"/>
    </row>
    <row r="36" spans="1:19" x14ac:dyDescent="0.3">
      <c r="A36" s="54">
        <v>20</v>
      </c>
      <c r="B36" s="44"/>
      <c r="C36" s="44"/>
      <c r="D36" s="44"/>
      <c r="E36" s="45"/>
      <c r="F36" s="46" t="str">
        <f>IF(E36="","",IF(E36&lt;=[2]PARÁMETROS!$B$7,[2]PARÁMETROS!$B$6,0))</f>
        <v/>
      </c>
      <c r="G36" s="45">
        <v>0</v>
      </c>
      <c r="H36" s="46" t="str">
        <f t="shared" si="0"/>
        <v/>
      </c>
      <c r="I36" s="47" t="str">
        <f t="shared" si="1"/>
        <v/>
      </c>
      <c r="J36" s="46" t="str">
        <f>IF(H36="","",H36*I36/[2]PARÁMETROS!$B$49)</f>
        <v/>
      </c>
      <c r="K36" s="46" t="str">
        <f>IF(J36="","",J36*[2]PARÁMETROS!$B$12)</f>
        <v/>
      </c>
      <c r="L36" s="46" t="str">
        <f>IF(H36="","",H36*I36/[2]PARÁMETROS!$B$49)</f>
        <v/>
      </c>
      <c r="M36" s="46" t="str">
        <f t="shared" si="2"/>
        <v/>
      </c>
      <c r="N36" s="48" t="str">
        <f t="shared" si="3"/>
        <v/>
      </c>
      <c r="O36" s="45"/>
      <c r="P36" s="46" t="str">
        <f t="shared" si="4"/>
        <v/>
      </c>
      <c r="Q36" s="56" t="str">
        <f t="shared" si="5"/>
        <v/>
      </c>
      <c r="R36" s="49" t="str">
        <f t="shared" si="6"/>
        <v/>
      </c>
      <c r="S36" s="44"/>
    </row>
    <row r="37" spans="1:19" x14ac:dyDescent="0.3">
      <c r="A37" s="54">
        <v>21</v>
      </c>
      <c r="B37" s="44"/>
      <c r="C37" s="44"/>
      <c r="D37" s="44"/>
      <c r="E37" s="45"/>
      <c r="F37" s="46" t="str">
        <f>IF(E37="","",IF(E37&lt;=[2]PARÁMETROS!$B$7,[2]PARÁMETROS!$B$6,0))</f>
        <v/>
      </c>
      <c r="G37" s="45">
        <v>0</v>
      </c>
      <c r="H37" s="46" t="str">
        <f t="shared" si="0"/>
        <v/>
      </c>
      <c r="I37" s="47" t="str">
        <f t="shared" si="1"/>
        <v/>
      </c>
      <c r="J37" s="46" t="str">
        <f>IF(H37="","",H37*I37/[2]PARÁMETROS!$B$49)</f>
        <v/>
      </c>
      <c r="K37" s="46" t="str">
        <f>IF(J37="","",J37*[2]PARÁMETROS!$B$12)</f>
        <v/>
      </c>
      <c r="L37" s="46" t="str">
        <f>IF(H37="","",H37*I37/[2]PARÁMETROS!$B$49)</f>
        <v/>
      </c>
      <c r="M37" s="46" t="str">
        <f t="shared" si="2"/>
        <v/>
      </c>
      <c r="N37" s="48" t="str">
        <f t="shared" si="3"/>
        <v/>
      </c>
      <c r="O37" s="45"/>
      <c r="P37" s="46" t="str">
        <f t="shared" si="4"/>
        <v/>
      </c>
      <c r="Q37" s="56" t="str">
        <f t="shared" si="5"/>
        <v/>
      </c>
      <c r="R37" s="49" t="str">
        <f t="shared" si="6"/>
        <v/>
      </c>
      <c r="S37" s="44"/>
    </row>
    <row r="38" spans="1:19" x14ac:dyDescent="0.3">
      <c r="A38" s="54">
        <v>22</v>
      </c>
      <c r="B38" s="44"/>
      <c r="C38" s="44"/>
      <c r="D38" s="44"/>
      <c r="E38" s="45"/>
      <c r="F38" s="46" t="str">
        <f>IF(E38="","",IF(E38&lt;=[2]PARÁMETROS!$B$7,[2]PARÁMETROS!$B$6,0))</f>
        <v/>
      </c>
      <c r="G38" s="45">
        <v>0</v>
      </c>
      <c r="H38" s="46" t="str">
        <f t="shared" si="0"/>
        <v/>
      </c>
      <c r="I38" s="47" t="str">
        <f t="shared" si="1"/>
        <v/>
      </c>
      <c r="J38" s="46" t="str">
        <f>IF(H38="","",H38*I38/[2]PARÁMETROS!$B$49)</f>
        <v/>
      </c>
      <c r="K38" s="46" t="str">
        <f>IF(J38="","",J38*[2]PARÁMETROS!$B$12)</f>
        <v/>
      </c>
      <c r="L38" s="46" t="str">
        <f>IF(H38="","",H38*I38/[2]PARÁMETROS!$B$49)</f>
        <v/>
      </c>
      <c r="M38" s="46" t="str">
        <f t="shared" si="2"/>
        <v/>
      </c>
      <c r="N38" s="48" t="str">
        <f t="shared" si="3"/>
        <v/>
      </c>
      <c r="O38" s="45"/>
      <c r="P38" s="46" t="str">
        <f t="shared" si="4"/>
        <v/>
      </c>
      <c r="Q38" s="56" t="str">
        <f t="shared" si="5"/>
        <v/>
      </c>
      <c r="R38" s="49" t="str">
        <f t="shared" si="6"/>
        <v/>
      </c>
      <c r="S38" s="44"/>
    </row>
    <row r="39" spans="1:19" x14ac:dyDescent="0.3">
      <c r="A39" s="54">
        <v>23</v>
      </c>
      <c r="B39" s="44"/>
      <c r="C39" s="44"/>
      <c r="D39" s="44"/>
      <c r="E39" s="45"/>
      <c r="F39" s="46" t="str">
        <f>IF(E39="","",IF(E39&lt;=[2]PARÁMETROS!$B$7,[2]PARÁMETROS!$B$6,0))</f>
        <v/>
      </c>
      <c r="G39" s="45">
        <v>0</v>
      </c>
      <c r="H39" s="46" t="str">
        <f t="shared" si="0"/>
        <v/>
      </c>
      <c r="I39" s="47" t="str">
        <f t="shared" si="1"/>
        <v/>
      </c>
      <c r="J39" s="46" t="str">
        <f>IF(H39="","",H39*I39/[2]PARÁMETROS!$B$49)</f>
        <v/>
      </c>
      <c r="K39" s="46" t="str">
        <f>IF(J39="","",J39*[2]PARÁMETROS!$B$12)</f>
        <v/>
      </c>
      <c r="L39" s="46" t="str">
        <f>IF(H39="","",H39*I39/[2]PARÁMETROS!$B$49)</f>
        <v/>
      </c>
      <c r="M39" s="46" t="str">
        <f t="shared" si="2"/>
        <v/>
      </c>
      <c r="N39" s="48" t="str">
        <f t="shared" si="3"/>
        <v/>
      </c>
      <c r="O39" s="45"/>
      <c r="P39" s="46" t="str">
        <f t="shared" si="4"/>
        <v/>
      </c>
      <c r="Q39" s="56" t="str">
        <f t="shared" si="5"/>
        <v/>
      </c>
      <c r="R39" s="49" t="str">
        <f t="shared" si="6"/>
        <v/>
      </c>
      <c r="S39" s="44"/>
    </row>
    <row r="40" spans="1:19" x14ac:dyDescent="0.3">
      <c r="A40" s="54">
        <v>24</v>
      </c>
      <c r="B40" s="44"/>
      <c r="C40" s="44"/>
      <c r="D40" s="44"/>
      <c r="E40" s="45"/>
      <c r="F40" s="46" t="str">
        <f>IF(E40="","",IF(E40&lt;=[2]PARÁMETROS!$B$7,[2]PARÁMETROS!$B$6,0))</f>
        <v/>
      </c>
      <c r="G40" s="45">
        <v>0</v>
      </c>
      <c r="H40" s="46" t="str">
        <f t="shared" si="0"/>
        <v/>
      </c>
      <c r="I40" s="47" t="str">
        <f t="shared" si="1"/>
        <v/>
      </c>
      <c r="J40" s="46" t="str">
        <f>IF(H40="","",H40*I40/[2]PARÁMETROS!$B$49)</f>
        <v/>
      </c>
      <c r="K40" s="46" t="str">
        <f>IF(J40="","",J40*[2]PARÁMETROS!$B$12)</f>
        <v/>
      </c>
      <c r="L40" s="46" t="str">
        <f>IF(H40="","",H40*I40/[2]PARÁMETROS!$B$49)</f>
        <v/>
      </c>
      <c r="M40" s="46" t="str">
        <f t="shared" si="2"/>
        <v/>
      </c>
      <c r="N40" s="48" t="str">
        <f t="shared" si="3"/>
        <v/>
      </c>
      <c r="O40" s="45"/>
      <c r="P40" s="46" t="str">
        <f t="shared" si="4"/>
        <v/>
      </c>
      <c r="Q40" s="56" t="str">
        <f t="shared" si="5"/>
        <v/>
      </c>
      <c r="R40" s="49" t="str">
        <f t="shared" si="6"/>
        <v/>
      </c>
      <c r="S40" s="44"/>
    </row>
    <row r="41" spans="1:19" x14ac:dyDescent="0.3">
      <c r="A41" s="54">
        <v>25</v>
      </c>
      <c r="B41" s="44"/>
      <c r="C41" s="44"/>
      <c r="D41" s="44"/>
      <c r="E41" s="45"/>
      <c r="F41" s="46" t="str">
        <f>IF(E41="","",IF(E41&lt;=[2]PARÁMETROS!$B$7,[2]PARÁMETROS!$B$6,0))</f>
        <v/>
      </c>
      <c r="G41" s="45">
        <v>0</v>
      </c>
      <c r="H41" s="46" t="str">
        <f t="shared" si="0"/>
        <v/>
      </c>
      <c r="I41" s="47" t="str">
        <f t="shared" si="1"/>
        <v/>
      </c>
      <c r="J41" s="46" t="str">
        <f>IF(H41="","",H41*I41/[2]PARÁMETROS!$B$49)</f>
        <v/>
      </c>
      <c r="K41" s="46" t="str">
        <f>IF(J41="","",J41*[2]PARÁMETROS!$B$12)</f>
        <v/>
      </c>
      <c r="L41" s="46" t="str">
        <f>IF(H41="","",H41*I41/[2]PARÁMETROS!$B$49)</f>
        <v/>
      </c>
      <c r="M41" s="46" t="str">
        <f t="shared" si="2"/>
        <v/>
      </c>
      <c r="N41" s="48" t="str">
        <f t="shared" si="3"/>
        <v/>
      </c>
      <c r="O41" s="45"/>
      <c r="P41" s="46" t="str">
        <f t="shared" si="4"/>
        <v/>
      </c>
      <c r="Q41" s="56" t="str">
        <f t="shared" si="5"/>
        <v/>
      </c>
      <c r="R41" s="49" t="str">
        <f t="shared" si="6"/>
        <v/>
      </c>
      <c r="S41" s="44"/>
    </row>
    <row r="42" spans="1:19" x14ac:dyDescent="0.3">
      <c r="A42" s="85" t="s">
        <v>178</v>
      </c>
      <c r="B42" s="79"/>
      <c r="C42" s="79"/>
      <c r="D42" s="78"/>
      <c r="E42" s="50">
        <f>SUBTOTAL(9,E17:E41)</f>
        <v>24800000</v>
      </c>
      <c r="F42" s="50">
        <f>SUBTOTAL(9,F17:F41)</f>
        <v>0</v>
      </c>
      <c r="G42" s="50">
        <f>SUBTOTAL(9,G17:G41)</f>
        <v>0</v>
      </c>
      <c r="H42" s="50">
        <f>SUBTOTAL(9,H17:H41)</f>
        <v>24800000</v>
      </c>
      <c r="J42" s="50" t="e">
        <f t="shared" ref="J42:P42" si="7">SUBTOTAL(9,J17:J41)</f>
        <v>#DIV/0!</v>
      </c>
      <c r="K42" s="50" t="e">
        <f t="shared" si="7"/>
        <v>#DIV/0!</v>
      </c>
      <c r="L42" s="50" t="e">
        <f t="shared" si="7"/>
        <v>#DIV/0!</v>
      </c>
      <c r="M42" s="50">
        <f t="shared" si="7"/>
        <v>12400000</v>
      </c>
      <c r="N42" s="50" t="e">
        <f t="shared" si="7"/>
        <v>#DIV/0!</v>
      </c>
      <c r="O42" s="50">
        <f t="shared" si="7"/>
        <v>0</v>
      </c>
      <c r="P42" s="50">
        <f t="shared" si="7"/>
        <v>0</v>
      </c>
    </row>
    <row r="55" spans="1:12" x14ac:dyDescent="0.3">
      <c r="A55" s="30" t="s">
        <v>88</v>
      </c>
      <c r="B55" s="5"/>
      <c r="C55" s="5"/>
      <c r="J55" s="30" t="s">
        <v>89</v>
      </c>
      <c r="K55" s="5"/>
      <c r="L55" s="5"/>
    </row>
    <row r="56" spans="1:12" x14ac:dyDescent="0.3">
      <c r="A56" s="16" t="s">
        <v>90</v>
      </c>
      <c r="J56" s="16" t="s">
        <v>90</v>
      </c>
    </row>
    <row r="71" spans="1:1" x14ac:dyDescent="0.3">
      <c r="A71" s="22" t="str">
        <f>HYPERLINK("#'INDICE'!A67","&lt;&lt; Volver al Indice")</f>
        <v>&lt;&lt; Volver al Indice</v>
      </c>
    </row>
  </sheetData>
  <mergeCells count="8">
    <mergeCell ref="A42:D42"/>
    <mergeCell ref="A7:I7"/>
    <mergeCell ref="A10:S10"/>
    <mergeCell ref="A11:S11"/>
    <mergeCell ref="B13:F13"/>
    <mergeCell ref="H13:J13"/>
    <mergeCell ref="N13:O13"/>
    <mergeCell ref="Q13:S13"/>
  </mergeCells>
  <hyperlinks>
    <hyperlink ref="A1" location="ÍNDICE!A1" display="&lt;&lt; Volver al Índice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2"/>
  <sheetViews>
    <sheetView workbookViewId="0">
      <selection activeCell="A8" sqref="A8"/>
    </sheetView>
  </sheetViews>
  <sheetFormatPr baseColWidth="10" defaultColWidth="9.109375" defaultRowHeight="15.05" x14ac:dyDescent="0.3"/>
  <cols>
    <col min="1" max="12" width="15.6640625" customWidth="1"/>
    <col min="13" max="13" width="18.33203125" customWidth="1"/>
    <col min="14" max="14" width="11.5546875" customWidth="1"/>
  </cols>
  <sheetData>
    <row r="1" spans="1:14" x14ac:dyDescent="0.3">
      <c r="A1" s="12" t="s">
        <v>83</v>
      </c>
    </row>
    <row r="5" spans="1:14" ht="19.649999999999999" x14ac:dyDescent="0.3">
      <c r="E5" s="13" t="s">
        <v>397</v>
      </c>
      <c r="N5" s="29" t="s">
        <v>31</v>
      </c>
    </row>
    <row r="6" spans="1:14" x14ac:dyDescent="0.3">
      <c r="E6" s="13" t="s">
        <v>398</v>
      </c>
    </row>
    <row r="7" spans="1:14" x14ac:dyDescent="0.3">
      <c r="E7" s="13" t="s">
        <v>399</v>
      </c>
      <c r="M7" s="2" t="s">
        <v>84</v>
      </c>
      <c r="N7" s="2"/>
    </row>
    <row r="8" spans="1:14" x14ac:dyDescent="0.3">
      <c r="E8" s="13" t="s">
        <v>400</v>
      </c>
      <c r="M8" s="2" t="s">
        <v>41</v>
      </c>
      <c r="N8" s="2"/>
    </row>
    <row r="9" spans="1:14" ht="17.05" x14ac:dyDescent="0.3">
      <c r="A9" s="80"/>
      <c r="B9" s="80"/>
      <c r="C9" s="80"/>
      <c r="D9" s="80"/>
      <c r="E9" s="80"/>
      <c r="F9" s="80"/>
      <c r="G9" s="80"/>
      <c r="H9" s="80"/>
      <c r="I9" s="80"/>
      <c r="M9" s="2" t="s">
        <v>85</v>
      </c>
      <c r="N9" s="2"/>
    </row>
    <row r="10" spans="1:14" ht="19.5" customHeight="1" x14ac:dyDescent="0.3">
      <c r="A10" s="90" t="s">
        <v>206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2" t="s">
        <v>86</v>
      </c>
      <c r="N10" s="2"/>
    </row>
    <row r="12" spans="1:14" x14ac:dyDescent="0.3">
      <c r="A12" s="18" t="s">
        <v>196</v>
      </c>
      <c r="B12" s="18" t="s">
        <v>197</v>
      </c>
      <c r="C12" s="18" t="s">
        <v>198</v>
      </c>
      <c r="D12" s="18" t="s">
        <v>199</v>
      </c>
      <c r="E12" s="18" t="s">
        <v>200</v>
      </c>
      <c r="F12" s="18" t="s">
        <v>201</v>
      </c>
      <c r="G12" s="18" t="s">
        <v>202</v>
      </c>
      <c r="H12" s="18" t="s">
        <v>203</v>
      </c>
      <c r="I12" s="18" t="s">
        <v>204</v>
      </c>
      <c r="J12" s="18" t="s">
        <v>205</v>
      </c>
      <c r="K12" s="18" t="s">
        <v>184</v>
      </c>
      <c r="L12" s="18" t="s">
        <v>96</v>
      </c>
    </row>
    <row r="13" spans="1:14" x14ac:dyDescent="0.3">
      <c r="A13" s="2"/>
      <c r="B13" s="19"/>
      <c r="C13" s="19"/>
      <c r="D13" s="19"/>
      <c r="E13" s="20">
        <v>100</v>
      </c>
      <c r="F13" s="20">
        <f t="shared" ref="F13:F37" si="0">E13*0.04</f>
        <v>4</v>
      </c>
      <c r="G13" s="20">
        <f t="shared" ref="G13:G37" si="1">E13*0.04</f>
        <v>4</v>
      </c>
      <c r="H13" s="19"/>
      <c r="I13" s="20">
        <f t="shared" ref="I13:I37" si="2">F13+G13+H13</f>
        <v>8</v>
      </c>
      <c r="J13" s="20">
        <f t="shared" ref="J13:J37" si="3">E13-I13</f>
        <v>92</v>
      </c>
      <c r="K13" s="19"/>
      <c r="L13" s="2"/>
    </row>
    <row r="14" spans="1:14" x14ac:dyDescent="0.3">
      <c r="A14" s="2"/>
      <c r="B14" s="19"/>
      <c r="C14" s="19"/>
      <c r="D14" s="19"/>
      <c r="E14" s="20">
        <f t="shared" ref="E14:E37" si="4">B14+C14+D14</f>
        <v>0</v>
      </c>
      <c r="F14" s="20">
        <f t="shared" si="0"/>
        <v>0</v>
      </c>
      <c r="G14" s="20">
        <f t="shared" si="1"/>
        <v>0</v>
      </c>
      <c r="H14" s="19"/>
      <c r="I14" s="20">
        <f t="shared" si="2"/>
        <v>0</v>
      </c>
      <c r="J14" s="20">
        <f t="shared" si="3"/>
        <v>0</v>
      </c>
      <c r="K14" s="19"/>
      <c r="L14" s="2"/>
    </row>
    <row r="15" spans="1:14" x14ac:dyDescent="0.3">
      <c r="A15" s="2"/>
      <c r="B15" s="19"/>
      <c r="C15" s="19"/>
      <c r="D15" s="19"/>
      <c r="E15" s="20">
        <f t="shared" si="4"/>
        <v>0</v>
      </c>
      <c r="F15" s="20">
        <f t="shared" si="0"/>
        <v>0</v>
      </c>
      <c r="G15" s="20">
        <f t="shared" si="1"/>
        <v>0</v>
      </c>
      <c r="H15" s="19"/>
      <c r="I15" s="20">
        <f t="shared" si="2"/>
        <v>0</v>
      </c>
      <c r="J15" s="20">
        <f t="shared" si="3"/>
        <v>0</v>
      </c>
      <c r="K15" s="19"/>
      <c r="L15" s="2"/>
    </row>
    <row r="16" spans="1:14" x14ac:dyDescent="0.3">
      <c r="A16" s="2"/>
      <c r="B16" s="19"/>
      <c r="C16" s="19"/>
      <c r="D16" s="19"/>
      <c r="E16" s="20">
        <f t="shared" si="4"/>
        <v>0</v>
      </c>
      <c r="F16" s="20">
        <f t="shared" si="0"/>
        <v>0</v>
      </c>
      <c r="G16" s="20">
        <f t="shared" si="1"/>
        <v>0</v>
      </c>
      <c r="H16" s="19"/>
      <c r="I16" s="20">
        <f t="shared" si="2"/>
        <v>0</v>
      </c>
      <c r="J16" s="20">
        <f t="shared" si="3"/>
        <v>0</v>
      </c>
      <c r="K16" s="19"/>
      <c r="L16" s="2"/>
    </row>
    <row r="17" spans="1:12" x14ac:dyDescent="0.3">
      <c r="A17" s="2"/>
      <c r="B17" s="19"/>
      <c r="C17" s="19"/>
      <c r="D17" s="19"/>
      <c r="E17" s="20">
        <f t="shared" si="4"/>
        <v>0</v>
      </c>
      <c r="F17" s="20">
        <f t="shared" si="0"/>
        <v>0</v>
      </c>
      <c r="G17" s="20">
        <f t="shared" si="1"/>
        <v>0</v>
      </c>
      <c r="H17" s="19"/>
      <c r="I17" s="20">
        <f t="shared" si="2"/>
        <v>0</v>
      </c>
      <c r="J17" s="20">
        <f t="shared" si="3"/>
        <v>0</v>
      </c>
      <c r="K17" s="19"/>
      <c r="L17" s="2"/>
    </row>
    <row r="18" spans="1:12" x14ac:dyDescent="0.3">
      <c r="A18" s="2"/>
      <c r="B18" s="19"/>
      <c r="C18" s="19"/>
      <c r="D18" s="19"/>
      <c r="E18" s="20">
        <f t="shared" si="4"/>
        <v>0</v>
      </c>
      <c r="F18" s="20">
        <f t="shared" si="0"/>
        <v>0</v>
      </c>
      <c r="G18" s="20">
        <f t="shared" si="1"/>
        <v>0</v>
      </c>
      <c r="H18" s="19"/>
      <c r="I18" s="20">
        <f t="shared" si="2"/>
        <v>0</v>
      </c>
      <c r="J18" s="20">
        <f t="shared" si="3"/>
        <v>0</v>
      </c>
      <c r="K18" s="19"/>
      <c r="L18" s="2"/>
    </row>
    <row r="19" spans="1:12" x14ac:dyDescent="0.3">
      <c r="A19" s="2"/>
      <c r="B19" s="19"/>
      <c r="C19" s="19"/>
      <c r="D19" s="19"/>
      <c r="E19" s="20">
        <f t="shared" si="4"/>
        <v>0</v>
      </c>
      <c r="F19" s="20">
        <f t="shared" si="0"/>
        <v>0</v>
      </c>
      <c r="G19" s="20">
        <f t="shared" si="1"/>
        <v>0</v>
      </c>
      <c r="H19" s="19"/>
      <c r="I19" s="20">
        <f t="shared" si="2"/>
        <v>0</v>
      </c>
      <c r="J19" s="20">
        <f t="shared" si="3"/>
        <v>0</v>
      </c>
      <c r="K19" s="19"/>
      <c r="L19" s="2"/>
    </row>
    <row r="20" spans="1:12" x14ac:dyDescent="0.3">
      <c r="A20" s="2"/>
      <c r="B20" s="19"/>
      <c r="C20" s="19"/>
      <c r="D20" s="19"/>
      <c r="E20" s="20">
        <f t="shared" si="4"/>
        <v>0</v>
      </c>
      <c r="F20" s="20">
        <f t="shared" si="0"/>
        <v>0</v>
      </c>
      <c r="G20" s="20">
        <f t="shared" si="1"/>
        <v>0</v>
      </c>
      <c r="H20" s="19"/>
      <c r="I20" s="20">
        <f t="shared" si="2"/>
        <v>0</v>
      </c>
      <c r="J20" s="20">
        <f t="shared" si="3"/>
        <v>0</v>
      </c>
      <c r="K20" s="19"/>
      <c r="L20" s="2"/>
    </row>
    <row r="21" spans="1:12" x14ac:dyDescent="0.3">
      <c r="A21" s="2"/>
      <c r="B21" s="19"/>
      <c r="C21" s="19"/>
      <c r="D21" s="19"/>
      <c r="E21" s="20">
        <f t="shared" si="4"/>
        <v>0</v>
      </c>
      <c r="F21" s="20">
        <f t="shared" si="0"/>
        <v>0</v>
      </c>
      <c r="G21" s="20">
        <f t="shared" si="1"/>
        <v>0</v>
      </c>
      <c r="H21" s="19"/>
      <c r="I21" s="20">
        <f t="shared" si="2"/>
        <v>0</v>
      </c>
      <c r="J21" s="20">
        <f t="shared" si="3"/>
        <v>0</v>
      </c>
      <c r="K21" s="19"/>
      <c r="L21" s="2"/>
    </row>
    <row r="22" spans="1:12" x14ac:dyDescent="0.3">
      <c r="A22" s="2"/>
      <c r="B22" s="19"/>
      <c r="C22" s="19"/>
      <c r="D22" s="19"/>
      <c r="E22" s="20">
        <f t="shared" si="4"/>
        <v>0</v>
      </c>
      <c r="F22" s="20">
        <f t="shared" si="0"/>
        <v>0</v>
      </c>
      <c r="G22" s="20">
        <f t="shared" si="1"/>
        <v>0</v>
      </c>
      <c r="H22" s="19"/>
      <c r="I22" s="20">
        <f t="shared" si="2"/>
        <v>0</v>
      </c>
      <c r="J22" s="20">
        <f t="shared" si="3"/>
        <v>0</v>
      </c>
      <c r="K22" s="19"/>
      <c r="L22" s="2"/>
    </row>
    <row r="23" spans="1:12" x14ac:dyDescent="0.3">
      <c r="A23" s="2"/>
      <c r="B23" s="19"/>
      <c r="C23" s="19"/>
      <c r="D23" s="19"/>
      <c r="E23" s="20">
        <f t="shared" si="4"/>
        <v>0</v>
      </c>
      <c r="F23" s="20">
        <f t="shared" si="0"/>
        <v>0</v>
      </c>
      <c r="G23" s="20">
        <f t="shared" si="1"/>
        <v>0</v>
      </c>
      <c r="H23" s="19"/>
      <c r="I23" s="20">
        <f t="shared" si="2"/>
        <v>0</v>
      </c>
      <c r="J23" s="20">
        <f t="shared" si="3"/>
        <v>0</v>
      </c>
      <c r="K23" s="19"/>
      <c r="L23" s="2"/>
    </row>
    <row r="24" spans="1:12" x14ac:dyDescent="0.3">
      <c r="A24" s="2"/>
      <c r="B24" s="19"/>
      <c r="C24" s="19"/>
      <c r="D24" s="19"/>
      <c r="E24" s="20">
        <f t="shared" si="4"/>
        <v>0</v>
      </c>
      <c r="F24" s="20">
        <f t="shared" si="0"/>
        <v>0</v>
      </c>
      <c r="G24" s="20">
        <f t="shared" si="1"/>
        <v>0</v>
      </c>
      <c r="H24" s="19"/>
      <c r="I24" s="20">
        <f t="shared" si="2"/>
        <v>0</v>
      </c>
      <c r="J24" s="20">
        <f t="shared" si="3"/>
        <v>0</v>
      </c>
      <c r="K24" s="19"/>
      <c r="L24" s="2"/>
    </row>
    <row r="25" spans="1:12" x14ac:dyDescent="0.3">
      <c r="A25" s="2"/>
      <c r="B25" s="19"/>
      <c r="C25" s="19"/>
      <c r="D25" s="19"/>
      <c r="E25" s="20">
        <f t="shared" si="4"/>
        <v>0</v>
      </c>
      <c r="F25" s="20">
        <f t="shared" si="0"/>
        <v>0</v>
      </c>
      <c r="G25" s="20">
        <f t="shared" si="1"/>
        <v>0</v>
      </c>
      <c r="H25" s="19"/>
      <c r="I25" s="20">
        <f t="shared" si="2"/>
        <v>0</v>
      </c>
      <c r="J25" s="20">
        <f t="shared" si="3"/>
        <v>0</v>
      </c>
      <c r="K25" s="19"/>
      <c r="L25" s="2"/>
    </row>
    <row r="26" spans="1:12" x14ac:dyDescent="0.3">
      <c r="A26" s="2"/>
      <c r="B26" s="19"/>
      <c r="C26" s="19"/>
      <c r="D26" s="19"/>
      <c r="E26" s="20">
        <f t="shared" si="4"/>
        <v>0</v>
      </c>
      <c r="F26" s="20">
        <f t="shared" si="0"/>
        <v>0</v>
      </c>
      <c r="G26" s="20">
        <f t="shared" si="1"/>
        <v>0</v>
      </c>
      <c r="H26" s="19"/>
      <c r="I26" s="20">
        <f t="shared" si="2"/>
        <v>0</v>
      </c>
      <c r="J26" s="20">
        <f t="shared" si="3"/>
        <v>0</v>
      </c>
      <c r="K26" s="19"/>
      <c r="L26" s="2"/>
    </row>
    <row r="27" spans="1:12" x14ac:dyDescent="0.3">
      <c r="A27" s="2"/>
      <c r="B27" s="19"/>
      <c r="C27" s="19"/>
      <c r="D27" s="19"/>
      <c r="E27" s="20">
        <f t="shared" si="4"/>
        <v>0</v>
      </c>
      <c r="F27" s="20">
        <f t="shared" si="0"/>
        <v>0</v>
      </c>
      <c r="G27" s="20">
        <f t="shared" si="1"/>
        <v>0</v>
      </c>
      <c r="H27" s="19"/>
      <c r="I27" s="20">
        <f t="shared" si="2"/>
        <v>0</v>
      </c>
      <c r="J27" s="20">
        <f t="shared" si="3"/>
        <v>0</v>
      </c>
      <c r="K27" s="19"/>
      <c r="L27" s="2"/>
    </row>
    <row r="28" spans="1:12" x14ac:dyDescent="0.3">
      <c r="A28" s="2"/>
      <c r="B28" s="19"/>
      <c r="C28" s="19"/>
      <c r="D28" s="19"/>
      <c r="E28" s="20">
        <f t="shared" si="4"/>
        <v>0</v>
      </c>
      <c r="F28" s="20">
        <f t="shared" si="0"/>
        <v>0</v>
      </c>
      <c r="G28" s="20">
        <f t="shared" si="1"/>
        <v>0</v>
      </c>
      <c r="H28" s="19"/>
      <c r="I28" s="20">
        <f t="shared" si="2"/>
        <v>0</v>
      </c>
      <c r="J28" s="20">
        <f t="shared" si="3"/>
        <v>0</v>
      </c>
      <c r="K28" s="19"/>
      <c r="L28" s="2"/>
    </row>
    <row r="29" spans="1:12" x14ac:dyDescent="0.3">
      <c r="A29" s="2"/>
      <c r="B29" s="19"/>
      <c r="C29" s="19"/>
      <c r="D29" s="19"/>
      <c r="E29" s="20">
        <f t="shared" si="4"/>
        <v>0</v>
      </c>
      <c r="F29" s="20">
        <f t="shared" si="0"/>
        <v>0</v>
      </c>
      <c r="G29" s="20">
        <f t="shared" si="1"/>
        <v>0</v>
      </c>
      <c r="H29" s="19"/>
      <c r="I29" s="20">
        <f t="shared" si="2"/>
        <v>0</v>
      </c>
      <c r="J29" s="20">
        <f t="shared" si="3"/>
        <v>0</v>
      </c>
      <c r="K29" s="19"/>
      <c r="L29" s="2"/>
    </row>
    <row r="30" spans="1:12" x14ac:dyDescent="0.3">
      <c r="A30" s="2"/>
      <c r="B30" s="19"/>
      <c r="C30" s="19"/>
      <c r="D30" s="19"/>
      <c r="E30" s="20">
        <f t="shared" si="4"/>
        <v>0</v>
      </c>
      <c r="F30" s="20">
        <f t="shared" si="0"/>
        <v>0</v>
      </c>
      <c r="G30" s="20">
        <f t="shared" si="1"/>
        <v>0</v>
      </c>
      <c r="H30" s="19"/>
      <c r="I30" s="20">
        <f t="shared" si="2"/>
        <v>0</v>
      </c>
      <c r="J30" s="20">
        <f t="shared" si="3"/>
        <v>0</v>
      </c>
      <c r="K30" s="19"/>
      <c r="L30" s="2"/>
    </row>
    <row r="31" spans="1:12" x14ac:dyDescent="0.3">
      <c r="A31" s="2"/>
      <c r="B31" s="19"/>
      <c r="C31" s="19"/>
      <c r="D31" s="19"/>
      <c r="E31" s="20">
        <f t="shared" si="4"/>
        <v>0</v>
      </c>
      <c r="F31" s="20">
        <f t="shared" si="0"/>
        <v>0</v>
      </c>
      <c r="G31" s="20">
        <f t="shared" si="1"/>
        <v>0</v>
      </c>
      <c r="H31" s="19"/>
      <c r="I31" s="20">
        <f t="shared" si="2"/>
        <v>0</v>
      </c>
      <c r="J31" s="20">
        <f t="shared" si="3"/>
        <v>0</v>
      </c>
      <c r="K31" s="19"/>
      <c r="L31" s="2"/>
    </row>
    <row r="32" spans="1:12" x14ac:dyDescent="0.3">
      <c r="A32" s="2"/>
      <c r="B32" s="19"/>
      <c r="C32" s="19"/>
      <c r="D32" s="19"/>
      <c r="E32" s="20">
        <f t="shared" si="4"/>
        <v>0</v>
      </c>
      <c r="F32" s="20">
        <f t="shared" si="0"/>
        <v>0</v>
      </c>
      <c r="G32" s="20">
        <f t="shared" si="1"/>
        <v>0</v>
      </c>
      <c r="H32" s="19"/>
      <c r="I32" s="20">
        <f t="shared" si="2"/>
        <v>0</v>
      </c>
      <c r="J32" s="20">
        <f t="shared" si="3"/>
        <v>0</v>
      </c>
      <c r="K32" s="19"/>
      <c r="L32" s="2"/>
    </row>
    <row r="33" spans="1:12" x14ac:dyDescent="0.3">
      <c r="A33" s="2"/>
      <c r="B33" s="19"/>
      <c r="C33" s="19"/>
      <c r="D33" s="19"/>
      <c r="E33" s="20">
        <f t="shared" si="4"/>
        <v>0</v>
      </c>
      <c r="F33" s="20">
        <f t="shared" si="0"/>
        <v>0</v>
      </c>
      <c r="G33" s="20">
        <f t="shared" si="1"/>
        <v>0</v>
      </c>
      <c r="H33" s="19"/>
      <c r="I33" s="20">
        <f t="shared" si="2"/>
        <v>0</v>
      </c>
      <c r="J33" s="20">
        <f t="shared" si="3"/>
        <v>0</v>
      </c>
      <c r="K33" s="19"/>
      <c r="L33" s="2"/>
    </row>
    <row r="34" spans="1:12" x14ac:dyDescent="0.3">
      <c r="A34" s="2"/>
      <c r="B34" s="19"/>
      <c r="C34" s="19"/>
      <c r="D34" s="19"/>
      <c r="E34" s="20">
        <f t="shared" si="4"/>
        <v>0</v>
      </c>
      <c r="F34" s="20">
        <f t="shared" si="0"/>
        <v>0</v>
      </c>
      <c r="G34" s="20">
        <f t="shared" si="1"/>
        <v>0</v>
      </c>
      <c r="H34" s="19"/>
      <c r="I34" s="20">
        <f t="shared" si="2"/>
        <v>0</v>
      </c>
      <c r="J34" s="20">
        <f t="shared" si="3"/>
        <v>0</v>
      </c>
      <c r="K34" s="19"/>
      <c r="L34" s="2"/>
    </row>
    <row r="35" spans="1:12" x14ac:dyDescent="0.3">
      <c r="A35" s="2"/>
      <c r="B35" s="19"/>
      <c r="C35" s="19"/>
      <c r="D35" s="19"/>
      <c r="E35" s="20">
        <f t="shared" si="4"/>
        <v>0</v>
      </c>
      <c r="F35" s="20">
        <f t="shared" si="0"/>
        <v>0</v>
      </c>
      <c r="G35" s="20">
        <f t="shared" si="1"/>
        <v>0</v>
      </c>
      <c r="H35" s="19"/>
      <c r="I35" s="20">
        <f t="shared" si="2"/>
        <v>0</v>
      </c>
      <c r="J35" s="20">
        <f t="shared" si="3"/>
        <v>0</v>
      </c>
      <c r="K35" s="19"/>
      <c r="L35" s="2"/>
    </row>
    <row r="36" spans="1:12" x14ac:dyDescent="0.3">
      <c r="A36" s="2"/>
      <c r="B36" s="19"/>
      <c r="C36" s="19"/>
      <c r="D36" s="19"/>
      <c r="E36" s="20">
        <f t="shared" si="4"/>
        <v>0</v>
      </c>
      <c r="F36" s="20">
        <f t="shared" si="0"/>
        <v>0</v>
      </c>
      <c r="G36" s="20">
        <f t="shared" si="1"/>
        <v>0</v>
      </c>
      <c r="H36" s="19"/>
      <c r="I36" s="20">
        <f t="shared" si="2"/>
        <v>0</v>
      </c>
      <c r="J36" s="20">
        <f t="shared" si="3"/>
        <v>0</v>
      </c>
      <c r="K36" s="19"/>
      <c r="L36" s="2"/>
    </row>
    <row r="37" spans="1:12" x14ac:dyDescent="0.3">
      <c r="A37" s="2"/>
      <c r="B37" s="19"/>
      <c r="C37" s="19"/>
      <c r="D37" s="19"/>
      <c r="E37" s="20">
        <f t="shared" si="4"/>
        <v>0</v>
      </c>
      <c r="F37" s="20">
        <f t="shared" si="0"/>
        <v>0</v>
      </c>
      <c r="G37" s="20">
        <f t="shared" si="1"/>
        <v>0</v>
      </c>
      <c r="H37" s="19"/>
      <c r="I37" s="20">
        <f t="shared" si="2"/>
        <v>0</v>
      </c>
      <c r="J37" s="20">
        <f t="shared" si="3"/>
        <v>0</v>
      </c>
      <c r="K37" s="19"/>
      <c r="L37" s="2"/>
    </row>
    <row r="39" spans="1:12" x14ac:dyDescent="0.3">
      <c r="A39" s="33" t="s">
        <v>178</v>
      </c>
      <c r="B39" s="39">
        <f t="shared" ref="B39:G39" si="5">SUM(B13:B38)</f>
        <v>0</v>
      </c>
      <c r="C39" s="39">
        <f t="shared" si="5"/>
        <v>0</v>
      </c>
      <c r="D39" s="39">
        <f t="shared" si="5"/>
        <v>0</v>
      </c>
      <c r="E39" s="39">
        <f t="shared" si="5"/>
        <v>100</v>
      </c>
      <c r="F39" s="39">
        <f t="shared" si="5"/>
        <v>4</v>
      </c>
      <c r="G39" s="39">
        <f t="shared" si="5"/>
        <v>4</v>
      </c>
      <c r="I39" s="39">
        <f>SUM(I13:I38)</f>
        <v>8</v>
      </c>
      <c r="J39" s="39">
        <f>SUM(J13:J38)</f>
        <v>92</v>
      </c>
      <c r="K39" s="39">
        <f>SUM(K13:K38)</f>
        <v>0</v>
      </c>
    </row>
    <row r="51" spans="1:10" x14ac:dyDescent="0.3">
      <c r="A51" s="30" t="s">
        <v>88</v>
      </c>
      <c r="B51" s="5"/>
      <c r="C51" s="5"/>
      <c r="H51" s="30" t="s">
        <v>89</v>
      </c>
      <c r="I51" s="5"/>
      <c r="J51" s="5"/>
    </row>
    <row r="52" spans="1:10" x14ac:dyDescent="0.3">
      <c r="A52" s="16" t="s">
        <v>90</v>
      </c>
      <c r="H52" s="16" t="s">
        <v>90</v>
      </c>
    </row>
    <row r="62" spans="1:10" x14ac:dyDescent="0.3">
      <c r="A62" s="22" t="str">
        <f>HYPERLINK("#'INDICE'!A66","&lt;&lt; Volver al Indice")</f>
        <v>&lt;&lt; Volver al Indice</v>
      </c>
    </row>
  </sheetData>
  <mergeCells count="2">
    <mergeCell ref="A10:L10"/>
    <mergeCell ref="A9:I9"/>
  </mergeCells>
  <hyperlinks>
    <hyperlink ref="A1" location="ÍNDICE!A1" display="&lt;&lt; Volver al Índice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9"/>
  <sheetViews>
    <sheetView workbookViewId="0">
      <selection activeCell="E3" sqref="E3:E6"/>
    </sheetView>
  </sheetViews>
  <sheetFormatPr baseColWidth="10" defaultColWidth="9.109375" defaultRowHeight="15.05" x14ac:dyDescent="0.3"/>
  <cols>
    <col min="1" max="11" width="15.6640625" customWidth="1"/>
    <col min="13" max="13" width="16.88671875" customWidth="1"/>
    <col min="14" max="14" width="13.109375" customWidth="1"/>
  </cols>
  <sheetData>
    <row r="1" spans="1:14" x14ac:dyDescent="0.3">
      <c r="A1" s="12" t="s">
        <v>83</v>
      </c>
    </row>
    <row r="3" spans="1:14" ht="20.95" customHeight="1" x14ac:dyDescent="0.3">
      <c r="E3" s="13" t="s">
        <v>397</v>
      </c>
      <c r="N3" s="29" t="s">
        <v>33</v>
      </c>
    </row>
    <row r="4" spans="1:14" x14ac:dyDescent="0.3">
      <c r="E4" s="13" t="s">
        <v>398</v>
      </c>
    </row>
    <row r="5" spans="1:14" x14ac:dyDescent="0.3">
      <c r="E5" s="13" t="s">
        <v>399</v>
      </c>
      <c r="M5" s="2" t="s">
        <v>84</v>
      </c>
      <c r="N5" s="2"/>
    </row>
    <row r="6" spans="1:14" x14ac:dyDescent="0.3">
      <c r="E6" s="13" t="s">
        <v>400</v>
      </c>
      <c r="M6" s="2" t="s">
        <v>41</v>
      </c>
      <c r="N6" s="2"/>
    </row>
    <row r="7" spans="1:14" x14ac:dyDescent="0.3">
      <c r="E7" s="13"/>
      <c r="M7" s="2" t="s">
        <v>85</v>
      </c>
      <c r="N7" s="2"/>
    </row>
    <row r="8" spans="1:14" ht="19.649999999999999" x14ac:dyDescent="0.35">
      <c r="A8" t="s">
        <v>317</v>
      </c>
      <c r="E8" s="57"/>
      <c r="F8" s="57"/>
      <c r="G8" s="57"/>
      <c r="M8" s="2" t="s">
        <v>86</v>
      </c>
      <c r="N8" s="2"/>
    </row>
    <row r="10" spans="1:14" x14ac:dyDescent="0.3">
      <c r="A10" s="18" t="s">
        <v>181</v>
      </c>
      <c r="B10" s="18" t="s">
        <v>207</v>
      </c>
      <c r="C10" s="18" t="s">
        <v>208</v>
      </c>
      <c r="D10" s="18" t="s">
        <v>209</v>
      </c>
      <c r="E10" s="18" t="s">
        <v>210</v>
      </c>
      <c r="F10" s="18" t="s">
        <v>211</v>
      </c>
      <c r="G10" s="18" t="s">
        <v>212</v>
      </c>
      <c r="H10" s="18" t="s">
        <v>213</v>
      </c>
      <c r="I10" s="18" t="s">
        <v>95</v>
      </c>
      <c r="J10" s="18" t="s">
        <v>184</v>
      </c>
      <c r="K10" s="18" t="s">
        <v>185</v>
      </c>
    </row>
    <row r="11" spans="1:14" x14ac:dyDescent="0.3">
      <c r="A11" s="2"/>
      <c r="B11" s="19">
        <v>100</v>
      </c>
      <c r="C11" s="20">
        <f t="shared" ref="C11:C22" si="0">B11*0.085</f>
        <v>8.5</v>
      </c>
      <c r="D11" s="20">
        <f t="shared" ref="D11:D22" si="1">B11*0.12</f>
        <v>12</v>
      </c>
      <c r="E11" s="19"/>
      <c r="F11" s="20">
        <f t="shared" ref="F11:F22" si="2">B11*0.02</f>
        <v>2</v>
      </c>
      <c r="G11" s="20">
        <f t="shared" ref="G11:G22" si="3">B11*0.03</f>
        <v>3</v>
      </c>
      <c r="H11" s="20">
        <f t="shared" ref="H11:H22" si="4">B11*0.04</f>
        <v>4</v>
      </c>
      <c r="I11" s="20">
        <f t="shared" ref="I11:I22" si="5">SUM(C11:H11)</f>
        <v>29.5</v>
      </c>
      <c r="J11" s="19"/>
      <c r="K11" s="20">
        <f t="shared" ref="K11:K22" si="6">I11-J11</f>
        <v>29.5</v>
      </c>
    </row>
    <row r="12" spans="1:14" x14ac:dyDescent="0.3">
      <c r="A12" s="2"/>
      <c r="B12" s="19"/>
      <c r="C12" s="20">
        <f t="shared" si="0"/>
        <v>0</v>
      </c>
      <c r="D12" s="20">
        <f t="shared" si="1"/>
        <v>0</v>
      </c>
      <c r="E12" s="19"/>
      <c r="F12" s="20">
        <f t="shared" si="2"/>
        <v>0</v>
      </c>
      <c r="G12" s="20">
        <f t="shared" si="3"/>
        <v>0</v>
      </c>
      <c r="H12" s="20">
        <f t="shared" si="4"/>
        <v>0</v>
      </c>
      <c r="I12" s="20">
        <f t="shared" si="5"/>
        <v>0</v>
      </c>
      <c r="J12" s="19"/>
      <c r="K12" s="20">
        <f t="shared" si="6"/>
        <v>0</v>
      </c>
    </row>
    <row r="13" spans="1:14" x14ac:dyDescent="0.3">
      <c r="A13" s="2"/>
      <c r="B13" s="19"/>
      <c r="C13" s="20">
        <f t="shared" si="0"/>
        <v>0</v>
      </c>
      <c r="D13" s="20">
        <f t="shared" si="1"/>
        <v>0</v>
      </c>
      <c r="E13" s="19"/>
      <c r="F13" s="20">
        <f t="shared" si="2"/>
        <v>0</v>
      </c>
      <c r="G13" s="20">
        <f t="shared" si="3"/>
        <v>0</v>
      </c>
      <c r="H13" s="20">
        <f t="shared" si="4"/>
        <v>0</v>
      </c>
      <c r="I13" s="20">
        <f t="shared" si="5"/>
        <v>0</v>
      </c>
      <c r="J13" s="19"/>
      <c r="K13" s="20">
        <f t="shared" si="6"/>
        <v>0</v>
      </c>
    </row>
    <row r="14" spans="1:14" x14ac:dyDescent="0.3">
      <c r="A14" s="2"/>
      <c r="B14" s="19"/>
      <c r="C14" s="20">
        <f t="shared" si="0"/>
        <v>0</v>
      </c>
      <c r="D14" s="20">
        <f t="shared" si="1"/>
        <v>0</v>
      </c>
      <c r="E14" s="19"/>
      <c r="F14" s="20">
        <f t="shared" si="2"/>
        <v>0</v>
      </c>
      <c r="G14" s="20">
        <f t="shared" si="3"/>
        <v>0</v>
      </c>
      <c r="H14" s="20">
        <f t="shared" si="4"/>
        <v>0</v>
      </c>
      <c r="I14" s="20">
        <f t="shared" si="5"/>
        <v>0</v>
      </c>
      <c r="J14" s="19"/>
      <c r="K14" s="20">
        <f t="shared" si="6"/>
        <v>0</v>
      </c>
    </row>
    <row r="15" spans="1:14" x14ac:dyDescent="0.3">
      <c r="A15" s="2"/>
      <c r="B15" s="19"/>
      <c r="C15" s="20">
        <f t="shared" si="0"/>
        <v>0</v>
      </c>
      <c r="D15" s="20">
        <f t="shared" si="1"/>
        <v>0</v>
      </c>
      <c r="E15" s="19"/>
      <c r="F15" s="20">
        <f t="shared" si="2"/>
        <v>0</v>
      </c>
      <c r="G15" s="20">
        <f t="shared" si="3"/>
        <v>0</v>
      </c>
      <c r="H15" s="20">
        <f t="shared" si="4"/>
        <v>0</v>
      </c>
      <c r="I15" s="20">
        <f t="shared" si="5"/>
        <v>0</v>
      </c>
      <c r="J15" s="19"/>
      <c r="K15" s="20">
        <f t="shared" si="6"/>
        <v>0</v>
      </c>
    </row>
    <row r="16" spans="1:14" x14ac:dyDescent="0.3">
      <c r="A16" s="2"/>
      <c r="B16" s="19"/>
      <c r="C16" s="20">
        <f t="shared" si="0"/>
        <v>0</v>
      </c>
      <c r="D16" s="20">
        <f t="shared" si="1"/>
        <v>0</v>
      </c>
      <c r="E16" s="19"/>
      <c r="F16" s="20">
        <f t="shared" si="2"/>
        <v>0</v>
      </c>
      <c r="G16" s="20">
        <f t="shared" si="3"/>
        <v>0</v>
      </c>
      <c r="H16" s="20">
        <f t="shared" si="4"/>
        <v>0</v>
      </c>
      <c r="I16" s="20">
        <f t="shared" si="5"/>
        <v>0</v>
      </c>
      <c r="J16" s="19"/>
      <c r="K16" s="20">
        <f t="shared" si="6"/>
        <v>0</v>
      </c>
    </row>
    <row r="17" spans="1:11" x14ac:dyDescent="0.3">
      <c r="A17" s="2"/>
      <c r="B17" s="19"/>
      <c r="C17" s="20">
        <f t="shared" si="0"/>
        <v>0</v>
      </c>
      <c r="D17" s="20">
        <f t="shared" si="1"/>
        <v>0</v>
      </c>
      <c r="E17" s="19"/>
      <c r="F17" s="20">
        <f t="shared" si="2"/>
        <v>0</v>
      </c>
      <c r="G17" s="20">
        <f t="shared" si="3"/>
        <v>0</v>
      </c>
      <c r="H17" s="20">
        <f t="shared" si="4"/>
        <v>0</v>
      </c>
      <c r="I17" s="20">
        <f t="shared" si="5"/>
        <v>0</v>
      </c>
      <c r="J17" s="19"/>
      <c r="K17" s="20">
        <f t="shared" si="6"/>
        <v>0</v>
      </c>
    </row>
    <row r="18" spans="1:11" x14ac:dyDescent="0.3">
      <c r="A18" s="2"/>
      <c r="B18" s="19"/>
      <c r="C18" s="20">
        <f t="shared" si="0"/>
        <v>0</v>
      </c>
      <c r="D18" s="20">
        <f t="shared" si="1"/>
        <v>0</v>
      </c>
      <c r="E18" s="19"/>
      <c r="F18" s="20">
        <f t="shared" si="2"/>
        <v>0</v>
      </c>
      <c r="G18" s="20">
        <f t="shared" si="3"/>
        <v>0</v>
      </c>
      <c r="H18" s="20">
        <f t="shared" si="4"/>
        <v>0</v>
      </c>
      <c r="I18" s="20">
        <f t="shared" si="5"/>
        <v>0</v>
      </c>
      <c r="J18" s="19"/>
      <c r="K18" s="20">
        <f t="shared" si="6"/>
        <v>0</v>
      </c>
    </row>
    <row r="19" spans="1:11" x14ac:dyDescent="0.3">
      <c r="A19" s="2"/>
      <c r="B19" s="19"/>
      <c r="C19" s="20">
        <f t="shared" si="0"/>
        <v>0</v>
      </c>
      <c r="D19" s="20">
        <f t="shared" si="1"/>
        <v>0</v>
      </c>
      <c r="E19" s="19"/>
      <c r="F19" s="20">
        <f t="shared" si="2"/>
        <v>0</v>
      </c>
      <c r="G19" s="20">
        <f t="shared" si="3"/>
        <v>0</v>
      </c>
      <c r="H19" s="20">
        <f t="shared" si="4"/>
        <v>0</v>
      </c>
      <c r="I19" s="20">
        <f t="shared" si="5"/>
        <v>0</v>
      </c>
      <c r="J19" s="19"/>
      <c r="K19" s="20">
        <f t="shared" si="6"/>
        <v>0</v>
      </c>
    </row>
    <row r="20" spans="1:11" x14ac:dyDescent="0.3">
      <c r="A20" s="2"/>
      <c r="B20" s="19"/>
      <c r="C20" s="20">
        <f t="shared" si="0"/>
        <v>0</v>
      </c>
      <c r="D20" s="20">
        <f t="shared" si="1"/>
        <v>0</v>
      </c>
      <c r="E20" s="19"/>
      <c r="F20" s="20">
        <f t="shared" si="2"/>
        <v>0</v>
      </c>
      <c r="G20" s="20">
        <f t="shared" si="3"/>
        <v>0</v>
      </c>
      <c r="H20" s="20">
        <f t="shared" si="4"/>
        <v>0</v>
      </c>
      <c r="I20" s="20">
        <f t="shared" si="5"/>
        <v>0</v>
      </c>
      <c r="J20" s="19"/>
      <c r="K20" s="20">
        <f t="shared" si="6"/>
        <v>0</v>
      </c>
    </row>
    <row r="21" spans="1:11" x14ac:dyDescent="0.3">
      <c r="A21" s="2"/>
      <c r="B21" s="19"/>
      <c r="C21" s="20">
        <f t="shared" si="0"/>
        <v>0</v>
      </c>
      <c r="D21" s="20">
        <f t="shared" si="1"/>
        <v>0</v>
      </c>
      <c r="E21" s="19"/>
      <c r="F21" s="20">
        <f t="shared" si="2"/>
        <v>0</v>
      </c>
      <c r="G21" s="20">
        <f t="shared" si="3"/>
        <v>0</v>
      </c>
      <c r="H21" s="20">
        <f t="shared" si="4"/>
        <v>0</v>
      </c>
      <c r="I21" s="20">
        <f t="shared" si="5"/>
        <v>0</v>
      </c>
      <c r="J21" s="19"/>
      <c r="K21" s="20">
        <f t="shared" si="6"/>
        <v>0</v>
      </c>
    </row>
    <row r="22" spans="1:11" x14ac:dyDescent="0.3">
      <c r="A22" s="2"/>
      <c r="B22" s="19"/>
      <c r="C22" s="20">
        <f t="shared" si="0"/>
        <v>0</v>
      </c>
      <c r="D22" s="20">
        <f t="shared" si="1"/>
        <v>0</v>
      </c>
      <c r="E22" s="19"/>
      <c r="F22" s="20">
        <f t="shared" si="2"/>
        <v>0</v>
      </c>
      <c r="G22" s="20">
        <f t="shared" si="3"/>
        <v>0</v>
      </c>
      <c r="H22" s="20">
        <f t="shared" si="4"/>
        <v>0</v>
      </c>
      <c r="I22" s="20">
        <f t="shared" si="5"/>
        <v>0</v>
      </c>
      <c r="J22" s="19"/>
      <c r="K22" s="20">
        <f t="shared" si="6"/>
        <v>0</v>
      </c>
    </row>
    <row r="24" spans="1:11" x14ac:dyDescent="0.3">
      <c r="A24" s="33" t="s">
        <v>178</v>
      </c>
      <c r="B24" s="39">
        <f>SUM(B11:B23)</f>
        <v>100</v>
      </c>
      <c r="C24" s="39">
        <f>SUM(C11:C23)</f>
        <v>8.5</v>
      </c>
      <c r="D24" s="39">
        <f>SUM(D11:D23)</f>
        <v>12</v>
      </c>
      <c r="F24" s="39">
        <f t="shared" ref="F24:K24" si="7">SUM(F11:F23)</f>
        <v>2</v>
      </c>
      <c r="G24" s="39">
        <f t="shared" si="7"/>
        <v>3</v>
      </c>
      <c r="H24" s="39">
        <f t="shared" si="7"/>
        <v>4</v>
      </c>
      <c r="I24" s="39">
        <f t="shared" si="7"/>
        <v>29.5</v>
      </c>
      <c r="J24" s="39">
        <f t="shared" si="7"/>
        <v>0</v>
      </c>
      <c r="K24" s="39">
        <f t="shared" si="7"/>
        <v>29.5</v>
      </c>
    </row>
    <row r="38" spans="1:13" x14ac:dyDescent="0.3">
      <c r="A38" s="30" t="s">
        <v>88</v>
      </c>
      <c r="B38" s="5"/>
      <c r="C38" s="5"/>
      <c r="D38" s="5"/>
      <c r="E38" s="5"/>
      <c r="K38" s="30" t="s">
        <v>89</v>
      </c>
      <c r="L38" s="5"/>
      <c r="M38" s="5"/>
    </row>
    <row r="39" spans="1:13" x14ac:dyDescent="0.3">
      <c r="A39" s="16" t="s">
        <v>90</v>
      </c>
      <c r="K39" s="16" t="s">
        <v>90</v>
      </c>
    </row>
    <row r="49" spans="1:1" x14ac:dyDescent="0.3">
      <c r="A49" s="22" t="str">
        <f>HYPERLINK("#'INDICE'!A66","&lt;&lt; Volver al Indice")</f>
        <v>&lt;&lt; Volver al Indice</v>
      </c>
    </row>
  </sheetData>
  <hyperlinks>
    <hyperlink ref="A1" location="ÍNDICE!A1" display="&lt;&lt; Volver al Índice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6"/>
  <sheetViews>
    <sheetView workbookViewId="0">
      <selection activeCell="F3" sqref="F3:F6"/>
    </sheetView>
  </sheetViews>
  <sheetFormatPr baseColWidth="10" defaultColWidth="9.109375" defaultRowHeight="15.05" x14ac:dyDescent="0.3"/>
  <cols>
    <col min="1" max="11" width="15.6640625" customWidth="1"/>
    <col min="13" max="13" width="17.109375" customWidth="1"/>
    <col min="14" max="14" width="10.6640625" customWidth="1"/>
  </cols>
  <sheetData>
    <row r="1" spans="1:14" x14ac:dyDescent="0.3">
      <c r="A1" s="12" t="s">
        <v>83</v>
      </c>
    </row>
    <row r="3" spans="1:14" ht="19.649999999999999" x14ac:dyDescent="0.3">
      <c r="F3" s="13" t="s">
        <v>397</v>
      </c>
      <c r="N3" s="29" t="s">
        <v>35</v>
      </c>
    </row>
    <row r="4" spans="1:14" x14ac:dyDescent="0.3">
      <c r="F4" s="13" t="s">
        <v>398</v>
      </c>
    </row>
    <row r="5" spans="1:14" x14ac:dyDescent="0.3">
      <c r="F5" s="13" t="s">
        <v>399</v>
      </c>
      <c r="M5" s="2" t="s">
        <v>84</v>
      </c>
      <c r="N5" s="2"/>
    </row>
    <row r="6" spans="1:14" x14ac:dyDescent="0.3">
      <c r="F6" s="13" t="s">
        <v>400</v>
      </c>
      <c r="M6" s="2" t="s">
        <v>41</v>
      </c>
      <c r="N6" s="2"/>
    </row>
    <row r="7" spans="1:14" x14ac:dyDescent="0.3">
      <c r="M7" s="2" t="s">
        <v>85</v>
      </c>
      <c r="N7" s="2"/>
    </row>
    <row r="8" spans="1:14" x14ac:dyDescent="0.3">
      <c r="M8" s="2" t="s">
        <v>86</v>
      </c>
      <c r="N8" s="2"/>
    </row>
    <row r="10" spans="1:14" ht="22.6" customHeight="1" x14ac:dyDescent="0.3">
      <c r="A10" s="91" t="s">
        <v>226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</row>
    <row r="11" spans="1:14" x14ac:dyDescent="0.3">
      <c r="A11" s="31" t="s">
        <v>214</v>
      </c>
    </row>
    <row r="13" spans="1:14" ht="29.45" x14ac:dyDescent="0.3">
      <c r="A13" s="18" t="s">
        <v>180</v>
      </c>
      <c r="B13" s="18" t="s">
        <v>106</v>
      </c>
      <c r="C13" s="18" t="s">
        <v>215</v>
      </c>
      <c r="D13" s="18" t="s">
        <v>216</v>
      </c>
      <c r="E13" s="18" t="s">
        <v>217</v>
      </c>
      <c r="F13" s="18" t="s">
        <v>133</v>
      </c>
      <c r="G13" s="18" t="s">
        <v>218</v>
      </c>
      <c r="H13" s="18" t="s">
        <v>156</v>
      </c>
      <c r="I13" s="18" t="s">
        <v>219</v>
      </c>
      <c r="J13" s="18" t="s">
        <v>186</v>
      </c>
      <c r="K13" s="18" t="s">
        <v>96</v>
      </c>
    </row>
    <row r="14" spans="1:14" x14ac:dyDescent="0.3">
      <c r="A14" s="2" t="s">
        <v>220</v>
      </c>
      <c r="B14" s="19"/>
      <c r="C14" s="19"/>
      <c r="D14" s="19"/>
      <c r="E14" s="19"/>
      <c r="F14" s="19">
        <f t="shared" ref="F14:F19" si="0">B14+C14-D14-E14</f>
        <v>0</v>
      </c>
      <c r="G14" s="41"/>
      <c r="H14" s="2" t="str">
        <f t="shared" ref="H14:H19" si="1">IF(G14&gt;=0.5,"SÍ","NO")</f>
        <v>NO</v>
      </c>
      <c r="I14" s="2" t="str">
        <f t="shared" ref="I14:I19" si="2">IF(AND(G14&gt;=0.5,F14&gt;0),"SÍ","NO")</f>
        <v>NO</v>
      </c>
      <c r="J14" s="2"/>
      <c r="K14" s="2"/>
    </row>
    <row r="15" spans="1:14" x14ac:dyDescent="0.3">
      <c r="A15" s="2" t="s">
        <v>221</v>
      </c>
      <c r="B15" s="19"/>
      <c r="C15" s="19"/>
      <c r="D15" s="19"/>
      <c r="E15" s="19"/>
      <c r="F15" s="19">
        <f t="shared" si="0"/>
        <v>0</v>
      </c>
      <c r="G15" s="41"/>
      <c r="H15" s="2" t="str">
        <f t="shared" si="1"/>
        <v>NO</v>
      </c>
      <c r="I15" s="2" t="str">
        <f t="shared" si="2"/>
        <v>NO</v>
      </c>
      <c r="J15" s="2"/>
      <c r="K15" s="2"/>
    </row>
    <row r="16" spans="1:14" x14ac:dyDescent="0.3">
      <c r="A16" s="2" t="s">
        <v>222</v>
      </c>
      <c r="B16" s="19"/>
      <c r="C16" s="19"/>
      <c r="D16" s="19"/>
      <c r="E16" s="19"/>
      <c r="F16" s="19">
        <f t="shared" si="0"/>
        <v>0</v>
      </c>
      <c r="G16" s="41"/>
      <c r="H16" s="2" t="str">
        <f t="shared" si="1"/>
        <v>NO</v>
      </c>
      <c r="I16" s="2" t="str">
        <f t="shared" si="2"/>
        <v>NO</v>
      </c>
      <c r="J16" s="2"/>
      <c r="K16" s="2"/>
    </row>
    <row r="17" spans="1:11" x14ac:dyDescent="0.3">
      <c r="A17" s="2" t="s">
        <v>223</v>
      </c>
      <c r="B17" s="19"/>
      <c r="C17" s="19"/>
      <c r="D17" s="19"/>
      <c r="E17" s="19"/>
      <c r="F17" s="19">
        <f t="shared" si="0"/>
        <v>0</v>
      </c>
      <c r="G17" s="41"/>
      <c r="H17" s="2" t="str">
        <f t="shared" si="1"/>
        <v>NO</v>
      </c>
      <c r="I17" s="2" t="str">
        <f t="shared" si="2"/>
        <v>NO</v>
      </c>
      <c r="J17" s="2"/>
      <c r="K17" s="2"/>
    </row>
    <row r="18" spans="1:11" x14ac:dyDescent="0.3">
      <c r="A18" s="2" t="s">
        <v>224</v>
      </c>
      <c r="B18" s="19"/>
      <c r="C18" s="19"/>
      <c r="D18" s="19"/>
      <c r="E18" s="19"/>
      <c r="F18" s="19">
        <f t="shared" si="0"/>
        <v>0</v>
      </c>
      <c r="G18" s="41"/>
      <c r="H18" s="2" t="str">
        <f t="shared" si="1"/>
        <v>NO</v>
      </c>
      <c r="I18" s="2" t="str">
        <f t="shared" si="2"/>
        <v>NO</v>
      </c>
      <c r="J18" s="2"/>
      <c r="K18" s="2"/>
    </row>
    <row r="19" spans="1:11" x14ac:dyDescent="0.3">
      <c r="A19" s="2" t="s">
        <v>194</v>
      </c>
      <c r="B19" s="19"/>
      <c r="C19" s="19"/>
      <c r="D19" s="19"/>
      <c r="E19" s="19"/>
      <c r="F19" s="19">
        <f t="shared" si="0"/>
        <v>0</v>
      </c>
      <c r="G19" s="41"/>
      <c r="H19" s="2" t="str">
        <f t="shared" si="1"/>
        <v>NO</v>
      </c>
      <c r="I19" s="2" t="str">
        <f t="shared" si="2"/>
        <v>NO</v>
      </c>
      <c r="J19" s="2"/>
      <c r="K19" s="2"/>
    </row>
    <row r="21" spans="1:11" x14ac:dyDescent="0.3">
      <c r="A21" s="33" t="s">
        <v>225</v>
      </c>
      <c r="B21" s="39">
        <f>SUM(B14:B20)</f>
        <v>0</v>
      </c>
      <c r="C21" s="39">
        <f>SUM(C14:C20)</f>
        <v>0</v>
      </c>
      <c r="D21" s="39">
        <f>SUM(D14:D20)</f>
        <v>0</v>
      </c>
      <c r="E21" s="39">
        <f>SUM(E14:E20)</f>
        <v>0</v>
      </c>
      <c r="F21" s="39">
        <f>SUM(F14:F20)</f>
        <v>0</v>
      </c>
    </row>
    <row r="35" spans="1:10" x14ac:dyDescent="0.3">
      <c r="A35" s="30" t="s">
        <v>88</v>
      </c>
      <c r="B35" s="5"/>
      <c r="C35" s="5"/>
      <c r="H35" s="30" t="s">
        <v>89</v>
      </c>
      <c r="I35" s="5"/>
      <c r="J35" s="5"/>
    </row>
    <row r="36" spans="1:10" x14ac:dyDescent="0.3">
      <c r="A36" s="16" t="s">
        <v>90</v>
      </c>
      <c r="H36" s="16" t="s">
        <v>90</v>
      </c>
    </row>
    <row r="46" spans="1:10" x14ac:dyDescent="0.3">
      <c r="A46" s="22" t="str">
        <f>HYPERLINK("#'INDICE'!A66","&lt;&lt; Volver al Indice")</f>
        <v>&lt;&lt; Volver al Indice</v>
      </c>
    </row>
  </sheetData>
  <mergeCells count="1">
    <mergeCell ref="A10:K10"/>
  </mergeCells>
  <hyperlinks>
    <hyperlink ref="A1" location="ÍNDICE!A1" display="&lt;&lt; Volver al Índice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6"/>
  <sheetViews>
    <sheetView workbookViewId="0">
      <selection activeCell="E4" sqref="E4:E7"/>
    </sheetView>
  </sheetViews>
  <sheetFormatPr baseColWidth="10" defaultColWidth="9.109375" defaultRowHeight="15.05" x14ac:dyDescent="0.3"/>
  <cols>
    <col min="1" max="11" width="15.6640625" customWidth="1"/>
    <col min="13" max="13" width="20.109375" customWidth="1"/>
    <col min="14" max="14" width="12.6640625" customWidth="1"/>
  </cols>
  <sheetData>
    <row r="1" spans="1:14" x14ac:dyDescent="0.3">
      <c r="A1" s="12" t="s">
        <v>83</v>
      </c>
    </row>
    <row r="4" spans="1:14" ht="19.649999999999999" x14ac:dyDescent="0.3">
      <c r="E4" s="13" t="s">
        <v>397</v>
      </c>
      <c r="N4" s="29" t="s">
        <v>37</v>
      </c>
    </row>
    <row r="5" spans="1:14" x14ac:dyDescent="0.3">
      <c r="E5" s="13" t="s">
        <v>398</v>
      </c>
    </row>
    <row r="6" spans="1:14" x14ac:dyDescent="0.3">
      <c r="E6" s="13" t="s">
        <v>399</v>
      </c>
      <c r="M6" s="2" t="s">
        <v>84</v>
      </c>
      <c r="N6" s="2"/>
    </row>
    <row r="7" spans="1:14" x14ac:dyDescent="0.3">
      <c r="E7" s="13" t="s">
        <v>400</v>
      </c>
      <c r="M7" s="2" t="s">
        <v>41</v>
      </c>
      <c r="N7" s="2"/>
    </row>
    <row r="8" spans="1:14" x14ac:dyDescent="0.3">
      <c r="M8" s="2" t="s">
        <v>85</v>
      </c>
      <c r="N8" s="2"/>
    </row>
    <row r="9" spans="1:14" x14ac:dyDescent="0.3">
      <c r="M9" s="2" t="s">
        <v>86</v>
      </c>
      <c r="N9" s="2"/>
    </row>
    <row r="11" spans="1:14" ht="20.95" customHeight="1" x14ac:dyDescent="0.3">
      <c r="A11" s="72" t="s">
        <v>227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</row>
    <row r="13" spans="1:14" x14ac:dyDescent="0.3">
      <c r="A13" s="18" t="s">
        <v>228</v>
      </c>
      <c r="B13" s="18" t="s">
        <v>120</v>
      </c>
      <c r="C13" s="18" t="s">
        <v>229</v>
      </c>
      <c r="D13" s="18" t="s">
        <v>230</v>
      </c>
      <c r="E13" s="18" t="s">
        <v>231</v>
      </c>
      <c r="F13" s="18" t="s">
        <v>232</v>
      </c>
      <c r="G13" s="18" t="s">
        <v>233</v>
      </c>
      <c r="H13" s="18" t="s">
        <v>234</v>
      </c>
      <c r="I13" s="18" t="s">
        <v>235</v>
      </c>
      <c r="J13" s="18" t="s">
        <v>236</v>
      </c>
      <c r="K13" s="18" t="s">
        <v>177</v>
      </c>
    </row>
    <row r="14" spans="1:14" x14ac:dyDescent="0.3">
      <c r="A14" s="2"/>
      <c r="B14" s="2"/>
      <c r="C14" s="19"/>
      <c r="D14" s="42"/>
      <c r="E14" s="2"/>
      <c r="F14" s="2"/>
      <c r="G14" s="2"/>
      <c r="H14" s="2"/>
      <c r="I14" s="2"/>
      <c r="J14" s="2"/>
      <c r="K14" s="2"/>
    </row>
    <row r="15" spans="1:14" x14ac:dyDescent="0.3">
      <c r="A15" s="2"/>
      <c r="B15" s="2"/>
      <c r="C15" s="19"/>
      <c r="D15" s="42"/>
      <c r="E15" s="2"/>
      <c r="F15" s="2"/>
      <c r="G15" s="2"/>
      <c r="H15" s="2"/>
      <c r="I15" s="2"/>
      <c r="J15" s="2"/>
      <c r="K15" s="2"/>
    </row>
    <row r="16" spans="1:14" x14ac:dyDescent="0.3">
      <c r="A16" s="2"/>
      <c r="B16" s="2"/>
      <c r="C16" s="19"/>
      <c r="D16" s="4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19"/>
      <c r="D17" s="4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19"/>
      <c r="D18" s="4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19"/>
      <c r="D19" s="4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19"/>
      <c r="D20" s="42"/>
      <c r="E20" s="2"/>
      <c r="F20" s="2"/>
      <c r="G20" s="2"/>
      <c r="H20" s="2"/>
      <c r="I20" s="2"/>
      <c r="J20" s="2"/>
      <c r="K20" s="2"/>
    </row>
    <row r="35" spans="1:10" x14ac:dyDescent="0.3">
      <c r="A35" s="30" t="s">
        <v>88</v>
      </c>
      <c r="B35" s="5"/>
      <c r="C35" s="5"/>
      <c r="H35" s="30" t="s">
        <v>89</v>
      </c>
      <c r="I35" s="5"/>
      <c r="J35" s="5"/>
    </row>
    <row r="36" spans="1:10" x14ac:dyDescent="0.3">
      <c r="A36" s="16" t="s">
        <v>90</v>
      </c>
      <c r="H36" s="16" t="s">
        <v>90</v>
      </c>
    </row>
    <row r="46" spans="1:10" x14ac:dyDescent="0.3">
      <c r="A46" s="22" t="str">
        <f>HYPERLINK("#'INDICE'!A71","&lt;&lt; Volver al Indice")</f>
        <v>&lt;&lt; Volver al Indice</v>
      </c>
    </row>
  </sheetData>
  <mergeCells count="1">
    <mergeCell ref="A11:K11"/>
  </mergeCells>
  <hyperlinks>
    <hyperlink ref="A1" location="ÍNDICE!A1" display="&lt;&lt; Volver al Índice" xr:uid="{00000000-0004-0000-0F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7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34.5546875" customWidth="1"/>
    <col min="2" max="2" width="22.6640625" customWidth="1"/>
    <col min="3" max="4" width="15.6640625" customWidth="1"/>
    <col min="5" max="5" width="30.5546875" customWidth="1"/>
    <col min="6" max="9" width="15.6640625" customWidth="1"/>
    <col min="11" max="11" width="17.109375" customWidth="1"/>
    <col min="12" max="12" width="11.6640625" customWidth="1"/>
  </cols>
  <sheetData>
    <row r="1" spans="1:12" x14ac:dyDescent="0.3">
      <c r="A1" s="12" t="s">
        <v>83</v>
      </c>
    </row>
    <row r="3" spans="1:12" ht="15.05" customHeight="1" x14ac:dyDescent="0.3"/>
    <row r="4" spans="1:12" ht="19.649999999999999" x14ac:dyDescent="0.3">
      <c r="E4" s="13" t="s">
        <v>397</v>
      </c>
      <c r="L4" s="29" t="s">
        <v>39</v>
      </c>
    </row>
    <row r="5" spans="1:12" x14ac:dyDescent="0.3">
      <c r="E5" s="13" t="s">
        <v>398</v>
      </c>
    </row>
    <row r="6" spans="1:12" x14ac:dyDescent="0.3">
      <c r="E6" s="13" t="s">
        <v>399</v>
      </c>
      <c r="K6" s="2" t="s">
        <v>84</v>
      </c>
      <c r="L6" s="2"/>
    </row>
    <row r="7" spans="1:12" x14ac:dyDescent="0.3">
      <c r="E7" s="13" t="s">
        <v>400</v>
      </c>
      <c r="K7" s="2" t="s">
        <v>41</v>
      </c>
      <c r="L7" s="2"/>
    </row>
    <row r="8" spans="1:12" x14ac:dyDescent="0.3">
      <c r="K8" s="2" t="s">
        <v>85</v>
      </c>
      <c r="L8" s="2"/>
    </row>
    <row r="9" spans="1:12" x14ac:dyDescent="0.3">
      <c r="K9" s="2" t="s">
        <v>86</v>
      </c>
      <c r="L9" s="2"/>
    </row>
    <row r="11" spans="1:12" x14ac:dyDescent="0.3">
      <c r="A11" s="92" t="s">
        <v>318</v>
      </c>
      <c r="B11" s="64"/>
      <c r="C11" s="64"/>
      <c r="D11" s="64"/>
      <c r="E11" s="64"/>
      <c r="F11" s="64"/>
      <c r="G11" s="64"/>
      <c r="H11" s="64"/>
      <c r="I11" s="64"/>
      <c r="J11" s="64"/>
    </row>
    <row r="12" spans="1:12" x14ac:dyDescent="0.3">
      <c r="A12" s="82" t="s">
        <v>319</v>
      </c>
      <c r="B12" s="64"/>
      <c r="C12" s="64"/>
      <c r="D12" s="64"/>
      <c r="E12" s="64"/>
      <c r="F12" s="64"/>
      <c r="G12" s="64"/>
      <c r="H12" s="64"/>
      <c r="I12" s="64"/>
      <c r="J12" s="64"/>
    </row>
    <row r="14" spans="1:12" x14ac:dyDescent="0.3">
      <c r="A14" s="43" t="s">
        <v>239</v>
      </c>
      <c r="B14" s="83" t="s">
        <v>320</v>
      </c>
      <c r="C14" s="64"/>
      <c r="D14" s="64"/>
      <c r="E14" s="64"/>
      <c r="F14" s="43" t="s">
        <v>241</v>
      </c>
      <c r="G14" s="53" t="s">
        <v>242</v>
      </c>
      <c r="H14" s="43" t="s">
        <v>321</v>
      </c>
      <c r="I14" s="53" t="s">
        <v>244</v>
      </c>
    </row>
    <row r="17" spans="1:6" x14ac:dyDescent="0.3">
      <c r="A17" s="92" t="s">
        <v>342</v>
      </c>
      <c r="B17" s="64"/>
      <c r="C17" s="64"/>
      <c r="D17" s="64"/>
      <c r="E17" s="64"/>
      <c r="F17" s="64"/>
    </row>
    <row r="19" spans="1:6" x14ac:dyDescent="0.3">
      <c r="A19" t="s">
        <v>343</v>
      </c>
      <c r="D19" t="s">
        <v>344</v>
      </c>
    </row>
    <row r="21" spans="1:6" x14ac:dyDescent="0.3">
      <c r="A21" s="51" t="s">
        <v>264</v>
      </c>
      <c r="B21" s="51" t="s">
        <v>322</v>
      </c>
      <c r="C21" s="51" t="s">
        <v>266</v>
      </c>
    </row>
    <row r="22" spans="1:6" x14ac:dyDescent="0.3">
      <c r="A22" s="2" t="s">
        <v>345</v>
      </c>
      <c r="B22" s="59">
        <v>50</v>
      </c>
      <c r="C22" s="2" t="s">
        <v>323</v>
      </c>
    </row>
    <row r="23" spans="1:6" x14ac:dyDescent="0.3">
      <c r="A23" s="2" t="s">
        <v>324</v>
      </c>
      <c r="B23" s="59">
        <v>4</v>
      </c>
      <c r="C23" s="2" t="s">
        <v>325</v>
      </c>
    </row>
    <row r="24" spans="1:6" x14ac:dyDescent="0.3">
      <c r="A24" s="52" t="s">
        <v>326</v>
      </c>
      <c r="B24" s="50">
        <f>B22+B23</f>
        <v>54</v>
      </c>
      <c r="C24" s="60" t="s">
        <v>327</v>
      </c>
    </row>
    <row r="25" spans="1:6" x14ac:dyDescent="0.3">
      <c r="A25" s="2"/>
      <c r="B25" s="46"/>
      <c r="C25" s="2"/>
    </row>
    <row r="26" spans="1:6" x14ac:dyDescent="0.3">
      <c r="A26" s="2" t="s">
        <v>328</v>
      </c>
      <c r="B26" s="59">
        <v>9000000000</v>
      </c>
      <c r="C26" s="2" t="s">
        <v>329</v>
      </c>
    </row>
    <row r="27" spans="1:6" x14ac:dyDescent="0.3">
      <c r="A27" s="2" t="s">
        <v>346</v>
      </c>
      <c r="B27" s="59">
        <v>3500000000</v>
      </c>
      <c r="C27" s="2" t="s">
        <v>330</v>
      </c>
    </row>
    <row r="28" spans="1:6" x14ac:dyDescent="0.3">
      <c r="A28" s="2" t="s">
        <v>347</v>
      </c>
      <c r="B28" s="59">
        <v>200000000</v>
      </c>
      <c r="C28" s="2" t="s">
        <v>331</v>
      </c>
    </row>
    <row r="29" spans="1:6" x14ac:dyDescent="0.3">
      <c r="A29" s="52" t="s">
        <v>348</v>
      </c>
      <c r="B29" s="50">
        <f>B26+B27+B28</f>
        <v>12700000000</v>
      </c>
      <c r="C29" s="60" t="s">
        <v>327</v>
      </c>
    </row>
    <row r="30" spans="1:6" x14ac:dyDescent="0.3">
      <c r="A30" s="2"/>
      <c r="B30" s="46"/>
      <c r="C30" s="2"/>
    </row>
    <row r="31" spans="1:6" x14ac:dyDescent="0.3">
      <c r="A31" s="52" t="s">
        <v>332</v>
      </c>
      <c r="B31" s="50">
        <f>B24-B29</f>
        <v>-12699999946</v>
      </c>
      <c r="C31" s="60" t="s">
        <v>333</v>
      </c>
    </row>
    <row r="32" spans="1:6" x14ac:dyDescent="0.3">
      <c r="A32" s="2"/>
      <c r="B32" s="46"/>
      <c r="C32" s="2"/>
    </row>
    <row r="33" spans="1:10" x14ac:dyDescent="0.3">
      <c r="A33" s="2" t="s">
        <v>349</v>
      </c>
      <c r="B33" s="59">
        <v>0</v>
      </c>
      <c r="C33" s="2" t="s">
        <v>334</v>
      </c>
    </row>
    <row r="34" spans="1:10" x14ac:dyDescent="0.3">
      <c r="A34" s="2" t="s">
        <v>350</v>
      </c>
      <c r="B34" s="59">
        <v>555</v>
      </c>
      <c r="C34" s="2" t="s">
        <v>335</v>
      </c>
    </row>
    <row r="35" spans="1:10" x14ac:dyDescent="0.3">
      <c r="A35" s="52" t="s">
        <v>336</v>
      </c>
      <c r="B35" s="50">
        <f>MAX(B31-B33,B34)</f>
        <v>555</v>
      </c>
      <c r="C35" s="60" t="s">
        <v>351</v>
      </c>
    </row>
    <row r="36" spans="1:10" x14ac:dyDescent="0.3">
      <c r="A36" s="2"/>
      <c r="B36" s="46"/>
      <c r="C36" s="2"/>
    </row>
    <row r="37" spans="1:10" x14ac:dyDescent="0.3">
      <c r="A37" s="52" t="s">
        <v>352</v>
      </c>
      <c r="B37" s="50">
        <f>B35*0.35</f>
        <v>194.25</v>
      </c>
      <c r="C37" s="60" t="s">
        <v>337</v>
      </c>
    </row>
    <row r="38" spans="1:10" x14ac:dyDescent="0.3">
      <c r="A38" s="2" t="s">
        <v>353</v>
      </c>
      <c r="B38" s="59">
        <v>150000000</v>
      </c>
      <c r="C38" s="2" t="s">
        <v>338</v>
      </c>
    </row>
    <row r="39" spans="1:10" x14ac:dyDescent="0.3">
      <c r="A39" s="2"/>
      <c r="B39" s="46"/>
      <c r="C39" s="2"/>
    </row>
    <row r="40" spans="1:10" x14ac:dyDescent="0.3">
      <c r="A40" s="52" t="s">
        <v>354</v>
      </c>
      <c r="B40" s="50">
        <f>B37-B38</f>
        <v>-149999805.75</v>
      </c>
      <c r="C40" s="60" t="s">
        <v>95</v>
      </c>
    </row>
    <row r="41" spans="1:10" x14ac:dyDescent="0.3">
      <c r="A41" s="2"/>
      <c r="B41" s="46"/>
      <c r="C41" s="2"/>
    </row>
    <row r="42" spans="1:10" x14ac:dyDescent="0.3">
      <c r="A42" s="2" t="s">
        <v>355</v>
      </c>
      <c r="B42" s="45">
        <v>485000000</v>
      </c>
      <c r="C42" s="2" t="s">
        <v>356</v>
      </c>
    </row>
    <row r="43" spans="1:10" x14ac:dyDescent="0.3">
      <c r="A43" s="52" t="s">
        <v>260</v>
      </c>
      <c r="B43" s="50">
        <f>B40-B42</f>
        <v>-634999805.75</v>
      </c>
      <c r="C43" s="60" t="s">
        <v>113</v>
      </c>
    </row>
    <row r="48" spans="1:10" x14ac:dyDescent="0.3">
      <c r="A48" s="92" t="s">
        <v>357</v>
      </c>
      <c r="B48" s="64"/>
      <c r="C48" s="64"/>
      <c r="D48" s="64"/>
      <c r="E48" s="64"/>
      <c r="F48" s="64"/>
      <c r="G48" s="64"/>
      <c r="H48" s="64"/>
      <c r="I48" s="64"/>
      <c r="J48" s="64"/>
    </row>
    <row r="51" spans="1:9" ht="24.9" x14ac:dyDescent="0.3">
      <c r="A51" s="8" t="s">
        <v>358</v>
      </c>
      <c r="B51" s="8" t="s">
        <v>359</v>
      </c>
      <c r="C51" s="8" t="s">
        <v>360</v>
      </c>
      <c r="D51" s="8" t="s">
        <v>361</v>
      </c>
      <c r="E51" s="8" t="s">
        <v>362</v>
      </c>
      <c r="F51" s="8" t="s">
        <v>363</v>
      </c>
      <c r="G51" s="8" t="s">
        <v>364</v>
      </c>
      <c r="H51" s="8" t="s">
        <v>260</v>
      </c>
      <c r="I51" s="8" t="s">
        <v>261</v>
      </c>
    </row>
    <row r="52" spans="1:9" x14ac:dyDescent="0.3">
      <c r="A52" t="s">
        <v>365</v>
      </c>
      <c r="B52" s="59">
        <v>1200000000</v>
      </c>
      <c r="C52" s="46">
        <f t="shared" ref="C52:C63" si="0">B52*0.19</f>
        <v>228000000</v>
      </c>
      <c r="D52" s="59">
        <v>950000000</v>
      </c>
      <c r="E52" s="46">
        <f t="shared" ref="E52:E63" si="1">D52*0.19</f>
        <v>180500000</v>
      </c>
      <c r="F52" s="46">
        <f t="shared" ref="F52:F63" si="2">C52-E52</f>
        <v>47500000</v>
      </c>
      <c r="G52" s="59">
        <v>220000000</v>
      </c>
      <c r="H52" s="46">
        <f t="shared" ref="H52:H63" si="3">F52-G52</f>
        <v>-172500000</v>
      </c>
      <c r="I52" s="49" t="str">
        <f t="shared" ref="I52:I63" si="4">IF(ABS(H52)&lt;100000,"✓","⚠")</f>
        <v>⚠</v>
      </c>
    </row>
    <row r="53" spans="1:9" x14ac:dyDescent="0.3">
      <c r="A53" t="s">
        <v>366</v>
      </c>
      <c r="B53" s="59">
        <v>1350000000</v>
      </c>
      <c r="C53" s="46">
        <f t="shared" si="0"/>
        <v>256500000</v>
      </c>
      <c r="D53" s="59">
        <v>1020000000</v>
      </c>
      <c r="E53" s="46">
        <f t="shared" si="1"/>
        <v>193800000</v>
      </c>
      <c r="F53" s="46">
        <f t="shared" si="2"/>
        <v>62700000</v>
      </c>
      <c r="G53" s="59">
        <v>245000000</v>
      </c>
      <c r="H53" s="46">
        <f t="shared" si="3"/>
        <v>-182300000</v>
      </c>
      <c r="I53" s="49" t="str">
        <f t="shared" si="4"/>
        <v>⚠</v>
      </c>
    </row>
    <row r="54" spans="1:9" x14ac:dyDescent="0.3">
      <c r="A54" t="s">
        <v>367</v>
      </c>
      <c r="B54" s="59">
        <v>1400000000</v>
      </c>
      <c r="C54" s="46">
        <f t="shared" si="0"/>
        <v>266000000</v>
      </c>
      <c r="D54" s="59">
        <v>1100000000</v>
      </c>
      <c r="E54" s="46">
        <f t="shared" si="1"/>
        <v>209000000</v>
      </c>
      <c r="F54" s="46">
        <f t="shared" si="2"/>
        <v>57000000</v>
      </c>
      <c r="G54" s="59">
        <v>255000000</v>
      </c>
      <c r="H54" s="46">
        <f t="shared" si="3"/>
        <v>-198000000</v>
      </c>
      <c r="I54" s="49" t="str">
        <f t="shared" si="4"/>
        <v>⚠</v>
      </c>
    </row>
    <row r="55" spans="1:9" x14ac:dyDescent="0.3">
      <c r="A55" t="s">
        <v>368</v>
      </c>
      <c r="B55" s="59">
        <v>1320000000</v>
      </c>
      <c r="C55" s="46">
        <f t="shared" si="0"/>
        <v>250800000</v>
      </c>
      <c r="D55" s="59">
        <v>1050000000</v>
      </c>
      <c r="E55" s="46">
        <f t="shared" si="1"/>
        <v>199500000</v>
      </c>
      <c r="F55" s="46">
        <f t="shared" si="2"/>
        <v>51300000</v>
      </c>
      <c r="G55" s="59">
        <v>240000000</v>
      </c>
      <c r="H55" s="46">
        <f t="shared" si="3"/>
        <v>-188700000</v>
      </c>
      <c r="I55" s="49" t="str">
        <f t="shared" si="4"/>
        <v>⚠</v>
      </c>
    </row>
    <row r="56" spans="1:9" x14ac:dyDescent="0.3">
      <c r="A56" t="s">
        <v>369</v>
      </c>
      <c r="B56" s="59">
        <v>1500000000</v>
      </c>
      <c r="C56" s="46">
        <f t="shared" si="0"/>
        <v>285000000</v>
      </c>
      <c r="D56" s="59">
        <v>1150000000</v>
      </c>
      <c r="E56" s="46">
        <f t="shared" si="1"/>
        <v>218500000</v>
      </c>
      <c r="F56" s="46">
        <f t="shared" si="2"/>
        <v>66500000</v>
      </c>
      <c r="G56" s="59">
        <v>265000000</v>
      </c>
      <c r="H56" s="46">
        <f t="shared" si="3"/>
        <v>-198500000</v>
      </c>
      <c r="I56" s="49" t="str">
        <f t="shared" si="4"/>
        <v>⚠</v>
      </c>
    </row>
    <row r="57" spans="1:9" x14ac:dyDescent="0.3">
      <c r="A57" t="s">
        <v>370</v>
      </c>
      <c r="B57" s="59">
        <v>1450000000</v>
      </c>
      <c r="C57" s="46">
        <f t="shared" si="0"/>
        <v>275500000</v>
      </c>
      <c r="D57" s="59">
        <v>1100000000</v>
      </c>
      <c r="E57" s="46">
        <f t="shared" si="1"/>
        <v>209000000</v>
      </c>
      <c r="F57" s="46">
        <f t="shared" si="2"/>
        <v>66500000</v>
      </c>
      <c r="G57" s="59">
        <v>260000000</v>
      </c>
      <c r="H57" s="46">
        <f t="shared" si="3"/>
        <v>-193500000</v>
      </c>
      <c r="I57" s="49" t="str">
        <f t="shared" si="4"/>
        <v>⚠</v>
      </c>
    </row>
    <row r="58" spans="1:9" x14ac:dyDescent="0.3">
      <c r="A58" t="s">
        <v>371</v>
      </c>
      <c r="B58" s="59">
        <v>1380000000</v>
      </c>
      <c r="C58" s="46">
        <f t="shared" si="0"/>
        <v>262200000</v>
      </c>
      <c r="D58" s="59">
        <v>1080000000</v>
      </c>
      <c r="E58" s="46">
        <f t="shared" si="1"/>
        <v>205200000</v>
      </c>
      <c r="F58" s="46">
        <f t="shared" si="2"/>
        <v>57000000</v>
      </c>
      <c r="G58" s="59">
        <v>248000000</v>
      </c>
      <c r="H58" s="46">
        <f t="shared" si="3"/>
        <v>-191000000</v>
      </c>
      <c r="I58" s="49" t="str">
        <f t="shared" si="4"/>
        <v>⚠</v>
      </c>
    </row>
    <row r="59" spans="1:9" x14ac:dyDescent="0.3">
      <c r="A59" t="s">
        <v>372</v>
      </c>
      <c r="B59" s="59">
        <v>1420000000</v>
      </c>
      <c r="C59" s="46">
        <f t="shared" si="0"/>
        <v>269800000</v>
      </c>
      <c r="D59" s="59">
        <v>1120000000</v>
      </c>
      <c r="E59" s="46">
        <f t="shared" si="1"/>
        <v>212800000</v>
      </c>
      <c r="F59" s="46">
        <f t="shared" si="2"/>
        <v>57000000</v>
      </c>
      <c r="G59" s="59">
        <v>252000000</v>
      </c>
      <c r="H59" s="46">
        <f t="shared" si="3"/>
        <v>-195000000</v>
      </c>
      <c r="I59" s="49" t="str">
        <f t="shared" si="4"/>
        <v>⚠</v>
      </c>
    </row>
    <row r="60" spans="1:9" x14ac:dyDescent="0.3">
      <c r="A60" t="s">
        <v>373</v>
      </c>
      <c r="B60" s="59">
        <v>1460000000</v>
      </c>
      <c r="C60" s="46">
        <f t="shared" si="0"/>
        <v>277400000</v>
      </c>
      <c r="D60" s="59">
        <v>1130000000</v>
      </c>
      <c r="E60" s="46">
        <f t="shared" si="1"/>
        <v>214700000</v>
      </c>
      <c r="F60" s="46">
        <f t="shared" si="2"/>
        <v>62700000</v>
      </c>
      <c r="G60" s="59">
        <v>258000000</v>
      </c>
      <c r="H60" s="46">
        <f t="shared" si="3"/>
        <v>-195300000</v>
      </c>
      <c r="I60" s="49" t="str">
        <f t="shared" si="4"/>
        <v>⚠</v>
      </c>
    </row>
    <row r="61" spans="1:9" x14ac:dyDescent="0.3">
      <c r="A61" t="s">
        <v>374</v>
      </c>
      <c r="B61" s="59">
        <v>1400000000</v>
      </c>
      <c r="C61" s="46">
        <f t="shared" si="0"/>
        <v>266000000</v>
      </c>
      <c r="D61" s="59">
        <v>1100000000</v>
      </c>
      <c r="E61" s="46">
        <f t="shared" si="1"/>
        <v>209000000</v>
      </c>
      <c r="F61" s="46">
        <f t="shared" si="2"/>
        <v>57000000</v>
      </c>
      <c r="G61" s="59">
        <v>253000000</v>
      </c>
      <c r="H61" s="46">
        <f t="shared" si="3"/>
        <v>-196000000</v>
      </c>
      <c r="I61" s="49" t="str">
        <f t="shared" si="4"/>
        <v>⚠</v>
      </c>
    </row>
    <row r="62" spans="1:9" x14ac:dyDescent="0.3">
      <c r="A62" t="s">
        <v>375</v>
      </c>
      <c r="B62" s="59">
        <v>1600000000</v>
      </c>
      <c r="C62" s="46">
        <f t="shared" si="0"/>
        <v>304000000</v>
      </c>
      <c r="D62" s="59">
        <v>1250000000</v>
      </c>
      <c r="E62" s="46">
        <f t="shared" si="1"/>
        <v>237500000</v>
      </c>
      <c r="F62" s="46">
        <f t="shared" si="2"/>
        <v>66500000</v>
      </c>
      <c r="G62" s="59">
        <v>285000000</v>
      </c>
      <c r="H62" s="46">
        <f t="shared" si="3"/>
        <v>-218500000</v>
      </c>
      <c r="I62" s="49" t="str">
        <f t="shared" si="4"/>
        <v>⚠</v>
      </c>
    </row>
    <row r="63" spans="1:9" x14ac:dyDescent="0.3">
      <c r="A63" t="s">
        <v>376</v>
      </c>
      <c r="B63" s="59">
        <v>1550000000</v>
      </c>
      <c r="C63" s="46">
        <f t="shared" si="0"/>
        <v>294500000</v>
      </c>
      <c r="D63" s="59">
        <v>1200000000</v>
      </c>
      <c r="E63" s="46">
        <f t="shared" si="1"/>
        <v>228000000</v>
      </c>
      <c r="F63" s="46">
        <f t="shared" si="2"/>
        <v>66500000</v>
      </c>
      <c r="G63" s="59">
        <v>278000000</v>
      </c>
      <c r="H63" s="46">
        <f t="shared" si="3"/>
        <v>-211500000</v>
      </c>
      <c r="I63" s="49" t="str">
        <f t="shared" si="4"/>
        <v>⚠</v>
      </c>
    </row>
    <row r="64" spans="1:9" x14ac:dyDescent="0.3">
      <c r="A64" s="61" t="s">
        <v>178</v>
      </c>
      <c r="B64" s="50">
        <f t="shared" ref="B64:H64" si="5">SUM(B52:B63)</f>
        <v>17030000000</v>
      </c>
      <c r="C64" s="50">
        <f t="shared" si="5"/>
        <v>3235700000</v>
      </c>
      <c r="D64" s="50">
        <f t="shared" si="5"/>
        <v>13250000000</v>
      </c>
      <c r="E64" s="50">
        <f t="shared" si="5"/>
        <v>2517500000</v>
      </c>
      <c r="F64" s="50">
        <f t="shared" si="5"/>
        <v>718200000</v>
      </c>
      <c r="G64" s="50">
        <f t="shared" si="5"/>
        <v>3059000000</v>
      </c>
      <c r="H64" s="50">
        <f t="shared" si="5"/>
        <v>-2340800000</v>
      </c>
    </row>
    <row r="71" spans="1:9" x14ac:dyDescent="0.3">
      <c r="A71" s="92" t="s">
        <v>377</v>
      </c>
      <c r="B71" s="64"/>
      <c r="C71" s="64"/>
      <c r="D71" s="64"/>
      <c r="E71" s="64"/>
      <c r="F71" s="64"/>
      <c r="G71" s="64"/>
      <c r="H71" s="64"/>
      <c r="I71" s="64"/>
    </row>
    <row r="73" spans="1:9" x14ac:dyDescent="0.3">
      <c r="A73" s="75" t="s">
        <v>378</v>
      </c>
      <c r="B73" s="64"/>
      <c r="C73" s="64"/>
      <c r="D73" s="64"/>
      <c r="E73" s="64"/>
      <c r="F73" s="64"/>
      <c r="G73" s="64"/>
      <c r="H73" s="64"/>
      <c r="I73" s="64"/>
    </row>
    <row r="75" spans="1:9" ht="24.9" x14ac:dyDescent="0.3">
      <c r="A75" s="8" t="s">
        <v>379</v>
      </c>
      <c r="B75" s="8" t="s">
        <v>380</v>
      </c>
      <c r="C75" s="8" t="s">
        <v>381</v>
      </c>
      <c r="D75" s="8" t="s">
        <v>382</v>
      </c>
      <c r="E75" s="8" t="s">
        <v>383</v>
      </c>
      <c r="F75" s="8" t="s">
        <v>260</v>
      </c>
      <c r="G75" s="8" t="s">
        <v>384</v>
      </c>
      <c r="H75" s="8" t="s">
        <v>385</v>
      </c>
      <c r="I75" s="8" t="s">
        <v>261</v>
      </c>
    </row>
    <row r="76" spans="1:9" x14ac:dyDescent="0.3">
      <c r="A76" t="s">
        <v>386</v>
      </c>
      <c r="B76" s="59">
        <v>2500000000</v>
      </c>
      <c r="C76" s="59">
        <v>2450000000</v>
      </c>
      <c r="D76" s="46">
        <f t="shared" ref="D76:D81" si="6">C76*0.00414</f>
        <v>10142999.999999998</v>
      </c>
      <c r="E76" s="46">
        <f t="shared" ref="E76:E81" si="7">D76</f>
        <v>10142999.999999998</v>
      </c>
      <c r="F76" s="46">
        <f t="shared" ref="F76:F81" si="8">D76-E76</f>
        <v>0</v>
      </c>
      <c r="G76" s="46">
        <f t="shared" ref="G76:G81" si="9">E76</f>
        <v>10142999.999999998</v>
      </c>
      <c r="H76" s="46">
        <f t="shared" ref="H76:H81" si="10">E76-G76</f>
        <v>0</v>
      </c>
      <c r="I76" s="49" t="str">
        <f t="shared" ref="I76:I81" si="11">IF(ABS(F76)&lt;10000,"✓","⚠")</f>
        <v>✓</v>
      </c>
    </row>
    <row r="77" spans="1:9" x14ac:dyDescent="0.3">
      <c r="A77" t="s">
        <v>387</v>
      </c>
      <c r="B77" s="59">
        <v>2700000000</v>
      </c>
      <c r="C77" s="59">
        <v>2650000000</v>
      </c>
      <c r="D77" s="46">
        <f t="shared" si="6"/>
        <v>10970999.999999998</v>
      </c>
      <c r="E77" s="46">
        <f t="shared" si="7"/>
        <v>10970999.999999998</v>
      </c>
      <c r="F77" s="46">
        <f t="shared" si="8"/>
        <v>0</v>
      </c>
      <c r="G77" s="46">
        <f t="shared" si="9"/>
        <v>10970999.999999998</v>
      </c>
      <c r="H77" s="46">
        <f t="shared" si="10"/>
        <v>0</v>
      </c>
      <c r="I77" s="49" t="str">
        <f t="shared" si="11"/>
        <v>✓</v>
      </c>
    </row>
    <row r="78" spans="1:9" x14ac:dyDescent="0.3">
      <c r="A78" t="s">
        <v>388</v>
      </c>
      <c r="B78" s="59">
        <v>2800000000</v>
      </c>
      <c r="C78" s="59">
        <v>2750000000</v>
      </c>
      <c r="D78" s="46">
        <f t="shared" si="6"/>
        <v>11384999.999999998</v>
      </c>
      <c r="E78" s="46">
        <f t="shared" si="7"/>
        <v>11384999.999999998</v>
      </c>
      <c r="F78" s="46">
        <f t="shared" si="8"/>
        <v>0</v>
      </c>
      <c r="G78" s="46">
        <f t="shared" si="9"/>
        <v>11384999.999999998</v>
      </c>
      <c r="H78" s="46">
        <f t="shared" si="10"/>
        <v>0</v>
      </c>
      <c r="I78" s="49" t="str">
        <f t="shared" si="11"/>
        <v>✓</v>
      </c>
    </row>
    <row r="79" spans="1:9" x14ac:dyDescent="0.3">
      <c r="A79" t="s">
        <v>389</v>
      </c>
      <c r="B79" s="59">
        <v>2600000000</v>
      </c>
      <c r="C79" s="59">
        <v>2550000000</v>
      </c>
      <c r="D79" s="46">
        <f t="shared" si="6"/>
        <v>10556999.999999998</v>
      </c>
      <c r="E79" s="46">
        <f t="shared" si="7"/>
        <v>10556999.999999998</v>
      </c>
      <c r="F79" s="46">
        <f t="shared" si="8"/>
        <v>0</v>
      </c>
      <c r="G79" s="46">
        <f t="shared" si="9"/>
        <v>10556999.999999998</v>
      </c>
      <c r="H79" s="46">
        <f t="shared" si="10"/>
        <v>0</v>
      </c>
      <c r="I79" s="49" t="str">
        <f t="shared" si="11"/>
        <v>✓</v>
      </c>
    </row>
    <row r="80" spans="1:9" x14ac:dyDescent="0.3">
      <c r="A80" t="s">
        <v>390</v>
      </c>
      <c r="B80" s="59">
        <v>2700000000</v>
      </c>
      <c r="C80" s="59">
        <v>2650000000</v>
      </c>
      <c r="D80" s="46">
        <f t="shared" si="6"/>
        <v>10970999.999999998</v>
      </c>
      <c r="E80" s="46">
        <f t="shared" si="7"/>
        <v>10970999.999999998</v>
      </c>
      <c r="F80" s="46">
        <f t="shared" si="8"/>
        <v>0</v>
      </c>
      <c r="G80" s="46">
        <f t="shared" si="9"/>
        <v>10970999.999999998</v>
      </c>
      <c r="H80" s="46">
        <f t="shared" si="10"/>
        <v>0</v>
      </c>
      <c r="I80" s="49" t="str">
        <f t="shared" si="11"/>
        <v>✓</v>
      </c>
    </row>
    <row r="81" spans="1:9" x14ac:dyDescent="0.3">
      <c r="A81" t="s">
        <v>391</v>
      </c>
      <c r="B81" s="59">
        <v>2900000000</v>
      </c>
      <c r="C81" s="59">
        <v>2850000000</v>
      </c>
      <c r="D81" s="46">
        <f t="shared" si="6"/>
        <v>11798999.999999998</v>
      </c>
      <c r="E81" s="46">
        <f t="shared" si="7"/>
        <v>11798999.999999998</v>
      </c>
      <c r="F81" s="46">
        <f t="shared" si="8"/>
        <v>0</v>
      </c>
      <c r="G81" s="46">
        <f t="shared" si="9"/>
        <v>11798999.999999998</v>
      </c>
      <c r="H81" s="46">
        <f t="shared" si="10"/>
        <v>0</v>
      </c>
      <c r="I81" s="49" t="str">
        <f t="shared" si="11"/>
        <v>✓</v>
      </c>
    </row>
    <row r="82" spans="1:9" x14ac:dyDescent="0.3">
      <c r="A82" s="61" t="s">
        <v>178</v>
      </c>
      <c r="B82" s="50">
        <f t="shared" ref="B82:H82" si="12">SUM(B76:B81)</f>
        <v>16200000000</v>
      </c>
      <c r="C82" s="50">
        <f t="shared" si="12"/>
        <v>15900000000</v>
      </c>
      <c r="D82" s="50">
        <f t="shared" si="12"/>
        <v>65825999.999999993</v>
      </c>
      <c r="E82" s="50">
        <f t="shared" si="12"/>
        <v>65825999.999999993</v>
      </c>
      <c r="F82" s="50">
        <f t="shared" si="12"/>
        <v>0</v>
      </c>
      <c r="G82" s="50">
        <f t="shared" si="12"/>
        <v>65825999.999999993</v>
      </c>
      <c r="H82" s="50">
        <f t="shared" si="12"/>
        <v>0</v>
      </c>
    </row>
    <row r="91" spans="1:9" x14ac:dyDescent="0.3">
      <c r="A91" s="92" t="s">
        <v>392</v>
      </c>
      <c r="B91" s="64"/>
      <c r="C91" s="64"/>
      <c r="D91" s="64"/>
      <c r="E91" s="64"/>
      <c r="F91" s="64"/>
    </row>
    <row r="94" spans="1:9" x14ac:dyDescent="0.3">
      <c r="A94" s="51" t="s">
        <v>393</v>
      </c>
      <c r="B94" s="51" t="s">
        <v>339</v>
      </c>
      <c r="C94" s="51" t="s">
        <v>340</v>
      </c>
      <c r="D94" s="51" t="s">
        <v>260</v>
      </c>
      <c r="E94" s="51" t="s">
        <v>341</v>
      </c>
      <c r="F94" s="51" t="s">
        <v>261</v>
      </c>
    </row>
    <row r="95" spans="1:9" x14ac:dyDescent="0.3">
      <c r="A95" s="62" t="s">
        <v>394</v>
      </c>
      <c r="B95" s="46">
        <f>[3]RENTA!B114</f>
        <v>0</v>
      </c>
      <c r="C95" s="46">
        <f>[3]RENTA!B116</f>
        <v>0</v>
      </c>
      <c r="D95" s="46">
        <f>B95-C95</f>
        <v>0</v>
      </c>
      <c r="E95" s="58" t="str">
        <f>IF(C95=0,"N/A",D95/C95)</f>
        <v>N/A</v>
      </c>
      <c r="F95" s="49" t="str">
        <f>IF(C95=0,"N/A",IF(ABS(E95)&lt;0.05,"✓ OK","⚠ REVISAR"))</f>
        <v>N/A</v>
      </c>
    </row>
    <row r="96" spans="1:9" x14ac:dyDescent="0.3">
      <c r="A96" s="62" t="s">
        <v>395</v>
      </c>
      <c r="B96" s="46">
        <f>[3]IVA!F107</f>
        <v>0</v>
      </c>
      <c r="C96" s="46">
        <f>[3]IVA!G107</f>
        <v>0</v>
      </c>
      <c r="D96" s="46">
        <f>B96-C96</f>
        <v>0</v>
      </c>
      <c r="E96" s="58" t="str">
        <f>IF(C96=0,"N/A",D96/C96)</f>
        <v>N/A</v>
      </c>
      <c r="F96" s="49" t="str">
        <f>IF(C96=0,"N/A",IF(ABS(E96)&lt;0.05,"✓ OK","⚠ REVISAR"))</f>
        <v>N/A</v>
      </c>
    </row>
    <row r="97" spans="1:6" x14ac:dyDescent="0.3">
      <c r="A97" s="62" t="s">
        <v>396</v>
      </c>
      <c r="B97" s="46">
        <f>[3]ICA!D102</f>
        <v>0</v>
      </c>
      <c r="C97" s="46">
        <f>[3]ICA!E102</f>
        <v>0</v>
      </c>
      <c r="D97" s="46">
        <f>B97-C97</f>
        <v>0</v>
      </c>
      <c r="E97" s="58" t="str">
        <f>IF(C97=0,"N/A",D97/C97)</f>
        <v>N/A</v>
      </c>
      <c r="F97" s="49" t="str">
        <f>IF(C97=0,"N/A",IF(ABS(E97)&lt;0.05,"✓ OK","⚠ REVISAR"))</f>
        <v>N/A</v>
      </c>
    </row>
  </sheetData>
  <mergeCells count="8">
    <mergeCell ref="A11:J11"/>
    <mergeCell ref="A12:J12"/>
    <mergeCell ref="B14:E14"/>
    <mergeCell ref="A91:F91"/>
    <mergeCell ref="A17:F17"/>
    <mergeCell ref="A48:J48"/>
    <mergeCell ref="A71:I71"/>
    <mergeCell ref="A73:I73"/>
  </mergeCells>
  <hyperlinks>
    <hyperlink ref="A1" location="ÍNDICE!A1" display="&lt;&lt; Volver al Índice" xr:uid="{00000000-0004-0000-1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ÍNDICE</vt:lpstr>
      <vt:lpstr>PF PROGRAMA</vt:lpstr>
      <vt:lpstr>F-SUM Sumaria</vt:lpstr>
      <vt:lpstr>F-1 Oblig Financ</vt:lpstr>
      <vt:lpstr>F-1.1 Créditos</vt:lpstr>
      <vt:lpstr>F-1.2 Leasing</vt:lpstr>
      <vt:lpstr>F-1.3 Tasas</vt:lpstr>
      <vt:lpstr>F-2 Proveedores</vt:lpstr>
      <vt:lpstr>F-2.1 Circular</vt:lpstr>
      <vt:lpstr>COSTOS Y GASTOS</vt:lpstr>
      <vt:lpstr>F-4 Laborales</vt:lpstr>
      <vt:lpstr>F-4.1 Prestaciones</vt:lpstr>
      <vt:lpstr>CALCULOS NOMINA</vt:lpstr>
      <vt:lpstr>F-4.3 Parafiscales</vt:lpstr>
      <vt:lpstr>F-5 Provisiones</vt:lpstr>
      <vt:lpstr>F-6 Contingencias</vt:lpstr>
      <vt:lpstr>F-7 Impuestos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2025-11-12T23:05:06Z</dcterms:created>
  <dcterms:modified xsi:type="dcterms:W3CDTF">2025-12-08T03:58:25Z</dcterms:modified>
</cp:coreProperties>
</file>