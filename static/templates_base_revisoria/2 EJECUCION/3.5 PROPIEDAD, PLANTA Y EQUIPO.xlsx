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audita-revisoria\static\templates_base_revisoria\2 EJECUCION\"/>
    </mc:Choice>
  </mc:AlternateContent>
  <xr:revisionPtr revIDLastSave="0" documentId="13_ncr:1_{5B4455D4-C28E-4BDB-B5E7-D9F26B47A332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INDICE" sheetId="1" r:id="rId1"/>
    <sheet name="Programa" sheetId="57" r:id="rId2"/>
    <sheet name="E" sheetId="44" r:id="rId3"/>
    <sheet name="E-SUM" sheetId="45" r:id="rId4"/>
    <sheet name="E-1" sheetId="46" r:id="rId5"/>
    <sheet name="E-1.1" sheetId="47" r:id="rId6"/>
    <sheet name="E-2." sheetId="48" r:id="rId7"/>
    <sheet name="E-2.1" sheetId="50" r:id="rId8"/>
    <sheet name="E-2.2" sheetId="51" r:id="rId9"/>
    <sheet name="E-3" sheetId="52" r:id="rId10"/>
    <sheet name="E-4" sheetId="53" r:id="rId11"/>
    <sheet name="E-5" sheetId="54" r:id="rId12"/>
    <sheet name="E-6" sheetId="55" r:id="rId13"/>
    <sheet name="E-7" sheetId="56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57" l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E24" i="54" l="1"/>
  <c r="H24" i="54" s="1"/>
  <c r="E23" i="54"/>
  <c r="H23" i="54" s="1"/>
  <c r="E22" i="54"/>
  <c r="H22" i="54" s="1"/>
  <c r="E21" i="54"/>
  <c r="H21" i="54" s="1"/>
  <c r="E20" i="54"/>
  <c r="H20" i="54" s="1"/>
  <c r="E19" i="54"/>
  <c r="H19" i="54" s="1"/>
  <c r="E18" i="54"/>
  <c r="H18" i="54" s="1"/>
  <c r="E17" i="54"/>
  <c r="H17" i="54" s="1"/>
  <c r="E16" i="54"/>
  <c r="H16" i="54" s="1"/>
  <c r="E15" i="54"/>
  <c r="H15" i="54" s="1"/>
  <c r="F16" i="53"/>
  <c r="A44" i="48" l="1"/>
  <c r="E28" i="48"/>
  <c r="E26" i="48"/>
  <c r="D23" i="48"/>
  <c r="C23" i="48"/>
  <c r="E22" i="48"/>
  <c r="E21" i="48"/>
  <c r="H21" i="48" s="1"/>
  <c r="I21" i="48" s="1"/>
  <c r="J21" i="48" s="1"/>
  <c r="E20" i="48"/>
  <c r="H20" i="48" s="1"/>
  <c r="I20" i="48" s="1"/>
  <c r="J20" i="48" s="1"/>
  <c r="E19" i="48"/>
  <c r="E18" i="48"/>
  <c r="E17" i="48"/>
  <c r="H17" i="48" s="1"/>
  <c r="I17" i="48" s="1"/>
  <c r="J17" i="48" s="1"/>
  <c r="E16" i="48"/>
  <c r="H16" i="48" s="1"/>
  <c r="E15" i="48"/>
  <c r="H15" i="48" s="1"/>
  <c r="I15" i="48" s="1"/>
  <c r="E25" i="46"/>
  <c r="E23" i="46"/>
  <c r="E22" i="46"/>
  <c r="E21" i="46"/>
  <c r="G18" i="46"/>
  <c r="F18" i="46"/>
  <c r="H17" i="46"/>
  <c r="H16" i="46"/>
  <c r="H15" i="46"/>
  <c r="H18" i="46" s="1"/>
  <c r="A46" i="45"/>
  <c r="D28" i="45"/>
  <c r="D27" i="45"/>
  <c r="C24" i="45"/>
  <c r="B24" i="45"/>
  <c r="D23" i="45"/>
  <c r="D22" i="45"/>
  <c r="D21" i="45"/>
  <c r="D20" i="45"/>
  <c r="D19" i="45"/>
  <c r="D18" i="45"/>
  <c r="D17" i="45"/>
  <c r="D16" i="45"/>
  <c r="D29" i="45" l="1"/>
  <c r="E24" i="46"/>
  <c r="H19" i="48"/>
  <c r="I19" i="48" s="1"/>
  <c r="J19" i="48" s="1"/>
  <c r="K19" i="48" s="1"/>
  <c r="E23" i="48"/>
  <c r="J15" i="48"/>
  <c r="K15" i="48" s="1"/>
  <c r="K21" i="48"/>
  <c r="I16" i="48"/>
  <c r="J16" i="48" s="1"/>
  <c r="K16" i="48" s="1"/>
  <c r="K17" i="48"/>
  <c r="H18" i="48"/>
  <c r="I18" i="48" s="1"/>
  <c r="J18" i="48" s="1"/>
  <c r="K18" i="48" s="1"/>
  <c r="H22" i="48"/>
  <c r="I22" i="48" s="1"/>
  <c r="J22" i="48" s="1"/>
  <c r="K22" i="48" s="1"/>
  <c r="K20" i="48"/>
  <c r="D24" i="45"/>
  <c r="I23" i="48" l="1"/>
  <c r="E29" i="48" s="1"/>
  <c r="H23" i="48"/>
  <c r="E30" i="48" s="1"/>
  <c r="J23" i="48"/>
  <c r="E27" i="48"/>
  <c r="A55" i="56" l="1"/>
  <c r="C23" i="56"/>
  <c r="G21" i="56"/>
  <c r="G20" i="56"/>
  <c r="G19" i="56"/>
  <c r="G18" i="56"/>
  <c r="G17" i="56"/>
  <c r="G16" i="56"/>
  <c r="G15" i="56"/>
  <c r="A48" i="55"/>
  <c r="A58" i="54"/>
  <c r="A43" i="53"/>
  <c r="E24" i="53"/>
  <c r="D24" i="53"/>
  <c r="F22" i="53"/>
  <c r="F21" i="53"/>
  <c r="F20" i="53"/>
  <c r="F19" i="53"/>
  <c r="F18" i="53"/>
  <c r="F17" i="53"/>
  <c r="F15" i="53"/>
  <c r="A48" i="52"/>
  <c r="F31" i="52"/>
  <c r="A53" i="51"/>
  <c r="A48" i="50"/>
  <c r="A44" i="47"/>
  <c r="F25" i="47"/>
  <c r="F24" i="47"/>
  <c r="F23" i="47"/>
  <c r="F22" i="47"/>
  <c r="F21" i="47"/>
  <c r="F20" i="47"/>
  <c r="F19" i="47"/>
  <c r="F18" i="47"/>
  <c r="F17" i="47"/>
  <c r="F16" i="47"/>
  <c r="A44" i="46"/>
  <c r="A41" i="44"/>
  <c r="F24" i="53" l="1"/>
</calcChain>
</file>

<file path=xl/sharedStrings.xml><?xml version="1.0" encoding="utf-8"?>
<sst xmlns="http://schemas.openxmlformats.org/spreadsheetml/2006/main" count="512" uniqueCount="233">
  <si>
    <t>FASE</t>
  </si>
  <si>
    <t>ACCESO</t>
  </si>
  <si>
    <t>E</t>
  </si>
  <si>
    <t>PROPIEDAD, PLANTA Y EQUIPO</t>
  </si>
  <si>
    <t>E-SUM</t>
  </si>
  <si>
    <t>E-1</t>
  </si>
  <si>
    <t>Inventario detallado de activos fijos</t>
  </si>
  <si>
    <t>E-1.1</t>
  </si>
  <si>
    <t>E-1.2</t>
  </si>
  <si>
    <t>E-2</t>
  </si>
  <si>
    <t>E-2.1</t>
  </si>
  <si>
    <t>E-2.2</t>
  </si>
  <si>
    <t>E-3</t>
  </si>
  <si>
    <t>E-4</t>
  </si>
  <si>
    <t>E-5</t>
  </si>
  <si>
    <t>E-6</t>
  </si>
  <si>
    <t>Activos totalmente depreciados en uso</t>
  </si>
  <si>
    <t>E-7</t>
  </si>
  <si>
    <t>AUDITORÍA Y REVISORÍA FISCAL</t>
  </si>
  <si>
    <t>Auditoría y Revisoría Fiscal</t>
  </si>
  <si>
    <t>Fecha Elaboración</t>
  </si>
  <si>
    <t>Valor</t>
  </si>
  <si>
    <t>No.</t>
  </si>
  <si>
    <t>Procedimiento</t>
  </si>
  <si>
    <t>Observaciones</t>
  </si>
  <si>
    <t>Concepto</t>
  </si>
  <si>
    <t>Auditor</t>
  </si>
  <si>
    <t>Fecha</t>
  </si>
  <si>
    <t>Autorizado</t>
  </si>
  <si>
    <t>Gerencia</t>
  </si>
  <si>
    <t>Estado</t>
  </si>
  <si>
    <t>TOTALES</t>
  </si>
  <si>
    <t>Fecha Inicio</t>
  </si>
  <si>
    <t>Verificado</t>
  </si>
  <si>
    <t>Valor en Libros</t>
  </si>
  <si>
    <t>Valor Recuperable</t>
  </si>
  <si>
    <t>REF</t>
  </si>
  <si>
    <t>✓</t>
  </si>
  <si>
    <t>Supervisor</t>
  </si>
  <si>
    <t>Fecha Aprobación</t>
  </si>
  <si>
    <t>PROCEDIMIENTO</t>
  </si>
  <si>
    <t>OBJETIVO:</t>
  </si>
  <si>
    <t>PROCEDIMIENTOS Y HALLAZGOS:</t>
  </si>
  <si>
    <t>HALLAZGO</t>
  </si>
  <si>
    <t>HECHO POR</t>
  </si>
  <si>
    <t>Categoría</t>
  </si>
  <si>
    <t>Contabilidad</t>
  </si>
  <si>
    <t>Ref.</t>
  </si>
  <si>
    <t>Hoja</t>
  </si>
  <si>
    <t>Cédula sumaria de PPE</t>
  </si>
  <si>
    <t>☐</t>
  </si>
  <si>
    <t>Verificación física de activos</t>
  </si>
  <si>
    <t>Conciliación contabilidad vs físico</t>
  </si>
  <si>
    <t>Cálculo y análisis de depreciación</t>
  </si>
  <si>
    <t>Verificación de vidas útiles</t>
  </si>
  <si>
    <t>Verificación de valores residuales</t>
  </si>
  <si>
    <t>Adiciones del período</t>
  </si>
  <si>
    <t>Retiros y bajas del período</t>
  </si>
  <si>
    <t>Análisis de deterioro de activos</t>
  </si>
  <si>
    <t>Activos en construcción o montaje</t>
  </si>
  <si>
    <t>CÉDULA SUMARIA DE PROPIEDADES, PLANTA Y EQUIPO</t>
  </si>
  <si>
    <t>Empresa:</t>
  </si>
  <si>
    <t>Ingrese nombre de la empresa</t>
  </si>
  <si>
    <t>Período auditado:</t>
  </si>
  <si>
    <t>Costo Histórico</t>
  </si>
  <si>
    <t>Depreciación Acumulada</t>
  </si>
  <si>
    <t>Valor Neto</t>
  </si>
  <si>
    <t>Terrenos</t>
  </si>
  <si>
    <t>Edificaciones</t>
  </si>
  <si>
    <t>Maquinaria y equipo</t>
  </si>
  <si>
    <t>Vehículos</t>
  </si>
  <si>
    <t>Muebles y enseres</t>
  </si>
  <si>
    <t>Equipo de cómputo</t>
  </si>
  <si>
    <t>Activos en construcción</t>
  </si>
  <si>
    <t>Otros activos fijos</t>
  </si>
  <si>
    <t>E-8</t>
  </si>
  <si>
    <t>TOTAL PPE</t>
  </si>
  <si>
    <t>Objetivo: Verificar existencia física y condición de todos los activos fijos</t>
  </si>
  <si>
    <t>Código</t>
  </si>
  <si>
    <t>Descripción</t>
  </si>
  <si>
    <t>Ubicación</t>
  </si>
  <si>
    <t>Fecha Adq.</t>
  </si>
  <si>
    <t>Costo</t>
  </si>
  <si>
    <t>Dep. Acum.</t>
  </si>
  <si>
    <t>Resp.</t>
  </si>
  <si>
    <t>AF-001</t>
  </si>
  <si>
    <t>Edificio oficinas</t>
  </si>
  <si>
    <t>Sede principal</t>
  </si>
  <si>
    <t>AF-002</t>
  </si>
  <si>
    <t>Vehículo Toyota</t>
  </si>
  <si>
    <t>AF-003</t>
  </si>
  <si>
    <t>Computador HP</t>
  </si>
  <si>
    <t>Eq. cómputo</t>
  </si>
  <si>
    <t>TOTALES:</t>
  </si>
  <si>
    <t>Objetivo: Confirmar existencia física de activos registrados</t>
  </si>
  <si>
    <t>Ubicación Reg.</t>
  </si>
  <si>
    <t>Ubicación Real</t>
  </si>
  <si>
    <t>Estado Real</t>
  </si>
  <si>
    <t>Coincide</t>
  </si>
  <si>
    <t>Fecha Verif.</t>
  </si>
  <si>
    <t>Hallazgos</t>
  </si>
  <si>
    <t>Objetivo: Verificar correcta aplicación de métodos de depreciación y cálculos</t>
  </si>
  <si>
    <t>Activo</t>
  </si>
  <si>
    <t>Valor Resid.</t>
  </si>
  <si>
    <t>Base Deprec.</t>
  </si>
  <si>
    <t>Vida Útil</t>
  </si>
  <si>
    <t>Método</t>
  </si>
  <si>
    <t>Dep. Anual</t>
  </si>
  <si>
    <t>Línea recta</t>
  </si>
  <si>
    <t>Objetivo: Verificar que las adiciones estén debidamente autorizadas y documentadas</t>
  </si>
  <si>
    <t>Proveedor</t>
  </si>
  <si>
    <t>Factura</t>
  </si>
  <si>
    <t>Autorizado por</t>
  </si>
  <si>
    <t>Soporte</t>
  </si>
  <si>
    <t>Capitalizado</t>
  </si>
  <si>
    <t>TOTAL ADICIONES:</t>
  </si>
  <si>
    <t>E-4: RETIROS Y BAJAS DEL PERÍODO</t>
  </si>
  <si>
    <t>Objetivo: Verificar que los retiros estén debidamente autorizados y registrados</t>
  </si>
  <si>
    <t>Costo Original</t>
  </si>
  <si>
    <t>Motivo</t>
  </si>
  <si>
    <t>Ajuste</t>
  </si>
  <si>
    <t>Documentado</t>
  </si>
  <si>
    <t>E-5: ANÁLISIS DE DETERIORO DE ACTIVOS</t>
  </si>
  <si>
    <t>Objetivo: Evaluar si existen indicios de deterioro según NIC 36 / Sección 27 NIIF para PYMES</t>
  </si>
  <si>
    <t>Deterioro Req.</t>
  </si>
  <si>
    <t>Indicios</t>
  </si>
  <si>
    <t>Prueba Realizada</t>
  </si>
  <si>
    <t>Conclusión</t>
  </si>
  <si>
    <t>Objetivo: Identificar activos completamente depreciados que siguen en operación</t>
  </si>
  <si>
    <t>Años Uso</t>
  </si>
  <si>
    <t>Estado Actual</t>
  </si>
  <si>
    <t>En Uso</t>
  </si>
  <si>
    <t>Objetivo: Verificar capitalización adecuada y traslado oportuno a activos en uso</t>
  </si>
  <si>
    <t>Proyecto</t>
  </si>
  <si>
    <t>Costo Acumulado</t>
  </si>
  <si>
    <t>Avance %</t>
  </si>
  <si>
    <t>Fecha Estimada Fin</t>
  </si>
  <si>
    <t>Capitalizable</t>
  </si>
  <si>
    <t>Requiere Traslado</t>
  </si>
  <si>
    <t>TOTAL CONSTRUCCIÓN:</t>
  </si>
  <si>
    <t xml:space="preserve">                           ÍNDICE DE PROCEDIMIENTOS DE AUDITORÍA - ACTIVOS FIJOS</t>
  </si>
  <si>
    <t>Comentario</t>
  </si>
  <si>
    <t>RESUMEN DE ACTIVOS FIJOS</t>
  </si>
  <si>
    <t>Total de categorías de activos:</t>
  </si>
  <si>
    <t>Activos con valor registrado:</t>
  </si>
  <si>
    <t>Tasa de depreciación promedio:</t>
  </si>
  <si>
    <t xml:space="preserve">                                                                                      E-1: INVENTARIO DETALLADO DE ACTIVOS FIJOS</t>
  </si>
  <si>
    <t>Total de activos registrados:</t>
  </si>
  <si>
    <t>Activos totalmente depreciados:</t>
  </si>
  <si>
    <t>Activos activos (con valor neto):</t>
  </si>
  <si>
    <t>% Depreciación del total:</t>
  </si>
  <si>
    <t>Antigüedad promedio (años):</t>
  </si>
  <si>
    <t xml:space="preserve">                                                                                        E-1.1: VERIFICACIÓN FÍSICA DE ACTIVOS</t>
  </si>
  <si>
    <t>AF-004</t>
  </si>
  <si>
    <t>Maquinaria industrial</t>
  </si>
  <si>
    <t>AF-005</t>
  </si>
  <si>
    <t>Muebles oficina</t>
  </si>
  <si>
    <t>AF-006</t>
  </si>
  <si>
    <t>Equipo de comunicación</t>
  </si>
  <si>
    <t>AF-007</t>
  </si>
  <si>
    <t>Herramientas</t>
  </si>
  <si>
    <t>AF-008</t>
  </si>
  <si>
    <t>Equipo de seguridad</t>
  </si>
  <si>
    <t>RESUMEN DE DEPRECIACIÓN</t>
  </si>
  <si>
    <t>Total de activos:</t>
  </si>
  <si>
    <t>Vida útil promedio:</t>
  </si>
  <si>
    <t>% Depreciación promedio:</t>
  </si>
  <si>
    <t>Depreciación anual total:</t>
  </si>
  <si>
    <t>ACT001</t>
  </si>
  <si>
    <t>Ejemplo 1</t>
  </si>
  <si>
    <t>Indicios de deterioro</t>
  </si>
  <si>
    <t>Prueba de valor recuperable</t>
  </si>
  <si>
    <t>ACT002</t>
  </si>
  <si>
    <t>Ejemplo 2</t>
  </si>
  <si>
    <t xml:space="preserve">                                                                      E-6: ACTIVOS TOTALMENTE DEPRECIADOS EN USO</t>
  </si>
  <si>
    <t xml:space="preserve">                                                                                                        E-7: ACTIVOS EN CONSTRUCCIÓN O MONTAJE</t>
  </si>
  <si>
    <t>REF.</t>
  </si>
  <si>
    <t>DESCRIPCIÓN</t>
  </si>
  <si>
    <t>ESTADO</t>
  </si>
  <si>
    <t>2. EJECUCIÓN</t>
  </si>
  <si>
    <t>PA-E</t>
  </si>
  <si>
    <t>Programa de Auditoría - Propiedad, Planta y Equipo</t>
  </si>
  <si>
    <t>PE-1</t>
  </si>
  <si>
    <t>PROGRAMA DE AUDITORÍA - PROPIEDAD, PLANTA Y EQUIPO</t>
  </si>
  <si>
    <t>ÁREA: Propiedad, Planta y Equipo</t>
  </si>
  <si>
    <t>CUENTA: E - Terrenos, Edificios, Maquinaria, Equipo y Vehículos</t>
  </si>
  <si>
    <t>RESPONSABLE:</t>
  </si>
  <si>
    <t>OBJETIVO GENERAL</t>
  </si>
  <si>
    <t>Obtener evidencia de auditoría suficiente y adecuada sobre la existencia, integridad, valuación, propiedad y presentación de la propiedad, planta y equipo, cumpliendo con NIA 500, NIA 501 y NIA 315.</t>
  </si>
  <si>
    <t>OBJETIVOS ESPECÍFICOS</t>
  </si>
  <si>
    <t>• Verificar la existencia física de los activos fijos mediante inspección</t>
  </si>
  <si>
    <t>• Confirmar la propiedad legal de los activos mediante títulos y documentos</t>
  </si>
  <si>
    <t>• Evaluar la razonabilidad de las depreciaciones calculadas</t>
  </si>
  <si>
    <t>• Verificar las vidas útiles y valores residuales aplicados</t>
  </si>
  <si>
    <t>• Evaluar adiciones y retiros del período</t>
  </si>
  <si>
    <t>• Verificar el cumplimiento de controles internos sobre activos fijos</t>
  </si>
  <si>
    <t>• Evaluar indicios de deterioro según NIC 36</t>
  </si>
  <si>
    <t>PROCEDIMIENTO DE AUDITORÍA</t>
  </si>
  <si>
    <t>FECHA</t>
  </si>
  <si>
    <t>REVISADO
POR</t>
  </si>
  <si>
    <t>CÉDULA SUMARIA: Prepare o actualice la cédula sumaria de PPE, verificando cuadre con mayor general y balance de comprobación</t>
  </si>
  <si>
    <t>INVENTARIO DE ACTIVOS FIJOS: Obtenga o prepare inventario detallado de todos los activos fijos, incluyendo descripción, ubicación, costo, depreciación acumulada y valor neto</t>
  </si>
  <si>
    <t>VERIFICACIÓN FÍSICA: Efectúe inspección física de una muestra de activos fijos, verificando:
- Existencia
- Estado físico
- Ubicación
- Uso productivo</t>
  </si>
  <si>
    <t>CONCILIACIÓN FÍSICO VS CONTABLE: Prepare conciliación entre inventario físico y registros contables, investigando diferencias</t>
  </si>
  <si>
    <t>DEPRECIACIÓN: Recalcule la depreciación del período para muestra seleccionada, verificando:
- Método aplicado
- Vida útil
- Valor residual
- Base depreciable</t>
  </si>
  <si>
    <t>VIDAS ÚTILES: Verifique que las vidas útiles aplicadas sean razonables y consistentes con:
- Naturaleza del activo
- Políticas contables
- Estándares de la industria</t>
  </si>
  <si>
    <t>VALORES RESIDUALES: Evalúe la razonabilidad de los valores residuales estimados mediante análisis de mercado</t>
  </si>
  <si>
    <t>ADICIONES DEL PERÍODO: Verifique adiciones mediante:
- Facturas de compra
- Autorización de adquisición
- Recepción del activo
- Capitalización correcta</t>
  </si>
  <si>
    <t>RETIROS Y BAJAS: Verifique retiros del período mediante:
- Autorización de baja
- Registro de venta o desecho
- Eliminación de costo y depreciación
- Reconocimiento de pérdida/ganancia</t>
  </si>
  <si>
    <t>DETERIORO: Evalúe indicios de deterioro según NIC 36:
- Activos dañados
- Obsolescencia tecnológica
- Cambios en uso
- Valor en libros vs valor recuperable</t>
  </si>
  <si>
    <t>ACTIVOS TOTALMENTE DEPRECIADOS: Obtenga listado de activos totalmente depreciados y verifique:
- Existencia física
- Uso productivo
- Revelación adecuada</t>
  </si>
  <si>
    <t>CONSTRUCCIONES EN CURSO: Verifique activos en construcción mediante:
- Contratos de construcción
- Avance de obra
- Costos capitalizados
- Intereses capitalizados</t>
  </si>
  <si>
    <t>TÍTULOS DE PROPIEDAD: Inspeccione títulos de propiedad de terrenos y edificios, verificando:
- Propietario registrado
- Gravámenes o hipotecas
- Concordancia con registros</t>
  </si>
  <si>
    <t>E-9</t>
  </si>
  <si>
    <t>SEGUROS: Verifique pólizas de seguros sobre activos fijos, evaluando suficiencia de cobertura</t>
  </si>
  <si>
    <t>E-10</t>
  </si>
  <si>
    <t>PRESENTACIÓN Y REVELACIÓN: Verifique adecuada presentación y revelación en estados financieros según NIC 16</t>
  </si>
  <si>
    <t>CONCLUSIÓN DEL PROGRAMA</t>
  </si>
  <si>
    <t xml:space="preserve">Basado en los procedimientos ejecutados, concluimos que:
</t>
  </si>
  <si>
    <t>Elaborado por:</t>
  </si>
  <si>
    <t>Revisado por:</t>
  </si>
  <si>
    <t xml:space="preserve">
Nombre y Firma</t>
  </si>
  <si>
    <t>Preparado por: Firma</t>
  </si>
  <si>
    <t xml:space="preserve">Revisado por: </t>
  </si>
  <si>
    <t xml:space="preserve">Nombre </t>
  </si>
  <si>
    <t xml:space="preserve">                                                               E-2: CÁLCULO Y ANÁLISIS DE DEPRECIACIÓN</t>
  </si>
  <si>
    <t xml:space="preserve">                                              Verificacion de vidas utiles</t>
  </si>
  <si>
    <t>Verificacion de valores residuales</t>
  </si>
  <si>
    <t xml:space="preserve">                                                                                                E-3: ADICIONES DEL PERÍODO</t>
  </si>
  <si>
    <t>Entidad XXXXXXX</t>
  </si>
  <si>
    <t>Revisoría Fiscal</t>
  </si>
  <si>
    <t>Del 01 de Enero al 31 de Diciembre de 2024</t>
  </si>
  <si>
    <t>Cifras expresadas en [MONEDA]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</si>
</sst>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"/>
    <numFmt numFmtId="165" formatCode="dd/mm/yyyy"/>
    <numFmt numFmtId="166" formatCode="0.0%"/>
    <numFmt numFmtId="167" formatCode="0.0"/>
    <numFmt numFmtId="168" formatCode="\$#,##0;&quot;($&quot;#,##0\);\-"/>
    <numFmt numFmtId="169" formatCode="\$#,##0;\(\$#,##0\);&quot;-&quot;"/>
  </numFmts>
  <fonts count="3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u/>
      <sz val="11"/>
      <color rgb="FF0563C1"/>
      <name val="Arial"/>
      <family val="2"/>
    </font>
    <font>
      <b/>
      <sz val="11"/>
      <color rgb="FFFFFFFF"/>
      <name val="Cambria"/>
      <family val="1"/>
    </font>
    <font>
      <b/>
      <sz val="11"/>
      <name val="Cambria"/>
      <family val="1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4"/>
      <color rgb="FFFFFFFF"/>
      <name val="Cambria"/>
      <family val="1"/>
    </font>
    <font>
      <sz val="12"/>
      <color rgb="FF0000FF"/>
      <name val="Cambria"/>
      <family val="1"/>
    </font>
    <font>
      <sz val="11"/>
      <color rgb="FF008000"/>
      <name val="Cambria"/>
      <family val="1"/>
    </font>
    <font>
      <sz val="9"/>
      <name val="Cambria"/>
      <family val="1"/>
    </font>
    <font>
      <i/>
      <sz val="9"/>
      <color rgb="FFFF0000"/>
      <name val="Cambria"/>
      <family val="1"/>
    </font>
    <font>
      <sz val="11"/>
      <color rgb="FF0000FF"/>
      <name val="Cambria"/>
      <family val="1"/>
    </font>
    <font>
      <b/>
      <sz val="13"/>
      <color rgb="FFFFFFFF"/>
      <name val="Cambria"/>
      <family val="1"/>
    </font>
    <font>
      <i/>
      <sz val="9"/>
      <name val="Cambria"/>
      <family val="1"/>
    </font>
    <font>
      <b/>
      <sz val="10"/>
      <color rgb="FFC00000"/>
      <name val="Arial"/>
      <family val="2"/>
    </font>
    <font>
      <b/>
      <sz val="13"/>
      <name val="Arial"/>
      <family val="2"/>
    </font>
    <font>
      <b/>
      <sz val="13"/>
      <color theme="1"/>
      <name val="Calibri"/>
      <family val="2"/>
      <scheme val="minor"/>
    </font>
    <font>
      <b/>
      <sz val="13"/>
      <color rgb="FFFFFFFF"/>
      <name val="Calibri"/>
      <family val="2"/>
    </font>
    <font>
      <u/>
      <sz val="10"/>
      <color rgb="FF0563C1"/>
      <name val="Calibri"/>
      <family val="2"/>
    </font>
    <font>
      <sz val="12"/>
      <color rgb="FFFF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color rgb="FFC00000"/>
      <name val="Calibri"/>
      <family val="2"/>
    </font>
    <font>
      <sz val="9"/>
      <name val="Calibri"/>
      <family val="2"/>
    </font>
    <font>
      <b/>
      <u/>
      <sz val="11"/>
      <color rgb="FF0563C1"/>
      <name val="Calibri"/>
      <family val="2"/>
    </font>
    <font>
      <b/>
      <sz val="15"/>
      <color rgb="FFC00000"/>
      <name val="Calibri"/>
      <family val="2"/>
    </font>
    <font>
      <b/>
      <sz val="15"/>
      <name val="Arial"/>
      <family val="2"/>
    </font>
    <font>
      <b/>
      <sz val="15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rgb="FF666699"/>
      </patternFill>
    </fill>
    <fill>
      <patternFill patternType="solid">
        <fgColor rgb="FF366092"/>
        <bgColor rgb="FF333399"/>
      </patternFill>
    </fill>
    <fill>
      <patternFill patternType="solid">
        <fgColor rgb="FFE7E6E6"/>
        <bgColor rgb="FFE2EFDA"/>
      </patternFill>
    </fill>
    <fill>
      <patternFill patternType="solid">
        <fgColor rgb="FFE2EFDA"/>
        <bgColor rgb="FFE7E6E6"/>
      </patternFill>
    </fill>
    <fill>
      <patternFill patternType="solid">
        <fgColor rgb="FFFFC000"/>
        <bgColor rgb="FFFF9900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2" xfId="0" applyBorder="1"/>
    <xf numFmtId="0" fontId="6" fillId="0" borderId="0" xfId="0" applyFont="1"/>
    <xf numFmtId="0" fontId="1" fillId="0" borderId="0" xfId="0" applyFont="1"/>
    <xf numFmtId="0" fontId="8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10" fillId="0" borderId="3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/>
    </xf>
    <xf numFmtId="0" fontId="14" fillId="0" borderId="2" xfId="0" applyFont="1" applyBorder="1"/>
    <xf numFmtId="0" fontId="15" fillId="0" borderId="2" xfId="0" applyFont="1" applyBorder="1"/>
    <xf numFmtId="0" fontId="16" fillId="0" borderId="0" xfId="0" applyFont="1"/>
    <xf numFmtId="0" fontId="17" fillId="0" borderId="0" xfId="0" applyFont="1"/>
    <xf numFmtId="0" fontId="18" fillId="7" borderId="0" xfId="0" applyFont="1" applyFill="1"/>
    <xf numFmtId="168" fontId="0" fillId="0" borderId="2" xfId="0" applyNumberFormat="1" applyBorder="1"/>
    <xf numFmtId="168" fontId="18" fillId="0" borderId="2" xfId="0" applyNumberFormat="1" applyFont="1" applyBorder="1"/>
    <xf numFmtId="0" fontId="20" fillId="0" borderId="0" xfId="0" applyFont="1"/>
    <xf numFmtId="0" fontId="7" fillId="6" borderId="2" xfId="0" applyFont="1" applyFill="1" applyBorder="1" applyAlignment="1">
      <alignment horizontal="center" wrapText="1"/>
    </xf>
    <xf numFmtId="0" fontId="18" fillId="0" borderId="2" xfId="0" applyFont="1" applyBorder="1"/>
    <xf numFmtId="164" fontId="18" fillId="0" borderId="2" xfId="0" applyNumberFormat="1" applyFont="1" applyBorder="1"/>
    <xf numFmtId="168" fontId="8" fillId="0" borderId="0" xfId="0" applyNumberFormat="1" applyFont="1"/>
    <xf numFmtId="9" fontId="18" fillId="0" borderId="2" xfId="0" applyNumberFormat="1" applyFont="1" applyBorder="1"/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/>
    </xf>
    <xf numFmtId="0" fontId="5" fillId="2" borderId="3" xfId="0" applyFont="1" applyFill="1" applyBorder="1" applyAlignment="1">
      <alignment horizontal="center" vertical="center" wrapText="1"/>
    </xf>
    <xf numFmtId="165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2" borderId="3" xfId="0" applyFont="1" applyFill="1" applyBorder="1" applyAlignment="1">
      <alignment horizontal="left"/>
    </xf>
    <xf numFmtId="169" fontId="0" fillId="0" borderId="3" xfId="0" applyNumberFormat="1" applyBorder="1" applyAlignment="1">
      <alignment horizontal="right"/>
    </xf>
    <xf numFmtId="169" fontId="5" fillId="2" borderId="3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5" fillId="2" borderId="3" xfId="0" applyFont="1" applyFill="1" applyBorder="1" applyAlignment="1">
      <alignment horizontal="right"/>
    </xf>
    <xf numFmtId="167" fontId="0" fillId="0" borderId="0" xfId="0" applyNumberFormat="1" applyAlignment="1">
      <alignment horizontal="center"/>
    </xf>
    <xf numFmtId="0" fontId="0" fillId="8" borderId="2" xfId="0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23" fillId="0" borderId="0" xfId="0" applyFont="1"/>
    <xf numFmtId="0" fontId="22" fillId="0" borderId="0" xfId="0" applyFont="1"/>
    <xf numFmtId="0" fontId="7" fillId="5" borderId="3" xfId="0" applyFont="1" applyFill="1" applyBorder="1" applyAlignment="1">
      <alignment horizontal="center" vertical="center"/>
    </xf>
    <xf numFmtId="168" fontId="0" fillId="0" borderId="3" xfId="0" applyNumberFormat="1" applyBorder="1"/>
    <xf numFmtId="0" fontId="0" fillId="0" borderId="3" xfId="0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10" borderId="3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25" fillId="0" borderId="3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9" fillId="11" borderId="3" xfId="0" applyFont="1" applyFill="1" applyBorder="1" applyAlignment="1">
      <alignment horizontal="center" vertical="center" wrapText="1"/>
    </xf>
    <xf numFmtId="0" fontId="30" fillId="11" borderId="3" xfId="0" applyFont="1" applyFill="1" applyBorder="1" applyAlignment="1">
      <alignment horizontal="left" vertical="top" wrapText="1"/>
    </xf>
    <xf numFmtId="0" fontId="29" fillId="0" borderId="3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27" fillId="0" borderId="0" xfId="0" applyFont="1"/>
    <xf numFmtId="0" fontId="0" fillId="0" borderId="13" xfId="0" applyBorder="1"/>
    <xf numFmtId="0" fontId="30" fillId="0" borderId="0" xfId="0" applyFont="1"/>
    <xf numFmtId="0" fontId="2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4" fillId="2" borderId="9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27" fillId="0" borderId="11" xfId="0" applyFont="1" applyBorder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8" fillId="10" borderId="11" xfId="0" applyFont="1" applyFill="1" applyBorder="1" applyAlignment="1">
      <alignment horizontal="left" vertical="center" wrapText="1"/>
    </xf>
    <xf numFmtId="0" fontId="28" fillId="10" borderId="0" xfId="0" applyFont="1" applyFill="1" applyAlignment="1">
      <alignment horizontal="left" vertical="center" wrapText="1"/>
    </xf>
    <xf numFmtId="0" fontId="27" fillId="10" borderId="11" xfId="0" applyFont="1" applyFill="1" applyBorder="1" applyAlignment="1">
      <alignment horizontal="left" vertical="center" wrapText="1"/>
    </xf>
    <xf numFmtId="0" fontId="27" fillId="10" borderId="0" xfId="0" applyFont="1" applyFill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0" fillId="0" borderId="0" xfId="0"/>
    <xf numFmtId="0" fontId="13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19" fillId="6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9" fillId="6" borderId="0" xfId="0" applyFont="1" applyFill="1"/>
    <xf numFmtId="0" fontId="0" fillId="0" borderId="1" xfId="0" applyBorder="1" applyAlignment="1">
      <alignment vertical="top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19" fillId="6" borderId="0" xfId="0" applyFont="1" applyFill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"/>
  <sheetViews>
    <sheetView tabSelected="1" workbookViewId="0">
      <selection activeCell="D29" sqref="D29"/>
    </sheetView>
  </sheetViews>
  <sheetFormatPr baseColWidth="10" defaultColWidth="9.109375" defaultRowHeight="15.05" x14ac:dyDescent="0.3"/>
  <cols>
    <col min="1" max="1" width="18.33203125" customWidth="1"/>
    <col min="2" max="2" width="22.5546875" customWidth="1"/>
    <col min="3" max="3" width="46.6640625" customWidth="1"/>
    <col min="4" max="4" width="33.33203125" customWidth="1"/>
  </cols>
  <sheetData>
    <row r="1" spans="1:5" ht="29.95" customHeight="1" x14ac:dyDescent="0.3">
      <c r="A1" s="65" t="s">
        <v>19</v>
      </c>
      <c r="B1" s="65"/>
      <c r="C1" s="65"/>
      <c r="D1" s="65"/>
    </row>
    <row r="2" spans="1:5" x14ac:dyDescent="0.3">
      <c r="A2" s="50" t="s">
        <v>0</v>
      </c>
      <c r="B2" s="50" t="s">
        <v>176</v>
      </c>
      <c r="C2" s="50" t="s">
        <v>177</v>
      </c>
      <c r="D2" s="50" t="s">
        <v>1</v>
      </c>
      <c r="E2" s="50" t="s">
        <v>178</v>
      </c>
    </row>
    <row r="3" spans="1:5" x14ac:dyDescent="0.3">
      <c r="A3" s="51" t="s">
        <v>179</v>
      </c>
      <c r="B3" s="58" t="s">
        <v>2</v>
      </c>
      <c r="C3" s="51" t="s">
        <v>3</v>
      </c>
      <c r="D3" s="52" t="str">
        <f>HYPERLINK("#'E'!A1","ABRIR ►")</f>
        <v>ABRIR ►</v>
      </c>
    </row>
    <row r="4" spans="1:5" x14ac:dyDescent="0.3">
      <c r="B4" s="58" t="s">
        <v>180</v>
      </c>
      <c r="C4" s="7" t="s">
        <v>181</v>
      </c>
      <c r="D4" s="52" t="str">
        <f>HYPERLINK("#'PA-E'!A1","ABRIR ►")</f>
        <v>ABRIR ►</v>
      </c>
      <c r="E4" s="7"/>
    </row>
    <row r="5" spans="1:5" x14ac:dyDescent="0.3">
      <c r="B5" s="58" t="s">
        <v>4</v>
      </c>
      <c r="C5" s="7" t="s">
        <v>49</v>
      </c>
      <c r="D5" s="52" t="str">
        <f>HYPERLINK("#'E-SUM'!A1","ABRIR ►")</f>
        <v>ABRIR ►</v>
      </c>
      <c r="E5" s="7"/>
    </row>
    <row r="6" spans="1:5" x14ac:dyDescent="0.3">
      <c r="B6" s="58" t="s">
        <v>5</v>
      </c>
      <c r="C6" s="7" t="s">
        <v>6</v>
      </c>
      <c r="D6" s="52" t="str">
        <f>HYPERLINK("#'E-1'!A1","ABRIR ►")</f>
        <v>ABRIR ►</v>
      </c>
      <c r="E6" s="7"/>
    </row>
    <row r="7" spans="1:5" x14ac:dyDescent="0.3">
      <c r="B7" s="58" t="s">
        <v>7</v>
      </c>
      <c r="C7" s="7" t="s">
        <v>51</v>
      </c>
      <c r="D7" s="52" t="str">
        <f>HYPERLINK("#'E-1.1'!A1","ABRIR ►")</f>
        <v>ABRIR ►</v>
      </c>
      <c r="E7" s="7"/>
    </row>
    <row r="8" spans="1:5" x14ac:dyDescent="0.3">
      <c r="B8" s="58" t="s">
        <v>9</v>
      </c>
      <c r="C8" s="7" t="s">
        <v>53</v>
      </c>
      <c r="D8" s="52" t="str">
        <f>HYPERLINK("#'E-1.2'!A1","ABRIR ►")</f>
        <v>ABRIR ►</v>
      </c>
      <c r="E8" s="7"/>
    </row>
    <row r="9" spans="1:5" x14ac:dyDescent="0.3">
      <c r="B9" s="58" t="s">
        <v>10</v>
      </c>
      <c r="C9" s="7" t="s">
        <v>54</v>
      </c>
      <c r="D9" s="52" t="str">
        <f>HYPERLINK("#'E-2'!A1","ABRIR ►")</f>
        <v>ABRIR ►</v>
      </c>
      <c r="E9" s="7"/>
    </row>
    <row r="10" spans="1:5" x14ac:dyDescent="0.3">
      <c r="B10" s="58" t="s">
        <v>11</v>
      </c>
      <c r="C10" s="7" t="s">
        <v>55</v>
      </c>
      <c r="D10" s="52" t="str">
        <f>HYPERLINK("#'E-2.1'!A1","ABRIR ►")</f>
        <v>ABRIR ►</v>
      </c>
      <c r="E10" s="7"/>
    </row>
    <row r="11" spans="1:5" x14ac:dyDescent="0.3">
      <c r="B11" s="58" t="s">
        <v>12</v>
      </c>
      <c r="C11" s="7" t="s">
        <v>56</v>
      </c>
      <c r="D11" s="52" t="str">
        <f>HYPERLINK("#'E-2.2'!A1","ABRIR ►")</f>
        <v>ABRIR ►</v>
      </c>
      <c r="E11" s="7"/>
    </row>
    <row r="12" spans="1:5" x14ac:dyDescent="0.3">
      <c r="B12" s="58" t="s">
        <v>13</v>
      </c>
      <c r="C12" s="7" t="s">
        <v>57</v>
      </c>
      <c r="D12" s="52" t="str">
        <f>HYPERLINK("#'E-3'!A1","ABRIR ►")</f>
        <v>ABRIR ►</v>
      </c>
      <c r="E12" s="7"/>
    </row>
    <row r="13" spans="1:5" x14ac:dyDescent="0.3">
      <c r="B13" s="58" t="s">
        <v>14</v>
      </c>
      <c r="C13" s="7" t="s">
        <v>58</v>
      </c>
      <c r="D13" s="52" t="str">
        <f>HYPERLINK("#'E-4'!A1","ABRIR ►")</f>
        <v>ABRIR ►</v>
      </c>
      <c r="E13" s="7"/>
    </row>
    <row r="14" spans="1:5" x14ac:dyDescent="0.3">
      <c r="B14" s="58" t="s">
        <v>15</v>
      </c>
      <c r="C14" s="7" t="s">
        <v>16</v>
      </c>
      <c r="D14" s="52" t="str">
        <f>HYPERLINK("#'E-5'!A1","ABRIR ►")</f>
        <v>ABRIR ►</v>
      </c>
      <c r="E14" s="7"/>
    </row>
    <row r="15" spans="1:5" x14ac:dyDescent="0.3">
      <c r="B15" s="58" t="s">
        <v>17</v>
      </c>
      <c r="C15" s="7" t="s">
        <v>59</v>
      </c>
      <c r="D15" s="52" t="str">
        <f>HYPERLINK("#'E-6'!A1","ABRIR ►")</f>
        <v>ABRIR ►</v>
      </c>
      <c r="E15" s="7"/>
    </row>
    <row r="16" spans="1:5" x14ac:dyDescent="0.3">
      <c r="A16" s="45"/>
      <c r="B16" s="46"/>
      <c r="C16" s="47"/>
      <c r="D16" s="48"/>
    </row>
    <row r="17" spans="1:4" x14ac:dyDescent="0.3">
      <c r="A17" s="45"/>
      <c r="B17" s="46"/>
      <c r="C17" s="47"/>
      <c r="D17" s="48"/>
    </row>
    <row r="18" spans="1:4" x14ac:dyDescent="0.3">
      <c r="A18" s="45"/>
      <c r="B18" s="46"/>
      <c r="C18" s="47"/>
      <c r="D18" s="48"/>
    </row>
    <row r="19" spans="1:4" x14ac:dyDescent="0.3">
      <c r="A19" s="45"/>
      <c r="B19" s="46"/>
      <c r="C19" s="47"/>
      <c r="D19" s="48"/>
    </row>
    <row r="20" spans="1:4" x14ac:dyDescent="0.3">
      <c r="A20" s="45"/>
      <c r="B20" s="46"/>
      <c r="C20" s="47"/>
      <c r="D20" s="48"/>
    </row>
    <row r="21" spans="1:4" x14ac:dyDescent="0.3">
      <c r="A21" s="45"/>
      <c r="B21" s="46"/>
      <c r="C21" s="47"/>
      <c r="D21" s="48"/>
    </row>
    <row r="22" spans="1:4" x14ac:dyDescent="0.3">
      <c r="A22" s="45"/>
      <c r="B22" s="46"/>
      <c r="C22" s="47"/>
      <c r="D22" s="48"/>
    </row>
    <row r="23" spans="1:4" x14ac:dyDescent="0.3">
      <c r="A23" s="45"/>
      <c r="B23" s="46"/>
      <c r="C23" s="47"/>
      <c r="D23" s="48"/>
    </row>
    <row r="24" spans="1:4" x14ac:dyDescent="0.3">
      <c r="A24" s="45"/>
      <c r="B24" s="46"/>
      <c r="C24" s="47"/>
      <c r="D24" s="48"/>
    </row>
    <row r="25" spans="1:4" x14ac:dyDescent="0.3">
      <c r="A25" s="45"/>
      <c r="B25" s="46"/>
      <c r="C25" s="47"/>
      <c r="D25" s="48"/>
    </row>
    <row r="26" spans="1:4" x14ac:dyDescent="0.3">
      <c r="A26" s="45"/>
      <c r="B26" s="46"/>
      <c r="C26" s="47"/>
      <c r="D26" s="48"/>
    </row>
    <row r="27" spans="1:4" x14ac:dyDescent="0.3">
      <c r="A27" s="45"/>
      <c r="B27" s="46"/>
      <c r="C27" s="47"/>
      <c r="D27" s="48"/>
    </row>
    <row r="28" spans="1:4" x14ac:dyDescent="0.3">
      <c r="A28" s="45"/>
      <c r="B28" s="46"/>
      <c r="C28" s="47"/>
      <c r="D28" s="48"/>
    </row>
    <row r="29" spans="1:4" x14ac:dyDescent="0.3">
      <c r="A29" s="45"/>
      <c r="B29" s="46"/>
      <c r="C29" s="47"/>
      <c r="D29" s="48"/>
    </row>
    <row r="30" spans="1:4" x14ac:dyDescent="0.3">
      <c r="A30" s="45"/>
      <c r="B30" s="46"/>
      <c r="C30" s="47"/>
      <c r="D30" s="48"/>
    </row>
    <row r="31" spans="1:4" x14ac:dyDescent="0.3">
      <c r="A31" s="45"/>
      <c r="B31" s="46"/>
      <c r="C31" s="47"/>
      <c r="D31" s="48"/>
    </row>
    <row r="32" spans="1:4" x14ac:dyDescent="0.3">
      <c r="A32" s="45"/>
      <c r="B32" s="46"/>
      <c r="C32" s="47"/>
      <c r="D32" s="48"/>
    </row>
    <row r="33" spans="1:4" x14ac:dyDescent="0.3">
      <c r="A33" s="45"/>
      <c r="B33" s="46"/>
      <c r="C33" s="47"/>
      <c r="D33" s="48"/>
    </row>
    <row r="34" spans="1:4" x14ac:dyDescent="0.3">
      <c r="A34" s="45"/>
      <c r="B34" s="49"/>
      <c r="C34" s="45"/>
      <c r="D34" s="48"/>
    </row>
    <row r="35" spans="1:4" x14ac:dyDescent="0.3">
      <c r="A35" s="45"/>
      <c r="B35" s="49"/>
      <c r="C35" s="45"/>
      <c r="D35" s="48"/>
    </row>
    <row r="36" spans="1:4" x14ac:dyDescent="0.3">
      <c r="A36" s="45"/>
      <c r="B36" s="49"/>
      <c r="C36" s="45"/>
      <c r="D36" s="48"/>
    </row>
    <row r="37" spans="1:4" x14ac:dyDescent="0.3">
      <c r="A37" s="45"/>
      <c r="B37" s="49"/>
      <c r="C37" s="45"/>
      <c r="D37" s="48"/>
    </row>
    <row r="38" spans="1:4" x14ac:dyDescent="0.3">
      <c r="A38" s="45"/>
      <c r="B38" s="49"/>
      <c r="C38" s="45"/>
      <c r="D38" s="48"/>
    </row>
    <row r="39" spans="1:4" x14ac:dyDescent="0.3">
      <c r="A39" s="45"/>
      <c r="B39" s="49"/>
      <c r="C39" s="45"/>
      <c r="D39" s="48"/>
    </row>
    <row r="40" spans="1:4" x14ac:dyDescent="0.3">
      <c r="A40" s="45"/>
      <c r="B40" s="49"/>
      <c r="C40" s="45"/>
      <c r="D40" s="48"/>
    </row>
    <row r="41" spans="1:4" x14ac:dyDescent="0.3">
      <c r="A41" s="45"/>
      <c r="B41" s="49"/>
      <c r="C41" s="45"/>
      <c r="D41" s="48"/>
    </row>
    <row r="42" spans="1:4" x14ac:dyDescent="0.3">
      <c r="A42" s="45"/>
      <c r="B42" s="49"/>
      <c r="C42" s="45"/>
      <c r="D42" s="48"/>
    </row>
    <row r="43" spans="1:4" x14ac:dyDescent="0.3">
      <c r="A43" s="45"/>
      <c r="B43" s="49"/>
      <c r="C43" s="45"/>
      <c r="D43" s="48"/>
    </row>
    <row r="44" spans="1:4" x14ac:dyDescent="0.3">
      <c r="A44" s="45"/>
      <c r="B44" s="49"/>
      <c r="C44" s="45"/>
      <c r="D44" s="48"/>
    </row>
    <row r="45" spans="1:4" x14ac:dyDescent="0.3">
      <c r="A45" s="45"/>
      <c r="B45" s="46"/>
      <c r="C45" s="47"/>
      <c r="D45" s="48"/>
    </row>
    <row r="46" spans="1:4" x14ac:dyDescent="0.3">
      <c r="A46" s="45"/>
      <c r="B46" s="46"/>
      <c r="C46" s="47"/>
      <c r="D46" s="48"/>
    </row>
    <row r="47" spans="1:4" x14ac:dyDescent="0.3">
      <c r="A47" s="45"/>
      <c r="B47" s="46"/>
      <c r="C47" s="47"/>
      <c r="D47" s="48"/>
    </row>
    <row r="48" spans="1:4" x14ac:dyDescent="0.3">
      <c r="A48" s="45"/>
      <c r="B48" s="46"/>
      <c r="C48" s="47"/>
      <c r="D48" s="48"/>
    </row>
    <row r="49" spans="1:4" x14ac:dyDescent="0.3">
      <c r="A49" s="45"/>
      <c r="B49" s="46"/>
      <c r="C49" s="47"/>
      <c r="D49" s="48"/>
    </row>
    <row r="50" spans="1:4" x14ac:dyDescent="0.3">
      <c r="A50" s="45"/>
      <c r="B50" s="46"/>
      <c r="C50" s="47"/>
      <c r="D50" s="48"/>
    </row>
    <row r="51" spans="1:4" x14ac:dyDescent="0.3">
      <c r="A51" s="45"/>
      <c r="B51" s="46"/>
      <c r="C51" s="47"/>
      <c r="D51" s="48"/>
    </row>
    <row r="52" spans="1:4" x14ac:dyDescent="0.3">
      <c r="A52" s="45"/>
      <c r="B52" s="46"/>
      <c r="C52" s="47"/>
      <c r="D52" s="48"/>
    </row>
    <row r="53" spans="1:4" x14ac:dyDescent="0.3">
      <c r="A53" s="45"/>
      <c r="B53" s="46"/>
      <c r="C53" s="47"/>
      <c r="D53" s="48"/>
    </row>
    <row r="54" spans="1:4" x14ac:dyDescent="0.3">
      <c r="A54" s="45"/>
      <c r="B54" s="46"/>
      <c r="C54" s="47"/>
      <c r="D54" s="48"/>
    </row>
    <row r="55" spans="1:4" x14ac:dyDescent="0.3">
      <c r="A55" s="45"/>
      <c r="B55" s="46"/>
      <c r="C55" s="47"/>
      <c r="D55" s="48"/>
    </row>
    <row r="56" spans="1:4" x14ac:dyDescent="0.3">
      <c r="A56" s="45"/>
      <c r="B56" s="46"/>
      <c r="C56" s="47"/>
      <c r="D56" s="48"/>
    </row>
    <row r="57" spans="1:4" x14ac:dyDescent="0.3">
      <c r="A57" s="45"/>
      <c r="B57" s="46"/>
      <c r="C57" s="47"/>
      <c r="D57" s="48"/>
    </row>
    <row r="58" spans="1:4" x14ac:dyDescent="0.3">
      <c r="A58" s="45"/>
      <c r="B58" s="46"/>
      <c r="C58" s="47"/>
      <c r="D58" s="48"/>
    </row>
    <row r="59" spans="1:4" x14ac:dyDescent="0.3">
      <c r="A59" s="45"/>
      <c r="B59" s="46"/>
      <c r="C59" s="47"/>
      <c r="D59" s="48"/>
    </row>
    <row r="60" spans="1:4" x14ac:dyDescent="0.3">
      <c r="A60" s="45"/>
      <c r="B60" s="46"/>
      <c r="C60" s="47"/>
      <c r="D60" s="48"/>
    </row>
    <row r="61" spans="1:4" x14ac:dyDescent="0.3">
      <c r="A61" s="45"/>
      <c r="B61" s="46"/>
      <c r="C61" s="47"/>
      <c r="D61" s="48"/>
    </row>
    <row r="62" spans="1:4" x14ac:dyDescent="0.3">
      <c r="A62" s="45"/>
      <c r="B62" s="46"/>
      <c r="C62" s="47"/>
      <c r="D62" s="48"/>
    </row>
    <row r="63" spans="1:4" x14ac:dyDescent="0.3">
      <c r="A63" s="45"/>
      <c r="B63" s="46"/>
      <c r="C63" s="47"/>
      <c r="D63" s="48"/>
    </row>
    <row r="64" spans="1:4" x14ac:dyDescent="0.3">
      <c r="A64" s="45"/>
      <c r="B64" s="46"/>
      <c r="C64" s="47"/>
      <c r="D64" s="48"/>
    </row>
    <row r="65" spans="1:4" x14ac:dyDescent="0.3">
      <c r="A65" s="45"/>
      <c r="B65" s="46"/>
      <c r="C65" s="47"/>
      <c r="D65" s="48"/>
    </row>
    <row r="66" spans="1:4" x14ac:dyDescent="0.3">
      <c r="A66" s="45"/>
      <c r="B66" s="46"/>
      <c r="C66" s="47"/>
      <c r="D66" s="48"/>
    </row>
    <row r="67" spans="1:4" x14ac:dyDescent="0.3">
      <c r="A67" s="45"/>
      <c r="B67" s="46"/>
      <c r="C67" s="47"/>
      <c r="D67" s="48"/>
    </row>
    <row r="68" spans="1:4" x14ac:dyDescent="0.3">
      <c r="A68" s="45"/>
      <c r="B68" s="46"/>
      <c r="C68" s="47"/>
      <c r="D68" s="48"/>
    </row>
    <row r="69" spans="1:4" x14ac:dyDescent="0.3">
      <c r="A69" s="45"/>
      <c r="B69" s="46"/>
      <c r="C69" s="47"/>
      <c r="D69" s="48"/>
    </row>
    <row r="70" spans="1:4" x14ac:dyDescent="0.3">
      <c r="A70" s="45"/>
      <c r="B70" s="46"/>
      <c r="C70" s="47"/>
      <c r="D70" s="48"/>
    </row>
    <row r="71" spans="1:4" x14ac:dyDescent="0.3">
      <c r="A71" s="45"/>
      <c r="B71" s="46"/>
      <c r="C71" s="47"/>
      <c r="D71" s="48"/>
    </row>
    <row r="72" spans="1:4" x14ac:dyDescent="0.3">
      <c r="A72" s="45"/>
      <c r="B72" s="46"/>
      <c r="C72" s="47"/>
      <c r="D72" s="48"/>
    </row>
    <row r="73" spans="1:4" x14ac:dyDescent="0.3">
      <c r="A73" s="45"/>
      <c r="B73" s="46"/>
      <c r="C73" s="47"/>
      <c r="D73" s="48"/>
    </row>
    <row r="74" spans="1:4" x14ac:dyDescent="0.3">
      <c r="A74" s="45"/>
      <c r="B74" s="46"/>
      <c r="C74" s="47"/>
      <c r="D74" s="48"/>
    </row>
    <row r="75" spans="1:4" x14ac:dyDescent="0.3">
      <c r="A75" s="45"/>
      <c r="B75" s="46"/>
      <c r="C75" s="47"/>
      <c r="D75" s="48"/>
    </row>
    <row r="76" spans="1:4" x14ac:dyDescent="0.3">
      <c r="A76" s="45"/>
      <c r="B76" s="46"/>
      <c r="C76" s="47"/>
      <c r="D76" s="48"/>
    </row>
    <row r="77" spans="1:4" x14ac:dyDescent="0.3">
      <c r="A77" s="45"/>
      <c r="B77" s="46"/>
      <c r="C77" s="47"/>
      <c r="D77" s="48"/>
    </row>
    <row r="78" spans="1:4" x14ac:dyDescent="0.3">
      <c r="A78" s="45"/>
      <c r="B78" s="46"/>
      <c r="C78" s="47"/>
      <c r="D78" s="48"/>
    </row>
    <row r="79" spans="1:4" x14ac:dyDescent="0.3">
      <c r="A79" s="45"/>
      <c r="B79" s="46"/>
      <c r="C79" s="47"/>
      <c r="D79" s="48"/>
    </row>
    <row r="80" spans="1:4" x14ac:dyDescent="0.3">
      <c r="A80" s="45"/>
      <c r="B80" s="46"/>
      <c r="C80" s="47"/>
      <c r="D80" s="48"/>
    </row>
    <row r="81" spans="1:4" x14ac:dyDescent="0.3">
      <c r="A81" s="45"/>
      <c r="B81" s="46"/>
      <c r="C81" s="47"/>
      <c r="D81" s="48"/>
    </row>
    <row r="82" spans="1:4" x14ac:dyDescent="0.3">
      <c r="A82" s="45"/>
      <c r="B82" s="46"/>
      <c r="C82" s="47"/>
      <c r="D82" s="48"/>
    </row>
    <row r="83" spans="1:4" x14ac:dyDescent="0.3">
      <c r="A83" s="45"/>
      <c r="B83" s="46"/>
      <c r="C83" s="47"/>
      <c r="D83" s="48"/>
    </row>
    <row r="84" spans="1:4" x14ac:dyDescent="0.3">
      <c r="A84" s="45"/>
      <c r="B84" s="46"/>
      <c r="C84" s="47"/>
      <c r="D84" s="48"/>
    </row>
    <row r="85" spans="1:4" x14ac:dyDescent="0.3">
      <c r="A85" s="45"/>
      <c r="B85" s="46"/>
      <c r="C85" s="47"/>
      <c r="D85" s="48"/>
    </row>
    <row r="86" spans="1:4" x14ac:dyDescent="0.3">
      <c r="A86" s="45"/>
      <c r="B86" s="46"/>
      <c r="C86" s="47"/>
      <c r="D86" s="48"/>
    </row>
    <row r="87" spans="1:4" x14ac:dyDescent="0.3">
      <c r="A87" s="45"/>
      <c r="B87" s="46"/>
      <c r="C87" s="47"/>
      <c r="D87" s="48"/>
    </row>
    <row r="88" spans="1:4" x14ac:dyDescent="0.3">
      <c r="A88" s="45"/>
      <c r="B88" s="46"/>
      <c r="C88" s="47"/>
      <c r="D88" s="48"/>
    </row>
    <row r="89" spans="1:4" x14ac:dyDescent="0.3">
      <c r="A89" s="45"/>
      <c r="B89" s="46"/>
      <c r="C89" s="47"/>
      <c r="D89" s="48"/>
    </row>
    <row r="90" spans="1:4" x14ac:dyDescent="0.3">
      <c r="A90" s="45"/>
      <c r="B90" s="46"/>
      <c r="C90" s="47"/>
      <c r="D90" s="48"/>
    </row>
    <row r="91" spans="1:4" x14ac:dyDescent="0.3">
      <c r="A91" s="45"/>
      <c r="B91" s="46"/>
      <c r="C91" s="47"/>
      <c r="D91" s="48"/>
    </row>
    <row r="92" spans="1:4" x14ac:dyDescent="0.3">
      <c r="A92" s="45"/>
      <c r="B92" s="46"/>
      <c r="C92" s="47"/>
      <c r="D92" s="48"/>
    </row>
    <row r="93" spans="1:4" x14ac:dyDescent="0.3">
      <c r="A93" s="45"/>
      <c r="B93" s="46"/>
      <c r="C93" s="47"/>
      <c r="D93" s="48"/>
    </row>
    <row r="94" spans="1:4" x14ac:dyDescent="0.3">
      <c r="A94" s="45"/>
      <c r="B94" s="46"/>
      <c r="C94" s="47"/>
      <c r="D94" s="48"/>
    </row>
    <row r="95" spans="1:4" x14ac:dyDescent="0.3">
      <c r="A95" s="45"/>
      <c r="B95" s="46"/>
      <c r="C95" s="47"/>
      <c r="D95" s="48"/>
    </row>
    <row r="96" spans="1:4" x14ac:dyDescent="0.3">
      <c r="A96" s="45"/>
      <c r="B96" s="46"/>
      <c r="C96" s="47"/>
      <c r="D96" s="48"/>
    </row>
    <row r="97" spans="1:4" x14ac:dyDescent="0.3">
      <c r="A97" s="45"/>
      <c r="B97" s="46"/>
      <c r="C97" s="47"/>
      <c r="D97" s="48"/>
    </row>
    <row r="98" spans="1:4" x14ac:dyDescent="0.3">
      <c r="A98" s="45"/>
      <c r="B98" s="46"/>
      <c r="C98" s="47"/>
      <c r="D98" s="48"/>
    </row>
    <row r="99" spans="1:4" x14ac:dyDescent="0.3">
      <c r="A99" s="45"/>
      <c r="B99" s="46"/>
      <c r="C99" s="47"/>
      <c r="D99" s="48"/>
    </row>
    <row r="100" spans="1:4" x14ac:dyDescent="0.3">
      <c r="A100" s="45"/>
      <c r="B100" s="46"/>
      <c r="C100" s="47"/>
      <c r="D100" s="48"/>
    </row>
    <row r="101" spans="1:4" x14ac:dyDescent="0.3">
      <c r="A101" s="45"/>
      <c r="B101" s="46"/>
      <c r="C101" s="47"/>
      <c r="D101" s="48"/>
    </row>
    <row r="102" spans="1:4" x14ac:dyDescent="0.3">
      <c r="A102" s="45"/>
      <c r="B102" s="46"/>
      <c r="C102" s="47"/>
      <c r="D102" s="48"/>
    </row>
    <row r="103" spans="1:4" x14ac:dyDescent="0.3">
      <c r="A103" s="45"/>
      <c r="B103" s="46"/>
      <c r="C103" s="47"/>
      <c r="D103" s="48"/>
    </row>
    <row r="104" spans="1:4" x14ac:dyDescent="0.3">
      <c r="A104" s="45"/>
      <c r="B104" s="46"/>
      <c r="C104" s="47"/>
      <c r="D104" s="48"/>
    </row>
    <row r="105" spans="1:4" x14ac:dyDescent="0.3">
      <c r="A105" s="45"/>
      <c r="B105" s="46"/>
      <c r="C105" s="47"/>
      <c r="D105" s="48"/>
    </row>
    <row r="106" spans="1:4" x14ac:dyDescent="0.3">
      <c r="A106" s="45"/>
      <c r="B106" s="46"/>
      <c r="C106" s="47"/>
      <c r="D106" s="48"/>
    </row>
    <row r="107" spans="1:4" x14ac:dyDescent="0.3">
      <c r="A107" s="45"/>
      <c r="B107" s="46"/>
      <c r="C107" s="47"/>
      <c r="D107" s="48"/>
    </row>
    <row r="108" spans="1:4" x14ac:dyDescent="0.3">
      <c r="A108" s="45"/>
      <c r="B108" s="46"/>
      <c r="C108" s="47"/>
      <c r="D108" s="48"/>
    </row>
    <row r="109" spans="1:4" x14ac:dyDescent="0.3">
      <c r="A109" s="45"/>
      <c r="B109" s="46"/>
      <c r="C109" s="47"/>
      <c r="D109" s="48"/>
    </row>
    <row r="110" spans="1:4" x14ac:dyDescent="0.3">
      <c r="A110" s="45"/>
      <c r="B110" s="46"/>
      <c r="C110" s="47"/>
      <c r="D110" s="48"/>
    </row>
    <row r="111" spans="1:4" x14ac:dyDescent="0.3">
      <c r="A111" s="45"/>
      <c r="B111" s="46"/>
      <c r="C111" s="47"/>
      <c r="D111" s="48"/>
    </row>
    <row r="112" spans="1:4" x14ac:dyDescent="0.3">
      <c r="A112" s="45"/>
      <c r="B112" s="46"/>
      <c r="C112" s="47"/>
      <c r="D112" s="48"/>
    </row>
    <row r="113" spans="1:4" x14ac:dyDescent="0.3">
      <c r="A113" s="45"/>
      <c r="B113" s="46"/>
      <c r="C113" s="47"/>
      <c r="D113" s="48"/>
    </row>
    <row r="114" spans="1:4" x14ac:dyDescent="0.3">
      <c r="A114" s="45"/>
      <c r="B114" s="46"/>
      <c r="C114" s="47"/>
      <c r="D114" s="48"/>
    </row>
    <row r="115" spans="1:4" x14ac:dyDescent="0.3">
      <c r="A115" s="45"/>
      <c r="B115" s="46"/>
      <c r="C115" s="47"/>
      <c r="D115" s="48"/>
    </row>
    <row r="116" spans="1:4" x14ac:dyDescent="0.3">
      <c r="A116" s="45"/>
      <c r="B116" s="46"/>
      <c r="C116" s="47"/>
      <c r="D116" s="48"/>
    </row>
    <row r="117" spans="1:4" x14ac:dyDescent="0.3">
      <c r="A117" s="45"/>
      <c r="B117" s="46"/>
      <c r="C117" s="47"/>
      <c r="D117" s="48"/>
    </row>
    <row r="118" spans="1:4" x14ac:dyDescent="0.3">
      <c r="A118" s="45"/>
      <c r="B118" s="46"/>
      <c r="C118" s="47"/>
      <c r="D118" s="48"/>
    </row>
    <row r="119" spans="1:4" x14ac:dyDescent="0.3">
      <c r="A119" s="45"/>
      <c r="B119" s="46"/>
      <c r="C119" s="47"/>
      <c r="D119" s="48"/>
    </row>
    <row r="120" spans="1:4" x14ac:dyDescent="0.3">
      <c r="A120" s="45"/>
      <c r="B120" s="46"/>
      <c r="C120" s="47"/>
      <c r="D120" s="48"/>
    </row>
  </sheetData>
  <mergeCells count="1">
    <mergeCell ref="A1:D1"/>
  </mergeCells>
  <hyperlinks>
    <hyperlink ref="D3" location="'E PPE'!A1" display="IR A HOJA &gt;&gt;" xr:uid="{00000000-0004-0000-0000-000000000000}"/>
    <hyperlink ref="D4" location="'E-SUM CÉDULA SUMARIA'!A1" display="IR A HOJA &gt;&gt;" xr:uid="{00000000-0004-0000-0000-000001000000}"/>
    <hyperlink ref="D5" location="'E-1 INVENTARIO'!A1" display="IR A HOJA &gt;&gt;" xr:uid="{00000000-0004-0000-0000-000002000000}"/>
    <hyperlink ref="D6" location="'E-1.1 VERIFICACIÓN FÍSICA'!A1" display="IR A HOJA &gt;&gt;" xr:uid="{00000000-0004-0000-0000-000003000000}"/>
    <hyperlink ref="D7" location="'E-1.2 CONCILIACIÓN'!A1" display="IR A HOJA &gt;&gt;" xr:uid="{00000000-0004-0000-0000-000004000000}"/>
    <hyperlink ref="D8" location="'E-2 DEPRECIACIÓN'!A1" display="IR A HOJA &gt;&gt;" xr:uid="{00000000-0004-0000-0000-000005000000}"/>
    <hyperlink ref="D9" location="'E-2.1 VIDAS ÚTILES'!A1" display="IR A HOJA &gt;&gt;" xr:uid="{00000000-0004-0000-0000-000006000000}"/>
    <hyperlink ref="D10" location="'E-2.2 VALORES RESIDUALES'!A1" display="IR A HOJA &gt;&gt;" xr:uid="{00000000-0004-0000-0000-000007000000}"/>
    <hyperlink ref="D11" location="'E-3 ADICIONES'!A1" display="IR A HOJA &gt;&gt;" xr:uid="{00000000-0004-0000-0000-000008000000}"/>
    <hyperlink ref="D12" location="'E-4 RETIROS'!A1" display="IR A HOJA &gt;&gt;" xr:uid="{00000000-0004-0000-0000-000009000000}"/>
    <hyperlink ref="D13" location="'E-5 DETERIORO'!A1" display="IR A HOJA &gt;&gt;" xr:uid="{00000000-0004-0000-0000-00000A000000}"/>
    <hyperlink ref="D14" location="'E-6 TOTALMENTE DEPRECIADOS'!A1" display="IR A HOJA &gt;&gt;" xr:uid="{00000000-0004-0000-0000-00000B000000}"/>
    <hyperlink ref="D15" location="'E-7 CONSTRUCCIÓN'!A1" display="IR A HOJA &gt;&gt;" xr:uid="{00000000-0004-0000-0000-00000C000000}"/>
  </hyperlink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57"/>
  <sheetViews>
    <sheetView workbookViewId="0">
      <selection activeCell="A3" sqref="A3:G3"/>
    </sheetView>
  </sheetViews>
  <sheetFormatPr baseColWidth="10" defaultRowHeight="15.05" x14ac:dyDescent="0.3"/>
  <cols>
    <col min="1" max="1" width="6.33203125" customWidth="1"/>
    <col min="3" max="3" width="52.88671875" customWidth="1"/>
    <col min="8" max="8" width="8.44140625" customWidth="1"/>
    <col min="9" max="9" width="17.44140625" customWidth="1"/>
  </cols>
  <sheetData>
    <row r="3" spans="1:10" ht="18.350000000000001" customHeight="1" x14ac:dyDescent="0.3">
      <c r="A3" s="100" t="s">
        <v>229</v>
      </c>
      <c r="B3" s="100"/>
      <c r="C3" s="100"/>
      <c r="D3" s="100"/>
      <c r="E3" s="100"/>
      <c r="F3" s="100"/>
      <c r="G3" s="100"/>
      <c r="H3" s="99"/>
      <c r="J3" s="53" t="s">
        <v>182</v>
      </c>
    </row>
    <row r="4" spans="1:10" ht="15.05" customHeight="1" x14ac:dyDescent="0.3">
      <c r="A4" s="100" t="s">
        <v>230</v>
      </c>
      <c r="B4" s="100"/>
      <c r="C4" s="100"/>
      <c r="D4" s="100"/>
      <c r="E4" s="100"/>
      <c r="F4" s="100"/>
      <c r="G4" s="100"/>
      <c r="H4" s="99"/>
    </row>
    <row r="5" spans="1:10" ht="15.05" customHeight="1" x14ac:dyDescent="0.3">
      <c r="A5" s="100" t="s">
        <v>231</v>
      </c>
      <c r="B5" s="100"/>
      <c r="C5" s="100"/>
      <c r="D5" s="100"/>
      <c r="E5" s="100"/>
      <c r="F5" s="100"/>
      <c r="G5" s="100"/>
      <c r="H5" s="99"/>
      <c r="I5" s="7" t="s">
        <v>26</v>
      </c>
      <c r="J5" s="7"/>
    </row>
    <row r="6" spans="1:10" x14ac:dyDescent="0.3">
      <c r="A6" s="100" t="s">
        <v>232</v>
      </c>
      <c r="B6" s="100"/>
      <c r="C6" s="100"/>
      <c r="D6" s="100"/>
      <c r="E6" s="100"/>
      <c r="F6" s="100"/>
      <c r="G6" s="100"/>
      <c r="H6" s="99"/>
      <c r="I6" s="7" t="s">
        <v>20</v>
      </c>
      <c r="J6" s="7"/>
    </row>
    <row r="7" spans="1:10" x14ac:dyDescent="0.3">
      <c r="A7" s="63"/>
      <c r="B7" s="63"/>
      <c r="C7" s="63"/>
      <c r="D7" s="63"/>
      <c r="E7" s="63"/>
      <c r="F7" s="63"/>
      <c r="G7" s="63"/>
      <c r="I7" s="7" t="s">
        <v>38</v>
      </c>
      <c r="J7" s="7"/>
    </row>
    <row r="8" spans="1:10" x14ac:dyDescent="0.3">
      <c r="I8" s="7" t="s">
        <v>39</v>
      </c>
      <c r="J8" s="7"/>
    </row>
    <row r="9" spans="1:10" ht="17.2" customHeight="1" x14ac:dyDescent="0.3">
      <c r="A9" s="69" t="s">
        <v>183</v>
      </c>
      <c r="B9" s="70"/>
      <c r="C9" s="70"/>
      <c r="D9" s="70"/>
      <c r="E9" s="70"/>
      <c r="F9" s="70"/>
      <c r="G9" s="70"/>
    </row>
    <row r="11" spans="1:10" x14ac:dyDescent="0.3">
      <c r="A11" s="76" t="s">
        <v>184</v>
      </c>
      <c r="B11" s="77"/>
      <c r="C11" s="77"/>
      <c r="D11" s="77"/>
      <c r="E11" s="77"/>
      <c r="F11" s="77"/>
      <c r="G11" s="77"/>
    </row>
    <row r="12" spans="1:10" x14ac:dyDescent="0.3">
      <c r="A12" s="78" t="s">
        <v>185</v>
      </c>
      <c r="B12" s="79"/>
      <c r="C12" s="79"/>
      <c r="D12" s="79"/>
      <c r="E12" s="79"/>
      <c r="F12" s="79"/>
      <c r="G12" s="79"/>
    </row>
    <row r="13" spans="1:10" x14ac:dyDescent="0.3">
      <c r="A13" s="76" t="s">
        <v>186</v>
      </c>
      <c r="B13" s="77"/>
      <c r="C13" s="77"/>
      <c r="D13" s="77"/>
      <c r="E13" s="77"/>
      <c r="F13" s="77"/>
      <c r="G13" s="77"/>
    </row>
    <row r="15" spans="1:10" x14ac:dyDescent="0.3">
      <c r="A15" s="69" t="s">
        <v>187</v>
      </c>
      <c r="B15" s="70"/>
      <c r="C15" s="70"/>
      <c r="D15" s="70"/>
      <c r="E15" s="70"/>
      <c r="F15" s="70"/>
      <c r="G15" s="70"/>
    </row>
    <row r="16" spans="1:10" x14ac:dyDescent="0.3">
      <c r="A16" s="68" t="s">
        <v>188</v>
      </c>
      <c r="B16" s="68"/>
      <c r="C16" s="68"/>
      <c r="D16" s="68"/>
      <c r="E16" s="68"/>
      <c r="F16" s="68"/>
      <c r="G16" s="68"/>
    </row>
    <row r="17" spans="1:7" x14ac:dyDescent="0.3">
      <c r="A17" s="68"/>
      <c r="B17" s="68"/>
      <c r="C17" s="68"/>
      <c r="D17" s="68"/>
      <c r="E17" s="68"/>
      <c r="F17" s="68"/>
      <c r="G17" s="68"/>
    </row>
    <row r="19" spans="1:7" x14ac:dyDescent="0.3">
      <c r="A19" s="69" t="s">
        <v>189</v>
      </c>
      <c r="B19" s="70"/>
      <c r="C19" s="70"/>
      <c r="D19" s="70"/>
      <c r="E19" s="70"/>
      <c r="F19" s="70"/>
      <c r="G19" s="70"/>
    </row>
    <row r="20" spans="1:7" x14ac:dyDescent="0.3">
      <c r="A20" s="67" t="s">
        <v>190</v>
      </c>
      <c r="B20" s="68"/>
      <c r="C20" s="68"/>
      <c r="D20" s="68"/>
      <c r="E20" s="68"/>
      <c r="F20" s="68"/>
      <c r="G20" s="68"/>
    </row>
    <row r="21" spans="1:7" x14ac:dyDescent="0.3">
      <c r="A21" s="67" t="s">
        <v>191</v>
      </c>
      <c r="B21" s="68"/>
      <c r="C21" s="68"/>
      <c r="D21" s="68"/>
      <c r="E21" s="68"/>
      <c r="F21" s="68"/>
      <c r="G21" s="68"/>
    </row>
    <row r="22" spans="1:7" x14ac:dyDescent="0.3">
      <c r="A22" s="67" t="s">
        <v>192</v>
      </c>
      <c r="B22" s="68"/>
      <c r="C22" s="68"/>
      <c r="D22" s="68"/>
      <c r="E22" s="68"/>
      <c r="F22" s="68"/>
      <c r="G22" s="68"/>
    </row>
    <row r="23" spans="1:7" x14ac:dyDescent="0.3">
      <c r="A23" s="67" t="s">
        <v>193</v>
      </c>
      <c r="B23" s="68"/>
      <c r="C23" s="68"/>
      <c r="D23" s="68"/>
      <c r="E23" s="68"/>
      <c r="F23" s="68"/>
      <c r="G23" s="68"/>
    </row>
    <row r="24" spans="1:7" x14ac:dyDescent="0.3">
      <c r="A24" s="67" t="s">
        <v>194</v>
      </c>
      <c r="B24" s="68"/>
      <c r="C24" s="68"/>
      <c r="D24" s="68"/>
      <c r="E24" s="68"/>
      <c r="F24" s="68"/>
      <c r="G24" s="68"/>
    </row>
    <row r="25" spans="1:7" x14ac:dyDescent="0.3">
      <c r="A25" s="67" t="s">
        <v>195</v>
      </c>
      <c r="B25" s="68"/>
      <c r="C25" s="68"/>
      <c r="D25" s="68"/>
      <c r="E25" s="68"/>
      <c r="F25" s="68"/>
      <c r="G25" s="68"/>
    </row>
    <row r="26" spans="1:7" x14ac:dyDescent="0.3">
      <c r="A26" s="67" t="s">
        <v>196</v>
      </c>
      <c r="B26" s="68"/>
      <c r="C26" s="68"/>
      <c r="D26" s="68"/>
      <c r="E26" s="68"/>
      <c r="F26" s="68"/>
      <c r="G26" s="68"/>
    </row>
    <row r="28" spans="1:7" ht="30.15" x14ac:dyDescent="0.3">
      <c r="A28" s="54" t="s">
        <v>22</v>
      </c>
      <c r="B28" s="54" t="s">
        <v>47</v>
      </c>
      <c r="C28" s="54" t="s">
        <v>197</v>
      </c>
      <c r="D28" s="54" t="s">
        <v>44</v>
      </c>
      <c r="E28" s="54" t="s">
        <v>198</v>
      </c>
      <c r="F28" s="54" t="s">
        <v>199</v>
      </c>
      <c r="G28" s="54" t="s">
        <v>198</v>
      </c>
    </row>
    <row r="29" spans="1:7" ht="55" customHeight="1" x14ac:dyDescent="0.3">
      <c r="A29" s="55">
        <v>1</v>
      </c>
      <c r="B29" s="56" t="s">
        <v>4</v>
      </c>
      <c r="C29" s="57" t="s">
        <v>200</v>
      </c>
      <c r="D29" s="7"/>
      <c r="E29" s="7"/>
      <c r="F29" s="7"/>
      <c r="G29" s="7"/>
    </row>
    <row r="30" spans="1:7" ht="55" customHeight="1" x14ac:dyDescent="0.3">
      <c r="A30" s="55">
        <v>2</v>
      </c>
      <c r="B30" s="56" t="s">
        <v>5</v>
      </c>
      <c r="C30" s="57" t="s">
        <v>201</v>
      </c>
      <c r="D30" s="7"/>
      <c r="E30" s="7"/>
      <c r="F30" s="7"/>
      <c r="G30" s="7"/>
    </row>
    <row r="31" spans="1:7" ht="55" customHeight="1" x14ac:dyDescent="0.3">
      <c r="A31" s="55">
        <v>3</v>
      </c>
      <c r="B31" s="56" t="s">
        <v>7</v>
      </c>
      <c r="C31" s="57" t="s">
        <v>202</v>
      </c>
      <c r="D31" s="7"/>
      <c r="E31" s="7"/>
      <c r="F31" s="7"/>
      <c r="G31" s="7"/>
    </row>
    <row r="32" spans="1:7" ht="55" customHeight="1" x14ac:dyDescent="0.3">
      <c r="A32" s="55">
        <v>4</v>
      </c>
      <c r="B32" s="56" t="s">
        <v>8</v>
      </c>
      <c r="C32" s="57" t="s">
        <v>203</v>
      </c>
      <c r="D32" s="7"/>
      <c r="E32" s="7"/>
      <c r="F32" s="7"/>
      <c r="G32" s="7"/>
    </row>
    <row r="33" spans="1:7" ht="55" customHeight="1" x14ac:dyDescent="0.3">
      <c r="A33" s="55">
        <v>5</v>
      </c>
      <c r="B33" s="56" t="s">
        <v>9</v>
      </c>
      <c r="C33" s="57" t="s">
        <v>204</v>
      </c>
      <c r="D33" s="7"/>
      <c r="E33" s="7"/>
      <c r="F33" s="7"/>
      <c r="G33" s="7"/>
    </row>
    <row r="34" spans="1:7" ht="55" customHeight="1" x14ac:dyDescent="0.3">
      <c r="A34" s="55">
        <v>6</v>
      </c>
      <c r="B34" s="56" t="s">
        <v>10</v>
      </c>
      <c r="C34" s="57" t="s">
        <v>205</v>
      </c>
      <c r="D34" s="7"/>
      <c r="E34" s="7"/>
      <c r="F34" s="7"/>
      <c r="G34" s="7"/>
    </row>
    <row r="35" spans="1:7" ht="55" customHeight="1" x14ac:dyDescent="0.3">
      <c r="A35" s="55">
        <v>7</v>
      </c>
      <c r="B35" s="56" t="s">
        <v>11</v>
      </c>
      <c r="C35" s="57" t="s">
        <v>206</v>
      </c>
      <c r="D35" s="7"/>
      <c r="E35" s="7"/>
      <c r="F35" s="7"/>
      <c r="G35" s="7"/>
    </row>
    <row r="36" spans="1:7" ht="55" customHeight="1" x14ac:dyDescent="0.3">
      <c r="A36" s="55">
        <v>8</v>
      </c>
      <c r="B36" s="56" t="s">
        <v>12</v>
      </c>
      <c r="C36" s="57" t="s">
        <v>207</v>
      </c>
      <c r="D36" s="7"/>
      <c r="E36" s="7"/>
      <c r="F36" s="7"/>
      <c r="G36" s="7"/>
    </row>
    <row r="37" spans="1:7" ht="55" customHeight="1" x14ac:dyDescent="0.3">
      <c r="A37" s="55">
        <v>9</v>
      </c>
      <c r="B37" s="56" t="s">
        <v>13</v>
      </c>
      <c r="C37" s="57" t="s">
        <v>208</v>
      </c>
      <c r="D37" s="7"/>
      <c r="E37" s="7"/>
      <c r="F37" s="7"/>
      <c r="G37" s="7"/>
    </row>
    <row r="38" spans="1:7" ht="55" customHeight="1" x14ac:dyDescent="0.3">
      <c r="A38" s="55">
        <v>10</v>
      </c>
      <c r="B38" s="56" t="s">
        <v>14</v>
      </c>
      <c r="C38" s="57" t="s">
        <v>209</v>
      </c>
      <c r="D38" s="7"/>
      <c r="E38" s="7"/>
      <c r="F38" s="7"/>
      <c r="G38" s="7"/>
    </row>
    <row r="39" spans="1:7" ht="55" customHeight="1" x14ac:dyDescent="0.3">
      <c r="A39" s="55">
        <v>11</v>
      </c>
      <c r="B39" s="56" t="s">
        <v>15</v>
      </c>
      <c r="C39" s="57" t="s">
        <v>210</v>
      </c>
      <c r="D39" s="7"/>
      <c r="E39" s="7"/>
      <c r="F39" s="7"/>
      <c r="G39" s="7"/>
    </row>
    <row r="40" spans="1:7" ht="55" customHeight="1" x14ac:dyDescent="0.3">
      <c r="A40" s="55">
        <v>12</v>
      </c>
      <c r="B40" s="56" t="s">
        <v>17</v>
      </c>
      <c r="C40" s="57" t="s">
        <v>211</v>
      </c>
      <c r="D40" s="7"/>
      <c r="E40" s="7"/>
      <c r="F40" s="7"/>
      <c r="G40" s="7"/>
    </row>
    <row r="41" spans="1:7" ht="55" customHeight="1" x14ac:dyDescent="0.3">
      <c r="A41" s="55">
        <v>13</v>
      </c>
      <c r="B41" s="56" t="s">
        <v>75</v>
      </c>
      <c r="C41" s="57" t="s">
        <v>212</v>
      </c>
      <c r="D41" s="7"/>
      <c r="E41" s="7"/>
      <c r="F41" s="7"/>
      <c r="G41" s="7"/>
    </row>
    <row r="42" spans="1:7" ht="55" customHeight="1" x14ac:dyDescent="0.3">
      <c r="A42" s="55">
        <v>14</v>
      </c>
      <c r="B42" s="56" t="s">
        <v>213</v>
      </c>
      <c r="C42" s="57" t="s">
        <v>214</v>
      </c>
      <c r="D42" s="7"/>
      <c r="E42" s="7"/>
      <c r="F42" s="7"/>
      <c r="G42" s="7"/>
    </row>
    <row r="43" spans="1:7" ht="55" customHeight="1" x14ac:dyDescent="0.3">
      <c r="A43" s="55">
        <v>15</v>
      </c>
      <c r="B43" s="56" t="s">
        <v>215</v>
      </c>
      <c r="C43" s="57" t="s">
        <v>216</v>
      </c>
      <c r="D43" s="7"/>
      <c r="E43" s="7"/>
      <c r="F43" s="7"/>
      <c r="G43" s="7"/>
    </row>
    <row r="46" spans="1:7" x14ac:dyDescent="0.3">
      <c r="A46" s="69" t="s">
        <v>217</v>
      </c>
      <c r="B46" s="70"/>
      <c r="C46" s="70"/>
      <c r="D46" s="70"/>
      <c r="E46" s="70"/>
      <c r="F46" s="70"/>
      <c r="G46" s="70"/>
    </row>
    <row r="47" spans="1:7" x14ac:dyDescent="0.3">
      <c r="A47" s="71" t="s">
        <v>218</v>
      </c>
      <c r="B47" s="71"/>
      <c r="C47" s="71"/>
      <c r="D47" s="71"/>
      <c r="E47" s="71"/>
      <c r="F47" s="71"/>
      <c r="G47" s="71"/>
    </row>
    <row r="48" spans="1:7" x14ac:dyDescent="0.3">
      <c r="A48" s="71"/>
      <c r="B48" s="71"/>
      <c r="C48" s="71"/>
      <c r="D48" s="71"/>
      <c r="E48" s="71"/>
      <c r="F48" s="71"/>
      <c r="G48" s="71"/>
    </row>
    <row r="49" spans="1:7" x14ac:dyDescent="0.3">
      <c r="A49" s="71"/>
      <c r="B49" s="71"/>
      <c r="C49" s="71"/>
      <c r="D49" s="71"/>
      <c r="E49" s="71"/>
      <c r="F49" s="71"/>
      <c r="G49" s="71"/>
    </row>
    <row r="50" spans="1:7" x14ac:dyDescent="0.3">
      <c r="A50" s="71"/>
      <c r="B50" s="71"/>
      <c r="C50" s="71"/>
      <c r="D50" s="71"/>
      <c r="E50" s="71"/>
      <c r="F50" s="71"/>
      <c r="G50" s="71"/>
    </row>
    <row r="52" spans="1:7" x14ac:dyDescent="0.3">
      <c r="A52" s="72" t="s">
        <v>219</v>
      </c>
      <c r="B52" s="73"/>
      <c r="C52" s="73"/>
      <c r="D52" s="74"/>
      <c r="E52" s="72" t="s">
        <v>220</v>
      </c>
      <c r="F52" s="73"/>
      <c r="G52" s="73"/>
    </row>
    <row r="53" spans="1:7" x14ac:dyDescent="0.3">
      <c r="A53" s="75" t="s">
        <v>221</v>
      </c>
      <c r="B53" s="75"/>
      <c r="C53" s="75"/>
      <c r="D53" s="75"/>
      <c r="E53" s="75" t="s">
        <v>221</v>
      </c>
      <c r="F53" s="75"/>
      <c r="G53" s="75"/>
    </row>
    <row r="54" spans="1:7" x14ac:dyDescent="0.3">
      <c r="A54" s="75"/>
      <c r="B54" s="75"/>
      <c r="C54" s="75"/>
      <c r="D54" s="75"/>
      <c r="E54" s="75"/>
      <c r="F54" s="75"/>
      <c r="G54" s="75"/>
    </row>
    <row r="55" spans="1:7" x14ac:dyDescent="0.3">
      <c r="A55" s="75"/>
      <c r="B55" s="75"/>
      <c r="C55" s="75"/>
      <c r="D55" s="75"/>
      <c r="E55" s="75"/>
      <c r="F55" s="75"/>
      <c r="G55" s="75"/>
    </row>
    <row r="57" spans="1:7" x14ac:dyDescent="0.3">
      <c r="A57" s="66" t="str">
        <f>HYPERLINK("#INDICE!A1","&lt;&lt; Volver al Índice")</f>
        <v>&lt;&lt; Volver al Índice</v>
      </c>
      <c r="B57" s="66"/>
      <c r="C57" s="66"/>
      <c r="D57" s="66"/>
      <c r="E57" s="66"/>
      <c r="F57" s="66"/>
      <c r="G57" s="66"/>
    </row>
  </sheetData>
  <mergeCells count="25">
    <mergeCell ref="A6:G6"/>
    <mergeCell ref="A21:G21"/>
    <mergeCell ref="A3:G3"/>
    <mergeCell ref="A4:G4"/>
    <mergeCell ref="A5:G5"/>
    <mergeCell ref="A9:G9"/>
    <mergeCell ref="A11:G11"/>
    <mergeCell ref="A12:G12"/>
    <mergeCell ref="A13:G13"/>
    <mergeCell ref="A15:G15"/>
    <mergeCell ref="A16:G17"/>
    <mergeCell ref="A19:G19"/>
    <mergeCell ref="A20:G20"/>
    <mergeCell ref="A57:G57"/>
    <mergeCell ref="A22:G22"/>
    <mergeCell ref="A23:G23"/>
    <mergeCell ref="A24:G24"/>
    <mergeCell ref="A25:G25"/>
    <mergeCell ref="A26:G26"/>
    <mergeCell ref="A46:G46"/>
    <mergeCell ref="A47:G50"/>
    <mergeCell ref="A52:D52"/>
    <mergeCell ref="E52:G52"/>
    <mergeCell ref="A53:D55"/>
    <mergeCell ref="E53:G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H41"/>
  <sheetViews>
    <sheetView workbookViewId="0">
      <selection activeCell="A5" sqref="A5:D8"/>
    </sheetView>
  </sheetViews>
  <sheetFormatPr baseColWidth="10" defaultColWidth="9.109375" defaultRowHeight="15.05" x14ac:dyDescent="0.3"/>
  <cols>
    <col min="1" max="1" width="12.88671875" customWidth="1"/>
    <col min="2" max="2" width="43.5546875" customWidth="1"/>
    <col min="3" max="3" width="20.6640625" customWidth="1"/>
    <col min="4" max="4" width="14.88671875" customWidth="1"/>
    <col min="6" max="6" width="16" customWidth="1"/>
    <col min="7" max="7" width="14" bestFit="1" customWidth="1"/>
  </cols>
  <sheetData>
    <row r="3" spans="1:8" x14ac:dyDescent="0.3">
      <c r="A3" s="80" t="s">
        <v>18</v>
      </c>
      <c r="B3" s="81"/>
      <c r="C3" s="81"/>
      <c r="D3" s="81"/>
      <c r="E3" s="81"/>
    </row>
    <row r="4" spans="1:8" ht="23.25" customHeight="1" x14ac:dyDescent="0.3">
      <c r="A4" s="24"/>
      <c r="G4" s="59" t="s">
        <v>2</v>
      </c>
    </row>
    <row r="5" spans="1:8" x14ac:dyDescent="0.3">
      <c r="A5" s="100" t="s">
        <v>229</v>
      </c>
      <c r="B5" s="100"/>
      <c r="C5" s="100"/>
      <c r="D5" s="100"/>
      <c r="E5" s="102"/>
      <c r="F5" s="102"/>
    </row>
    <row r="6" spans="1:8" x14ac:dyDescent="0.3">
      <c r="A6" s="100" t="s">
        <v>230</v>
      </c>
      <c r="B6" s="100"/>
      <c r="C6" s="100"/>
      <c r="D6" s="100"/>
      <c r="E6" s="102"/>
      <c r="F6" s="102"/>
      <c r="G6" s="8" t="s">
        <v>26</v>
      </c>
      <c r="H6" s="7"/>
    </row>
    <row r="7" spans="1:8" x14ac:dyDescent="0.3">
      <c r="A7" s="100" t="s">
        <v>231</v>
      </c>
      <c r="B7" s="100"/>
      <c r="C7" s="100"/>
      <c r="D7" s="100"/>
      <c r="E7" s="102"/>
      <c r="F7" s="102"/>
      <c r="G7" s="8" t="s">
        <v>20</v>
      </c>
      <c r="H7" s="7"/>
    </row>
    <row r="8" spans="1:8" x14ac:dyDescent="0.3">
      <c r="A8" s="100" t="s">
        <v>232</v>
      </c>
      <c r="B8" s="100"/>
      <c r="C8" s="100"/>
      <c r="D8" s="100"/>
      <c r="E8" s="102"/>
      <c r="F8" s="102"/>
      <c r="G8" s="8" t="s">
        <v>38</v>
      </c>
      <c r="H8" s="7"/>
    </row>
    <row r="9" spans="1:8" x14ac:dyDescent="0.3">
      <c r="A9" s="101"/>
      <c r="B9" s="99"/>
      <c r="C9" s="99"/>
      <c r="D9" s="99"/>
      <c r="E9" s="99"/>
      <c r="G9" s="8" t="s">
        <v>39</v>
      </c>
      <c r="H9" s="7"/>
    </row>
    <row r="12" spans="1:8" ht="18" customHeight="1" x14ac:dyDescent="0.3">
      <c r="A12" s="82" t="s">
        <v>140</v>
      </c>
      <c r="B12" s="83"/>
      <c r="C12" s="83"/>
      <c r="D12" s="83"/>
    </row>
    <row r="14" spans="1:8" x14ac:dyDescent="0.3">
      <c r="A14" s="10" t="s">
        <v>47</v>
      </c>
      <c r="B14" s="10" t="s">
        <v>23</v>
      </c>
      <c r="C14" s="10" t="s">
        <v>30</v>
      </c>
      <c r="D14" s="10" t="s">
        <v>48</v>
      </c>
    </row>
    <row r="15" spans="1:8" ht="15.75" customHeight="1" x14ac:dyDescent="0.3">
      <c r="A15" s="1" t="s">
        <v>4</v>
      </c>
      <c r="B15" s="1" t="s">
        <v>49</v>
      </c>
      <c r="C15" s="11" t="s">
        <v>50</v>
      </c>
      <c r="D15" s="12" t="s">
        <v>4</v>
      </c>
    </row>
    <row r="16" spans="1:8" ht="15.75" customHeight="1" x14ac:dyDescent="0.3">
      <c r="A16" s="1" t="s">
        <v>5</v>
      </c>
      <c r="B16" s="1" t="s">
        <v>6</v>
      </c>
      <c r="C16" s="11" t="s">
        <v>50</v>
      </c>
      <c r="D16" s="12" t="s">
        <v>5</v>
      </c>
    </row>
    <row r="17" spans="1:4" ht="15.75" customHeight="1" x14ac:dyDescent="0.3">
      <c r="A17" s="1" t="s">
        <v>7</v>
      </c>
      <c r="B17" s="1" t="s">
        <v>51</v>
      </c>
      <c r="C17" s="11" t="s">
        <v>50</v>
      </c>
      <c r="D17" s="12" t="s">
        <v>7</v>
      </c>
    </row>
    <row r="18" spans="1:4" ht="15.75" customHeight="1" x14ac:dyDescent="0.3">
      <c r="A18" s="1" t="s">
        <v>8</v>
      </c>
      <c r="B18" s="1" t="s">
        <v>52</v>
      </c>
      <c r="C18" s="11" t="s">
        <v>50</v>
      </c>
      <c r="D18" s="12" t="s">
        <v>8</v>
      </c>
    </row>
    <row r="19" spans="1:4" ht="15.75" customHeight="1" x14ac:dyDescent="0.3">
      <c r="A19" s="1" t="s">
        <v>9</v>
      </c>
      <c r="B19" s="1" t="s">
        <v>53</v>
      </c>
      <c r="C19" s="11" t="s">
        <v>50</v>
      </c>
      <c r="D19" s="12" t="s">
        <v>9</v>
      </c>
    </row>
    <row r="20" spans="1:4" ht="15.75" customHeight="1" x14ac:dyDescent="0.3">
      <c r="A20" s="1" t="s">
        <v>10</v>
      </c>
      <c r="B20" s="1" t="s">
        <v>54</v>
      </c>
      <c r="C20" s="11" t="s">
        <v>50</v>
      </c>
      <c r="D20" s="12" t="s">
        <v>10</v>
      </c>
    </row>
    <row r="21" spans="1:4" ht="15.75" customHeight="1" x14ac:dyDescent="0.3">
      <c r="A21" s="1" t="s">
        <v>11</v>
      </c>
      <c r="B21" s="1" t="s">
        <v>55</v>
      </c>
      <c r="C21" s="11" t="s">
        <v>50</v>
      </c>
      <c r="D21" s="12" t="s">
        <v>11</v>
      </c>
    </row>
    <row r="22" spans="1:4" ht="15.75" customHeight="1" x14ac:dyDescent="0.3">
      <c r="A22" s="1" t="s">
        <v>12</v>
      </c>
      <c r="B22" s="1" t="s">
        <v>56</v>
      </c>
      <c r="C22" s="11" t="s">
        <v>50</v>
      </c>
      <c r="D22" s="12" t="s">
        <v>12</v>
      </c>
    </row>
    <row r="23" spans="1:4" ht="15.75" customHeight="1" x14ac:dyDescent="0.3">
      <c r="A23" s="1" t="s">
        <v>13</v>
      </c>
      <c r="B23" s="1" t="s">
        <v>57</v>
      </c>
      <c r="C23" s="11" t="s">
        <v>50</v>
      </c>
      <c r="D23" s="12" t="s">
        <v>13</v>
      </c>
    </row>
    <row r="24" spans="1:4" ht="15.75" customHeight="1" x14ac:dyDescent="0.3">
      <c r="A24" s="1" t="s">
        <v>14</v>
      </c>
      <c r="B24" s="1" t="s">
        <v>58</v>
      </c>
      <c r="C24" s="11" t="s">
        <v>50</v>
      </c>
      <c r="D24" s="12" t="s">
        <v>14</v>
      </c>
    </row>
    <row r="25" spans="1:4" ht="15.75" customHeight="1" x14ac:dyDescent="0.3">
      <c r="A25" s="1" t="s">
        <v>15</v>
      </c>
      <c r="B25" s="1" t="s">
        <v>16</v>
      </c>
      <c r="C25" s="11" t="s">
        <v>50</v>
      </c>
      <c r="D25" s="12" t="s">
        <v>15</v>
      </c>
    </row>
    <row r="26" spans="1:4" ht="15.75" customHeight="1" x14ac:dyDescent="0.3">
      <c r="A26" s="1" t="s">
        <v>17</v>
      </c>
      <c r="B26" s="1" t="s">
        <v>59</v>
      </c>
      <c r="C26" s="11" t="s">
        <v>50</v>
      </c>
      <c r="D26" s="12" t="s">
        <v>17</v>
      </c>
    </row>
    <row r="29" spans="1:4" x14ac:dyDescent="0.3">
      <c r="A29" s="4"/>
    </row>
    <row r="30" spans="1:4" x14ac:dyDescent="0.3">
      <c r="A30" s="13"/>
    </row>
    <row r="31" spans="1:4" x14ac:dyDescent="0.3">
      <c r="A31" s="13"/>
    </row>
    <row r="34" spans="1:1" x14ac:dyDescent="0.3">
      <c r="A34" s="13"/>
    </row>
    <row r="35" spans="1:1" x14ac:dyDescent="0.3">
      <c r="A35" s="13"/>
    </row>
    <row r="36" spans="1:1" x14ac:dyDescent="0.3">
      <c r="A36" s="13"/>
    </row>
    <row r="37" spans="1:1" x14ac:dyDescent="0.3">
      <c r="A37" s="14"/>
    </row>
    <row r="41" spans="1:1" x14ac:dyDescent="0.3">
      <c r="A41" s="2" t="str">
        <f>HYPERLINK("#'INDICE'!A45","&lt;&lt; Volver al Indice")</f>
        <v>&lt;&lt; Volver al Indice</v>
      </c>
    </row>
  </sheetData>
  <mergeCells count="6">
    <mergeCell ref="A3:E3"/>
    <mergeCell ref="A12:D12"/>
    <mergeCell ref="A5:D5"/>
    <mergeCell ref="A6:D6"/>
    <mergeCell ref="A7:D7"/>
    <mergeCell ref="A8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J46"/>
  <sheetViews>
    <sheetView workbookViewId="0">
      <selection activeCell="A5" sqref="A5:G8"/>
    </sheetView>
  </sheetViews>
  <sheetFormatPr baseColWidth="10" defaultColWidth="9.109375" defaultRowHeight="15.05" x14ac:dyDescent="0.3"/>
  <cols>
    <col min="1" max="1" width="25.44140625" customWidth="1"/>
    <col min="2" max="2" width="22.44140625" customWidth="1"/>
    <col min="3" max="3" width="31.44140625" customWidth="1"/>
    <col min="4" max="4" width="23.33203125" customWidth="1"/>
    <col min="5" max="6" width="20.109375" customWidth="1"/>
    <col min="7" max="7" width="12.88671875" customWidth="1"/>
    <col min="8" max="8" width="11.44140625" customWidth="1"/>
    <col min="9" max="9" width="16.33203125" customWidth="1"/>
    <col min="10" max="10" width="12" customWidth="1"/>
  </cols>
  <sheetData>
    <row r="3" spans="1:10" x14ac:dyDescent="0.3">
      <c r="A3" s="80"/>
      <c r="B3" s="81"/>
      <c r="C3" s="81"/>
      <c r="D3" s="81"/>
      <c r="E3" s="81"/>
      <c r="F3" s="81"/>
      <c r="G3" s="81"/>
    </row>
    <row r="4" spans="1:10" x14ac:dyDescent="0.3">
      <c r="A4" s="24"/>
    </row>
    <row r="5" spans="1:10" x14ac:dyDescent="0.3">
      <c r="A5" s="100" t="s">
        <v>229</v>
      </c>
      <c r="B5" s="100"/>
      <c r="C5" s="100"/>
      <c r="D5" s="100"/>
      <c r="E5" s="100"/>
      <c r="F5" s="100"/>
      <c r="G5" s="100"/>
    </row>
    <row r="6" spans="1:10" ht="22.6" customHeight="1" x14ac:dyDescent="0.3">
      <c r="A6" s="100" t="s">
        <v>230</v>
      </c>
      <c r="B6" s="100"/>
      <c r="C6" s="100"/>
      <c r="D6" s="100"/>
      <c r="E6" s="100"/>
      <c r="F6" s="100"/>
      <c r="G6" s="100"/>
      <c r="J6" s="58" t="s">
        <v>4</v>
      </c>
    </row>
    <row r="7" spans="1:10" x14ac:dyDescent="0.3">
      <c r="A7" s="100" t="s">
        <v>231</v>
      </c>
      <c r="B7" s="100"/>
      <c r="C7" s="100"/>
      <c r="D7" s="100"/>
      <c r="E7" s="100"/>
      <c r="F7" s="100"/>
      <c r="G7" s="100"/>
    </row>
    <row r="8" spans="1:10" x14ac:dyDescent="0.3">
      <c r="A8" s="100" t="s">
        <v>232</v>
      </c>
      <c r="B8" s="100"/>
      <c r="C8" s="100"/>
      <c r="D8" s="100"/>
      <c r="E8" s="100"/>
      <c r="F8" s="100"/>
      <c r="G8" s="100"/>
    </row>
    <row r="9" spans="1:10" x14ac:dyDescent="0.3">
      <c r="A9" s="64"/>
    </row>
    <row r="10" spans="1:10" x14ac:dyDescent="0.3">
      <c r="I10" s="8" t="s">
        <v>26</v>
      </c>
      <c r="J10" s="7"/>
    </row>
    <row r="11" spans="1:10" ht="18" customHeight="1" x14ac:dyDescent="0.3">
      <c r="A11" s="82" t="s">
        <v>60</v>
      </c>
      <c r="B11" s="81"/>
      <c r="C11" s="81"/>
      <c r="D11" s="81"/>
      <c r="E11" s="81"/>
      <c r="F11" s="81"/>
      <c r="G11" s="81"/>
      <c r="I11" s="8" t="s">
        <v>20</v>
      </c>
      <c r="J11" s="7"/>
    </row>
    <row r="12" spans="1:10" x14ac:dyDescent="0.3">
      <c r="A12" t="s">
        <v>61</v>
      </c>
      <c r="B12" s="15" t="s">
        <v>62</v>
      </c>
      <c r="E12" t="s">
        <v>63</v>
      </c>
      <c r="F12" s="15">
        <v>2025</v>
      </c>
      <c r="I12" s="8" t="s">
        <v>38</v>
      </c>
      <c r="J12" s="7"/>
    </row>
    <row r="13" spans="1:10" x14ac:dyDescent="0.3">
      <c r="I13" s="8" t="s">
        <v>39</v>
      </c>
      <c r="J13" s="7"/>
    </row>
    <row r="15" spans="1:10" x14ac:dyDescent="0.3">
      <c r="A15" s="27" t="s">
        <v>25</v>
      </c>
      <c r="B15" s="27" t="s">
        <v>64</v>
      </c>
      <c r="C15" s="27" t="s">
        <v>65</v>
      </c>
      <c r="D15" s="27" t="s">
        <v>66</v>
      </c>
      <c r="E15" s="27" t="s">
        <v>47</v>
      </c>
      <c r="F15" s="27" t="s">
        <v>141</v>
      </c>
      <c r="G15" s="27" t="s">
        <v>37</v>
      </c>
    </row>
    <row r="16" spans="1:10" x14ac:dyDescent="0.3">
      <c r="A16" s="26" t="s">
        <v>67</v>
      </c>
      <c r="B16" s="31">
        <v>350</v>
      </c>
      <c r="C16" s="31">
        <v>21</v>
      </c>
      <c r="D16" s="31">
        <f t="shared" ref="D16:D23" si="0">IF(OR(ISBLANK(B16),ISBLANK(C16)),"-",B16-C16)</f>
        <v>329</v>
      </c>
      <c r="E16" s="29" t="s">
        <v>5</v>
      </c>
      <c r="F16" s="26"/>
      <c r="G16" s="29"/>
    </row>
    <row r="17" spans="1:7" x14ac:dyDescent="0.3">
      <c r="A17" s="26" t="s">
        <v>68</v>
      </c>
      <c r="B17" s="31"/>
      <c r="C17" s="31"/>
      <c r="D17" s="31" t="str">
        <f t="shared" si="0"/>
        <v>-</v>
      </c>
      <c r="E17" s="29" t="s">
        <v>9</v>
      </c>
      <c r="F17" s="26"/>
      <c r="G17" s="29"/>
    </row>
    <row r="18" spans="1:7" x14ac:dyDescent="0.3">
      <c r="A18" s="26" t="s">
        <v>69</v>
      </c>
      <c r="B18" s="31"/>
      <c r="C18" s="31"/>
      <c r="D18" s="31" t="str">
        <f t="shared" si="0"/>
        <v>-</v>
      </c>
      <c r="E18" s="29" t="s">
        <v>12</v>
      </c>
      <c r="F18" s="26"/>
      <c r="G18" s="29"/>
    </row>
    <row r="19" spans="1:7" x14ac:dyDescent="0.3">
      <c r="A19" s="26" t="s">
        <v>70</v>
      </c>
      <c r="B19" s="31"/>
      <c r="C19" s="31"/>
      <c r="D19" s="31" t="str">
        <f t="shared" si="0"/>
        <v>-</v>
      </c>
      <c r="E19" s="29" t="s">
        <v>13</v>
      </c>
      <c r="F19" s="26"/>
      <c r="G19" s="29"/>
    </row>
    <row r="20" spans="1:7" x14ac:dyDescent="0.3">
      <c r="A20" s="26" t="s">
        <v>71</v>
      </c>
      <c r="B20" s="31"/>
      <c r="C20" s="31"/>
      <c r="D20" s="31" t="str">
        <f t="shared" si="0"/>
        <v>-</v>
      </c>
      <c r="E20" s="29" t="s">
        <v>14</v>
      </c>
      <c r="F20" s="26"/>
      <c r="G20" s="29"/>
    </row>
    <row r="21" spans="1:7" x14ac:dyDescent="0.3">
      <c r="A21" s="26" t="s">
        <v>72</v>
      </c>
      <c r="B21" s="31"/>
      <c r="C21" s="31"/>
      <c r="D21" s="31" t="str">
        <f t="shared" si="0"/>
        <v>-</v>
      </c>
      <c r="E21" s="29" t="s">
        <v>15</v>
      </c>
      <c r="F21" s="26"/>
      <c r="G21" s="29"/>
    </row>
    <row r="22" spans="1:7" x14ac:dyDescent="0.3">
      <c r="A22" s="26" t="s">
        <v>73</v>
      </c>
      <c r="B22" s="31"/>
      <c r="C22" s="31"/>
      <c r="D22" s="31" t="str">
        <f t="shared" si="0"/>
        <v>-</v>
      </c>
      <c r="E22" s="29" t="s">
        <v>17</v>
      </c>
      <c r="F22" s="26"/>
      <c r="G22" s="29"/>
    </row>
    <row r="23" spans="1:7" x14ac:dyDescent="0.3">
      <c r="A23" s="26" t="s">
        <v>74</v>
      </c>
      <c r="B23" s="31">
        <v>150</v>
      </c>
      <c r="C23" s="31"/>
      <c r="D23" s="31" t="str">
        <f t="shared" si="0"/>
        <v>-</v>
      </c>
      <c r="E23" s="29" t="s">
        <v>75</v>
      </c>
      <c r="F23" s="26"/>
      <c r="G23" s="29"/>
    </row>
    <row r="24" spans="1:7" x14ac:dyDescent="0.3">
      <c r="A24" s="30" t="s">
        <v>76</v>
      </c>
      <c r="B24" s="32">
        <f>SUM(B16:B23)</f>
        <v>500</v>
      </c>
      <c r="C24" s="32">
        <f>SUM(C16:C23)</f>
        <v>21</v>
      </c>
      <c r="D24" s="32">
        <f>B24-C24</f>
        <v>479</v>
      </c>
      <c r="E24" s="29"/>
      <c r="F24" s="26"/>
      <c r="G24" s="29"/>
    </row>
    <row r="26" spans="1:7" x14ac:dyDescent="0.3">
      <c r="A26" s="84" t="s">
        <v>142</v>
      </c>
      <c r="B26" s="81"/>
      <c r="C26" s="81"/>
    </row>
    <row r="27" spans="1:7" x14ac:dyDescent="0.3">
      <c r="A27" t="s">
        <v>143</v>
      </c>
      <c r="D27" s="25">
        <f>COUNTA(A16:A23)</f>
        <v>8</v>
      </c>
    </row>
    <row r="28" spans="1:7" x14ac:dyDescent="0.3">
      <c r="A28" t="s">
        <v>144</v>
      </c>
      <c r="D28" s="25">
        <f>COUNTIF(B16:B23,"&gt;0")</f>
        <v>2</v>
      </c>
    </row>
    <row r="29" spans="1:7" x14ac:dyDescent="0.3">
      <c r="A29" t="s">
        <v>145</v>
      </c>
      <c r="D29" s="34">
        <f>IF(B24=0,"-",C24/B24)</f>
        <v>4.2000000000000003E-2</v>
      </c>
    </row>
    <row r="37" spans="1:8" x14ac:dyDescent="0.3">
      <c r="A37" s="60" t="s">
        <v>222</v>
      </c>
      <c r="B37" s="61"/>
      <c r="C37" s="61"/>
      <c r="E37" s="60" t="s">
        <v>223</v>
      </c>
      <c r="F37" s="61"/>
      <c r="G37" s="61"/>
      <c r="H37" s="61"/>
    </row>
    <row r="38" spans="1:8" x14ac:dyDescent="0.3">
      <c r="A38" s="62" t="s">
        <v>224</v>
      </c>
      <c r="E38" s="62" t="s">
        <v>224</v>
      </c>
    </row>
    <row r="39" spans="1:8" x14ac:dyDescent="0.3">
      <c r="A39" s="13"/>
    </row>
    <row r="40" spans="1:8" x14ac:dyDescent="0.3">
      <c r="A40" s="13"/>
    </row>
    <row r="41" spans="1:8" x14ac:dyDescent="0.3">
      <c r="A41" s="13"/>
    </row>
    <row r="42" spans="1:8" x14ac:dyDescent="0.3">
      <c r="A42" s="14"/>
    </row>
    <row r="46" spans="1:8" x14ac:dyDescent="0.3">
      <c r="A46" s="2" t="str">
        <f>HYPERLINK("#'INDICE'!A45","&lt;&lt; Volver al Indice")</f>
        <v>&lt;&lt; Volver al Indice</v>
      </c>
    </row>
  </sheetData>
  <mergeCells count="7">
    <mergeCell ref="A8:G8"/>
    <mergeCell ref="A26:C26"/>
    <mergeCell ref="A11:G11"/>
    <mergeCell ref="A3:G3"/>
    <mergeCell ref="A7:G7"/>
    <mergeCell ref="A5:G5"/>
    <mergeCell ref="A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O44"/>
  <sheetViews>
    <sheetView workbookViewId="0">
      <selection activeCell="A5" sqref="A5:L8"/>
    </sheetView>
  </sheetViews>
  <sheetFormatPr baseColWidth="10" defaultColWidth="9.109375" defaultRowHeight="15.05" x14ac:dyDescent="0.3"/>
  <cols>
    <col min="2" max="2" width="22.5546875" customWidth="1"/>
    <col min="3" max="3" width="18.33203125" customWidth="1"/>
    <col min="4" max="4" width="16.5546875" customWidth="1"/>
    <col min="5" max="5" width="16" customWidth="1"/>
    <col min="7" max="7" width="16.6640625" customWidth="1"/>
    <col min="8" max="8" width="16.44140625" customWidth="1"/>
    <col min="11" max="11" width="16.6640625" customWidth="1"/>
    <col min="13" max="13" width="15.44140625" customWidth="1"/>
    <col min="14" max="14" width="16" customWidth="1"/>
    <col min="15" max="15" width="11.5546875" customWidth="1"/>
  </cols>
  <sheetData>
    <row r="3" spans="1:15" x14ac:dyDescent="0.3">
      <c r="A3" s="103"/>
      <c r="B3" s="99"/>
      <c r="C3" s="99"/>
      <c r="D3" s="99"/>
      <c r="E3" s="99"/>
      <c r="F3" s="99"/>
      <c r="G3" s="99"/>
      <c r="H3" s="99"/>
      <c r="I3" s="99"/>
      <c r="J3" s="99"/>
      <c r="K3" s="99"/>
    </row>
    <row r="4" spans="1:15" x14ac:dyDescent="0.3">
      <c r="A4" s="24"/>
    </row>
    <row r="5" spans="1:15" ht="24.05" customHeight="1" x14ac:dyDescent="0.3">
      <c r="A5" s="100" t="s">
        <v>229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O5" s="59" t="s">
        <v>5</v>
      </c>
    </row>
    <row r="6" spans="1:15" x14ac:dyDescent="0.3">
      <c r="A6" s="100" t="s">
        <v>230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</row>
    <row r="7" spans="1:15" x14ac:dyDescent="0.3">
      <c r="A7" s="100" t="s">
        <v>231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N7" s="8" t="s">
        <v>26</v>
      </c>
      <c r="O7" s="7"/>
    </row>
    <row r="8" spans="1:15" x14ac:dyDescent="0.3">
      <c r="A8" s="100" t="s">
        <v>232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N8" s="8" t="s">
        <v>20</v>
      </c>
      <c r="O8" s="7"/>
    </row>
    <row r="9" spans="1:15" x14ac:dyDescent="0.3">
      <c r="A9" s="64"/>
      <c r="N9" s="8" t="s">
        <v>38</v>
      </c>
      <c r="O9" s="7"/>
    </row>
    <row r="10" spans="1:15" x14ac:dyDescent="0.3">
      <c r="N10" s="8" t="s">
        <v>39</v>
      </c>
      <c r="O10" s="7"/>
    </row>
    <row r="11" spans="1:15" ht="18.850000000000001" customHeight="1" x14ac:dyDescent="0.3">
      <c r="A11" s="85" t="s">
        <v>146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</row>
    <row r="12" spans="1:15" x14ac:dyDescent="0.3">
      <c r="A12" s="18" t="s">
        <v>77</v>
      </c>
    </row>
    <row r="14" spans="1:15" ht="24.05" customHeight="1" x14ac:dyDescent="0.3">
      <c r="A14" s="27" t="s">
        <v>78</v>
      </c>
      <c r="B14" s="27" t="s">
        <v>79</v>
      </c>
      <c r="C14" s="27" t="s">
        <v>45</v>
      </c>
      <c r="D14" s="27" t="s">
        <v>80</v>
      </c>
      <c r="E14" s="27" t="s">
        <v>81</v>
      </c>
      <c r="F14" s="27" t="s">
        <v>82</v>
      </c>
      <c r="G14" s="27" t="s">
        <v>83</v>
      </c>
      <c r="H14" s="27" t="s">
        <v>66</v>
      </c>
      <c r="I14" s="27" t="s">
        <v>30</v>
      </c>
      <c r="J14" s="27" t="s">
        <v>84</v>
      </c>
      <c r="K14" s="27" t="s">
        <v>24</v>
      </c>
      <c r="L14" s="27" t="s">
        <v>37</v>
      </c>
    </row>
    <row r="15" spans="1:15" x14ac:dyDescent="0.3">
      <c r="A15" s="29" t="s">
        <v>85</v>
      </c>
      <c r="B15" s="26" t="s">
        <v>86</v>
      </c>
      <c r="C15" s="26" t="s">
        <v>68</v>
      </c>
      <c r="D15" s="26" t="s">
        <v>87</v>
      </c>
      <c r="E15" s="28">
        <v>43831</v>
      </c>
      <c r="F15" s="31">
        <v>80</v>
      </c>
      <c r="G15" s="31">
        <v>-50000</v>
      </c>
      <c r="H15" s="31">
        <f>F15+G15</f>
        <v>-49920</v>
      </c>
      <c r="I15" s="29" t="s">
        <v>102</v>
      </c>
      <c r="J15" s="29"/>
      <c r="K15" s="26"/>
      <c r="L15" s="29"/>
    </row>
    <row r="16" spans="1:15" x14ac:dyDescent="0.3">
      <c r="A16" s="29" t="s">
        <v>88</v>
      </c>
      <c r="B16" s="26" t="s">
        <v>89</v>
      </c>
      <c r="C16" s="26" t="s">
        <v>70</v>
      </c>
      <c r="D16" s="26" t="s">
        <v>29</v>
      </c>
      <c r="E16" s="28">
        <v>44270</v>
      </c>
      <c r="F16" s="31">
        <v>45000</v>
      </c>
      <c r="G16" s="31">
        <v>-15000</v>
      </c>
      <c r="H16" s="31">
        <f>F16+G16</f>
        <v>30000</v>
      </c>
      <c r="I16" s="29" t="s">
        <v>102</v>
      </c>
      <c r="J16" s="29"/>
      <c r="K16" s="26"/>
      <c r="L16" s="29"/>
    </row>
    <row r="17" spans="1:12" x14ac:dyDescent="0.3">
      <c r="A17" s="29" t="s">
        <v>90</v>
      </c>
      <c r="B17" s="26" t="s">
        <v>91</v>
      </c>
      <c r="C17" s="26" t="s">
        <v>92</v>
      </c>
      <c r="D17" s="26" t="s">
        <v>46</v>
      </c>
      <c r="E17" s="28">
        <v>45087</v>
      </c>
      <c r="F17" s="31">
        <v>1800</v>
      </c>
      <c r="G17" s="31">
        <v>-600</v>
      </c>
      <c r="H17" s="31">
        <f>F17+G17</f>
        <v>1200</v>
      </c>
      <c r="I17" s="29" t="s">
        <v>102</v>
      </c>
      <c r="J17" s="29"/>
      <c r="K17" s="26"/>
      <c r="L17" s="29"/>
    </row>
    <row r="18" spans="1:12" ht="18.850000000000001" customHeight="1" x14ac:dyDescent="0.3">
      <c r="A18" s="7"/>
      <c r="B18" s="7"/>
      <c r="C18" s="7"/>
      <c r="D18" s="7"/>
      <c r="E18" s="35" t="s">
        <v>93</v>
      </c>
      <c r="F18" s="32">
        <f>SUM(F15:F17)</f>
        <v>46880</v>
      </c>
      <c r="G18" s="32">
        <f>SUM(G15:G17)</f>
        <v>-65600</v>
      </c>
      <c r="H18" s="32">
        <f>SUM(H15:H17)</f>
        <v>-18720</v>
      </c>
      <c r="I18" s="7"/>
      <c r="J18" s="7"/>
      <c r="K18" s="7"/>
      <c r="L18" s="7"/>
    </row>
    <row r="20" spans="1:12" x14ac:dyDescent="0.3">
      <c r="A20" s="84" t="s">
        <v>142</v>
      </c>
      <c r="B20" s="81"/>
      <c r="C20" s="81"/>
    </row>
    <row r="21" spans="1:12" x14ac:dyDescent="0.3">
      <c r="A21" s="81" t="s">
        <v>147</v>
      </c>
      <c r="B21" s="81"/>
      <c r="C21" s="81"/>
      <c r="E21" s="25">
        <f>COUNTA(A15:A17)</f>
        <v>3</v>
      </c>
    </row>
    <row r="22" spans="1:12" x14ac:dyDescent="0.3">
      <c r="A22" s="81" t="s">
        <v>148</v>
      </c>
      <c r="B22" s="81"/>
      <c r="C22" s="81"/>
      <c r="E22" s="25">
        <f>COUNTIF(I15:I17,"Totalmente depreciado")</f>
        <v>0</v>
      </c>
    </row>
    <row r="23" spans="1:12" x14ac:dyDescent="0.3">
      <c r="A23" s="81" t="s">
        <v>149</v>
      </c>
      <c r="B23" s="81"/>
      <c r="C23" s="81"/>
      <c r="E23" s="25">
        <f>COUNTIF(I15:I17,"Activo")</f>
        <v>3</v>
      </c>
    </row>
    <row r="24" spans="1:12" x14ac:dyDescent="0.3">
      <c r="A24" s="81" t="s">
        <v>150</v>
      </c>
      <c r="B24" s="81"/>
      <c r="C24" s="81"/>
      <c r="E24" s="34">
        <f>IF(F18=0,0,ABS(G18/F18))</f>
        <v>1.3993174061433447</v>
      </c>
    </row>
    <row r="25" spans="1:12" x14ac:dyDescent="0.3">
      <c r="A25" s="81" t="s">
        <v>151</v>
      </c>
      <c r="B25" s="81"/>
      <c r="C25" s="81"/>
      <c r="E25" s="36">
        <f ca="1">SUMPRODUCT((TODAY()-E15:E17))/COUNTA(E15:E17)/365</f>
        <v>4.3890410958904109</v>
      </c>
    </row>
    <row r="32" spans="1:12" x14ac:dyDescent="0.3">
      <c r="A32" s="60" t="s">
        <v>222</v>
      </c>
      <c r="B32" s="61"/>
      <c r="C32" s="61"/>
      <c r="H32" s="60" t="s">
        <v>223</v>
      </c>
      <c r="I32" s="61"/>
      <c r="J32" s="61"/>
      <c r="K32" s="61"/>
    </row>
    <row r="33" spans="1:8" x14ac:dyDescent="0.3">
      <c r="A33" s="62" t="s">
        <v>224</v>
      </c>
      <c r="H33" s="62" t="s">
        <v>224</v>
      </c>
    </row>
    <row r="44" spans="1:8" x14ac:dyDescent="0.3">
      <c r="A44" s="2" t="str">
        <f>HYPERLINK("#'INDICE'!A47","&lt;&lt; Volver al Indice")</f>
        <v>&lt;&lt; Volver al Indice</v>
      </c>
    </row>
  </sheetData>
  <mergeCells count="11">
    <mergeCell ref="A11:L11"/>
    <mergeCell ref="A5:L5"/>
    <mergeCell ref="A6:L6"/>
    <mergeCell ref="A7:L7"/>
    <mergeCell ref="A8:L8"/>
    <mergeCell ref="A23:C23"/>
    <mergeCell ref="A24:C24"/>
    <mergeCell ref="A25:C25"/>
    <mergeCell ref="A20:C20"/>
    <mergeCell ref="A21:C21"/>
    <mergeCell ref="A22:C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M44"/>
  <sheetViews>
    <sheetView workbookViewId="0">
      <selection activeCell="A7" sqref="A7:J7"/>
    </sheetView>
  </sheetViews>
  <sheetFormatPr baseColWidth="10" defaultColWidth="9.109375" defaultRowHeight="15.05" x14ac:dyDescent="0.3"/>
  <cols>
    <col min="2" max="2" width="20.6640625" customWidth="1"/>
    <col min="3" max="3" width="18" customWidth="1"/>
    <col min="4" max="4" width="17.109375" customWidth="1"/>
    <col min="5" max="5" width="13.33203125" customWidth="1"/>
    <col min="6" max="6" width="12.109375" customWidth="1"/>
    <col min="7" max="7" width="19.44140625" customWidth="1"/>
    <col min="8" max="8" width="19" customWidth="1"/>
    <col min="9" max="9" width="27.5546875" customWidth="1"/>
    <col min="10" max="10" width="30.109375" customWidth="1"/>
    <col min="12" max="12" width="16.44140625" customWidth="1"/>
    <col min="13" max="13" width="10.6640625" customWidth="1"/>
  </cols>
  <sheetData>
    <row r="3" spans="1:13" x14ac:dyDescent="0.3">
      <c r="A3" s="80"/>
      <c r="B3" s="81"/>
      <c r="C3" s="81"/>
      <c r="D3" s="81"/>
      <c r="E3" s="81"/>
      <c r="F3" s="81"/>
      <c r="G3" s="81"/>
      <c r="H3" s="81"/>
      <c r="I3" s="81"/>
    </row>
    <row r="4" spans="1:13" x14ac:dyDescent="0.3">
      <c r="A4" s="24"/>
    </row>
    <row r="5" spans="1:13" ht="20.95" customHeight="1" x14ac:dyDescent="0.3">
      <c r="A5" s="24"/>
      <c r="M5" s="58" t="s">
        <v>7</v>
      </c>
    </row>
    <row r="6" spans="1:13" x14ac:dyDescent="0.3">
      <c r="A6" s="83" t="s">
        <v>229</v>
      </c>
      <c r="B6" s="83"/>
      <c r="C6" s="83"/>
      <c r="D6" s="83"/>
      <c r="E6" s="83"/>
      <c r="F6" s="83"/>
      <c r="G6" s="83"/>
      <c r="H6" s="83"/>
      <c r="I6" s="83"/>
      <c r="J6" s="83"/>
    </row>
    <row r="7" spans="1:13" x14ac:dyDescent="0.3">
      <c r="A7" s="83" t="s">
        <v>230</v>
      </c>
      <c r="B7" s="83"/>
      <c r="C7" s="83"/>
      <c r="D7" s="83"/>
      <c r="E7" s="83"/>
      <c r="F7" s="83"/>
      <c r="G7" s="83"/>
      <c r="H7" s="83"/>
      <c r="I7" s="83"/>
      <c r="J7" s="83"/>
      <c r="L7" s="8" t="s">
        <v>26</v>
      </c>
      <c r="M7" s="7"/>
    </row>
    <row r="8" spans="1:13" x14ac:dyDescent="0.3">
      <c r="A8" s="83" t="s">
        <v>231</v>
      </c>
      <c r="B8" s="83"/>
      <c r="C8" s="83"/>
      <c r="D8" s="83"/>
      <c r="E8" s="83"/>
      <c r="F8" s="83"/>
      <c r="G8" s="83"/>
      <c r="H8" s="83"/>
      <c r="I8" s="83"/>
      <c r="J8" s="83"/>
      <c r="L8" s="8" t="s">
        <v>20</v>
      </c>
      <c r="M8" s="7"/>
    </row>
    <row r="9" spans="1:13" x14ac:dyDescent="0.3">
      <c r="A9" s="83" t="s">
        <v>232</v>
      </c>
      <c r="B9" s="83"/>
      <c r="C9" s="83"/>
      <c r="D9" s="83"/>
      <c r="E9" s="83"/>
      <c r="F9" s="83"/>
      <c r="G9" s="83"/>
      <c r="H9" s="83"/>
      <c r="I9" s="83"/>
      <c r="J9" s="83"/>
      <c r="L9" s="8" t="s">
        <v>38</v>
      </c>
      <c r="M9" s="7"/>
    </row>
    <row r="10" spans="1:13" x14ac:dyDescent="0.3">
      <c r="A10" s="64"/>
      <c r="L10" s="8" t="s">
        <v>39</v>
      </c>
      <c r="M10" s="7"/>
    </row>
    <row r="12" spans="1:13" ht="21.8" customHeight="1" x14ac:dyDescent="0.3">
      <c r="A12" s="85" t="s">
        <v>152</v>
      </c>
      <c r="B12" s="86"/>
      <c r="C12" s="86"/>
      <c r="D12" s="86"/>
      <c r="E12" s="86"/>
      <c r="F12" s="86"/>
      <c r="G12" s="86"/>
      <c r="H12" s="86"/>
      <c r="I12" s="86"/>
      <c r="J12" s="86"/>
    </row>
    <row r="13" spans="1:13" x14ac:dyDescent="0.3">
      <c r="A13" s="18" t="s">
        <v>94</v>
      </c>
    </row>
    <row r="15" spans="1:13" ht="43.55" customHeight="1" x14ac:dyDescent="0.3">
      <c r="A15" s="19" t="s">
        <v>78</v>
      </c>
      <c r="B15" s="19" t="s">
        <v>79</v>
      </c>
      <c r="C15" s="19" t="s">
        <v>95</v>
      </c>
      <c r="D15" s="19" t="s">
        <v>96</v>
      </c>
      <c r="E15" s="19" t="s">
        <v>97</v>
      </c>
      <c r="F15" s="19" t="s">
        <v>98</v>
      </c>
      <c r="G15" s="19" t="s">
        <v>26</v>
      </c>
      <c r="H15" s="19" t="s">
        <v>99</v>
      </c>
      <c r="I15" s="19" t="s">
        <v>24</v>
      </c>
      <c r="J15" s="19" t="s">
        <v>100</v>
      </c>
    </row>
    <row r="16" spans="1:13" x14ac:dyDescent="0.3">
      <c r="A16" s="20"/>
      <c r="B16" s="1"/>
      <c r="C16" s="1"/>
      <c r="D16" s="1"/>
      <c r="E16" s="1"/>
      <c r="F16" s="37" t="str">
        <f>IF(C7=D7,"SÍ","NO")</f>
        <v>SÍ</v>
      </c>
      <c r="G16" s="1"/>
      <c r="H16" s="1"/>
      <c r="I16" s="1"/>
      <c r="J16" s="1"/>
    </row>
    <row r="17" spans="1:10" x14ac:dyDescent="0.3">
      <c r="A17" s="20"/>
      <c r="B17" s="1"/>
      <c r="C17" s="1"/>
      <c r="D17" s="1"/>
      <c r="E17" s="1"/>
      <c r="F17" s="37" t="str">
        <f>IF(C8=D8,"SÍ","NO")</f>
        <v>SÍ</v>
      </c>
      <c r="G17" s="1"/>
      <c r="H17" s="1"/>
      <c r="I17" s="1"/>
      <c r="J17" s="1"/>
    </row>
    <row r="18" spans="1:10" x14ac:dyDescent="0.3">
      <c r="A18" s="20"/>
      <c r="B18" s="1"/>
      <c r="C18" s="1"/>
      <c r="D18" s="1"/>
      <c r="E18" s="1"/>
      <c r="F18" s="37" t="str">
        <f t="shared" ref="F18:F25" si="0">IF(C11=D11,"SÍ","NO")</f>
        <v>SÍ</v>
      </c>
      <c r="G18" s="1"/>
      <c r="H18" s="1"/>
      <c r="I18" s="1"/>
      <c r="J18" s="1"/>
    </row>
    <row r="19" spans="1:10" x14ac:dyDescent="0.3">
      <c r="A19" s="20"/>
      <c r="B19" s="1"/>
      <c r="C19" s="1"/>
      <c r="D19" s="1"/>
      <c r="E19" s="1"/>
      <c r="F19" s="37" t="str">
        <f t="shared" si="0"/>
        <v>SÍ</v>
      </c>
      <c r="G19" s="1"/>
      <c r="H19" s="1"/>
      <c r="I19" s="1"/>
      <c r="J19" s="1"/>
    </row>
    <row r="20" spans="1:10" x14ac:dyDescent="0.3">
      <c r="A20" s="20"/>
      <c r="B20" s="1"/>
      <c r="C20" s="1"/>
      <c r="D20" s="1"/>
      <c r="E20" s="1"/>
      <c r="F20" s="37" t="str">
        <f t="shared" si="0"/>
        <v>SÍ</v>
      </c>
      <c r="G20" s="1"/>
      <c r="H20" s="1"/>
      <c r="I20" s="1"/>
      <c r="J20" s="1"/>
    </row>
    <row r="21" spans="1:10" x14ac:dyDescent="0.3">
      <c r="A21" s="20"/>
      <c r="B21" s="1"/>
      <c r="C21" s="1"/>
      <c r="D21" s="1"/>
      <c r="E21" s="1"/>
      <c r="F21" s="37" t="str">
        <f t="shared" si="0"/>
        <v>SÍ</v>
      </c>
      <c r="G21" s="1"/>
      <c r="H21" s="1"/>
      <c r="I21" s="1"/>
      <c r="J21" s="1"/>
    </row>
    <row r="22" spans="1:10" x14ac:dyDescent="0.3">
      <c r="A22" s="20"/>
      <c r="B22" s="1"/>
      <c r="C22" s="1"/>
      <c r="D22" s="1"/>
      <c r="E22" s="1"/>
      <c r="F22" s="37" t="str">
        <f t="shared" si="0"/>
        <v>NO</v>
      </c>
      <c r="G22" s="1"/>
      <c r="H22" s="1"/>
      <c r="I22" s="1"/>
      <c r="J22" s="1"/>
    </row>
    <row r="23" spans="1:10" x14ac:dyDescent="0.3">
      <c r="A23" s="20"/>
      <c r="B23" s="1"/>
      <c r="C23" s="1"/>
      <c r="D23" s="1"/>
      <c r="E23" s="1"/>
      <c r="F23" s="37" t="str">
        <f t="shared" si="0"/>
        <v>SÍ</v>
      </c>
      <c r="G23" s="1"/>
      <c r="H23" s="1"/>
      <c r="I23" s="1"/>
      <c r="J23" s="1"/>
    </row>
    <row r="24" spans="1:10" x14ac:dyDescent="0.3">
      <c r="A24" s="20"/>
      <c r="B24" s="1"/>
      <c r="C24" s="1"/>
      <c r="D24" s="1"/>
      <c r="E24" s="1"/>
      <c r="F24" s="37" t="str">
        <f t="shared" si="0"/>
        <v>SÍ</v>
      </c>
      <c r="G24" s="1"/>
      <c r="H24" s="1"/>
      <c r="I24" s="1"/>
      <c r="J24" s="1"/>
    </row>
    <row r="25" spans="1:10" x14ac:dyDescent="0.3">
      <c r="A25" s="20"/>
      <c r="B25" s="1"/>
      <c r="C25" s="1"/>
      <c r="D25" s="1"/>
      <c r="E25" s="1"/>
      <c r="F25" s="37" t="str">
        <f t="shared" si="0"/>
        <v>SÍ</v>
      </c>
      <c r="G25" s="1"/>
      <c r="H25" s="1"/>
      <c r="I25" s="1"/>
      <c r="J25" s="1"/>
    </row>
    <row r="35" spans="1:10" x14ac:dyDescent="0.3">
      <c r="A35" s="60" t="s">
        <v>222</v>
      </c>
      <c r="B35" s="61"/>
      <c r="C35" s="61"/>
      <c r="H35" s="60" t="s">
        <v>223</v>
      </c>
      <c r="I35" s="61"/>
      <c r="J35" s="61"/>
    </row>
    <row r="36" spans="1:10" x14ac:dyDescent="0.3">
      <c r="A36" s="62" t="s">
        <v>224</v>
      </c>
      <c r="H36" s="62" t="s">
        <v>224</v>
      </c>
    </row>
    <row r="44" spans="1:10" x14ac:dyDescent="0.3">
      <c r="A44" s="2" t="str">
        <f>HYPERLINK("#'INDICE'!A48","&lt;&lt; Volver al Indice")</f>
        <v>&lt;&lt; Volver al Indice</v>
      </c>
    </row>
  </sheetData>
  <mergeCells count="6">
    <mergeCell ref="A12:J12"/>
    <mergeCell ref="A3:I3"/>
    <mergeCell ref="A6:J6"/>
    <mergeCell ref="A7:J7"/>
    <mergeCell ref="A8:J8"/>
    <mergeCell ref="A9:J9"/>
  </mergeCells>
  <dataValidations disablePrompts="1" count="1">
    <dataValidation type="list" allowBlank="1" showInputMessage="1" showErrorMessage="1" sqref="F16:F25" xr:uid="{00000000-0002-0000-0500-000000000000}">
      <formula1>"Si, 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N44"/>
  <sheetViews>
    <sheetView workbookViewId="0">
      <selection activeCell="A5" sqref="A5:K5"/>
    </sheetView>
  </sheetViews>
  <sheetFormatPr baseColWidth="10" defaultColWidth="9.109375" defaultRowHeight="15.05" x14ac:dyDescent="0.3"/>
  <cols>
    <col min="2" max="2" width="23" customWidth="1"/>
    <col min="3" max="3" width="14.6640625" customWidth="1"/>
    <col min="4" max="4" width="13" customWidth="1"/>
    <col min="5" max="5" width="12.109375" customWidth="1"/>
    <col min="7" max="7" width="16.88671875" customWidth="1"/>
    <col min="11" max="11" width="14.33203125" customWidth="1"/>
    <col min="13" max="13" width="16.109375" customWidth="1"/>
    <col min="14" max="14" width="13.5546875" customWidth="1"/>
  </cols>
  <sheetData>
    <row r="3" spans="1:14" x14ac:dyDescent="0.3">
      <c r="A3" s="80"/>
      <c r="B3" s="81"/>
      <c r="C3" s="81"/>
      <c r="D3" s="81"/>
      <c r="E3" s="81"/>
      <c r="F3" s="81"/>
      <c r="G3" s="81"/>
      <c r="H3" s="81"/>
      <c r="I3" s="81"/>
      <c r="J3" s="81"/>
    </row>
    <row r="4" spans="1:14" x14ac:dyDescent="0.3">
      <c r="A4" s="24"/>
    </row>
    <row r="5" spans="1:14" ht="24.75" customHeight="1" x14ac:dyDescent="0.3">
      <c r="A5" s="83" t="s">
        <v>229</v>
      </c>
      <c r="B5" s="83"/>
      <c r="C5" s="83"/>
      <c r="D5" s="83"/>
      <c r="E5" s="83"/>
      <c r="F5" s="83"/>
      <c r="G5" s="83"/>
      <c r="H5" s="83"/>
      <c r="I5" s="83"/>
      <c r="J5" s="83"/>
      <c r="K5" s="83"/>
      <c r="N5" s="59" t="s">
        <v>9</v>
      </c>
    </row>
    <row r="6" spans="1:14" x14ac:dyDescent="0.3">
      <c r="A6" s="83" t="s">
        <v>230</v>
      </c>
      <c r="B6" s="83"/>
      <c r="C6" s="83"/>
      <c r="D6" s="83"/>
      <c r="E6" s="83"/>
      <c r="F6" s="83"/>
      <c r="G6" s="83"/>
      <c r="H6" s="83"/>
      <c r="I6" s="83"/>
      <c r="J6" s="83"/>
      <c r="K6" s="83"/>
    </row>
    <row r="7" spans="1:14" x14ac:dyDescent="0.3">
      <c r="A7" s="83" t="s">
        <v>231</v>
      </c>
      <c r="B7" s="83"/>
      <c r="C7" s="83"/>
      <c r="D7" s="83"/>
      <c r="E7" s="83"/>
      <c r="F7" s="83"/>
      <c r="G7" s="83"/>
      <c r="H7" s="83"/>
      <c r="I7" s="83"/>
      <c r="J7" s="83"/>
      <c r="K7" s="83"/>
      <c r="M7" s="8" t="s">
        <v>26</v>
      </c>
      <c r="N7" s="7"/>
    </row>
    <row r="8" spans="1:14" x14ac:dyDescent="0.3">
      <c r="A8" s="83" t="s">
        <v>232</v>
      </c>
      <c r="B8" s="83"/>
      <c r="C8" s="83"/>
      <c r="D8" s="83"/>
      <c r="E8" s="83"/>
      <c r="F8" s="83"/>
      <c r="G8" s="83"/>
      <c r="H8" s="83"/>
      <c r="I8" s="83"/>
      <c r="J8" s="83"/>
      <c r="K8" s="83"/>
      <c r="M8" s="8" t="s">
        <v>20</v>
      </c>
      <c r="N8" s="7"/>
    </row>
    <row r="9" spans="1:14" x14ac:dyDescent="0.3">
      <c r="A9" s="64"/>
      <c r="M9" s="8" t="s">
        <v>38</v>
      </c>
      <c r="N9" s="7"/>
    </row>
    <row r="10" spans="1:14" x14ac:dyDescent="0.3">
      <c r="M10" s="8" t="s">
        <v>39</v>
      </c>
      <c r="N10" s="7"/>
    </row>
    <row r="11" spans="1:14" ht="16.55" customHeight="1" x14ac:dyDescent="0.3">
      <c r="A11" s="87" t="s">
        <v>225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</row>
    <row r="12" spans="1:14" x14ac:dyDescent="0.3">
      <c r="A12" s="18" t="s">
        <v>101</v>
      </c>
    </row>
    <row r="14" spans="1:14" ht="29.3" customHeight="1" x14ac:dyDescent="0.3">
      <c r="A14" s="27" t="s">
        <v>78</v>
      </c>
      <c r="B14" s="27" t="s">
        <v>102</v>
      </c>
      <c r="C14" s="27" t="s">
        <v>82</v>
      </c>
      <c r="D14" s="27" t="s">
        <v>103</v>
      </c>
      <c r="E14" s="27" t="s">
        <v>104</v>
      </c>
      <c r="F14" s="27" t="s">
        <v>105</v>
      </c>
      <c r="G14" s="27" t="s">
        <v>106</v>
      </c>
      <c r="H14" s="27" t="s">
        <v>107</v>
      </c>
      <c r="I14" s="27" t="s">
        <v>83</v>
      </c>
      <c r="J14" s="27" t="s">
        <v>66</v>
      </c>
      <c r="K14" s="27" t="s">
        <v>33</v>
      </c>
    </row>
    <row r="15" spans="1:14" x14ac:dyDescent="0.3">
      <c r="A15" s="29" t="s">
        <v>85</v>
      </c>
      <c r="B15" s="26" t="s">
        <v>86</v>
      </c>
      <c r="C15" s="31">
        <v>5000</v>
      </c>
      <c r="D15" s="31">
        <v>50000</v>
      </c>
      <c r="E15" s="31">
        <f t="shared" ref="E15:E22" si="0">C15-D15</f>
        <v>-45000</v>
      </c>
      <c r="F15" s="38">
        <v>50</v>
      </c>
      <c r="G15" s="29" t="s">
        <v>108</v>
      </c>
      <c r="H15" s="31">
        <f t="shared" ref="H15:H22" si="1">IF(F15=0,0,E15/F15)</f>
        <v>-900</v>
      </c>
      <c r="I15" s="31">
        <f t="shared" ref="I15:I22" si="2">IF(F15=0,0,MIN(5,F15)*H15)</f>
        <v>-4500</v>
      </c>
      <c r="J15" s="31">
        <f t="shared" ref="J15:J22" si="3">C15-I15</f>
        <v>9500</v>
      </c>
      <c r="K15" s="29" t="str">
        <f t="shared" ref="K15:K22" si="4">IF(AND(E15&gt;=0,J15&gt;=D15),"✓","⚠")</f>
        <v>⚠</v>
      </c>
    </row>
    <row r="16" spans="1:14" x14ac:dyDescent="0.3">
      <c r="A16" s="29" t="s">
        <v>88</v>
      </c>
      <c r="B16" s="26" t="s">
        <v>89</v>
      </c>
      <c r="C16" s="31">
        <v>45000</v>
      </c>
      <c r="D16" s="31">
        <v>5000</v>
      </c>
      <c r="E16" s="31">
        <f t="shared" si="0"/>
        <v>40000</v>
      </c>
      <c r="F16" s="38">
        <v>10</v>
      </c>
      <c r="G16" s="29" t="s">
        <v>108</v>
      </c>
      <c r="H16" s="31">
        <f t="shared" si="1"/>
        <v>4000</v>
      </c>
      <c r="I16" s="31">
        <f t="shared" si="2"/>
        <v>20000</v>
      </c>
      <c r="J16" s="31">
        <f t="shared" si="3"/>
        <v>25000</v>
      </c>
      <c r="K16" s="29" t="str">
        <f t="shared" si="4"/>
        <v>✓</v>
      </c>
    </row>
    <row r="17" spans="1:11" x14ac:dyDescent="0.3">
      <c r="A17" s="29" t="s">
        <v>90</v>
      </c>
      <c r="B17" s="26" t="s">
        <v>91</v>
      </c>
      <c r="C17" s="31">
        <v>1800</v>
      </c>
      <c r="D17" s="31">
        <v>0</v>
      </c>
      <c r="E17" s="31">
        <f t="shared" si="0"/>
        <v>1800</v>
      </c>
      <c r="F17" s="38">
        <v>3</v>
      </c>
      <c r="G17" s="29" t="s">
        <v>108</v>
      </c>
      <c r="H17" s="31">
        <f t="shared" si="1"/>
        <v>600</v>
      </c>
      <c r="I17" s="31">
        <f t="shared" si="2"/>
        <v>1800</v>
      </c>
      <c r="J17" s="31">
        <f t="shared" si="3"/>
        <v>0</v>
      </c>
      <c r="K17" s="29" t="str">
        <f t="shared" si="4"/>
        <v>✓</v>
      </c>
    </row>
    <row r="18" spans="1:11" x14ac:dyDescent="0.3">
      <c r="A18" s="29" t="s">
        <v>153</v>
      </c>
      <c r="B18" s="26" t="s">
        <v>154</v>
      </c>
      <c r="C18" s="31">
        <v>250000</v>
      </c>
      <c r="D18" s="31">
        <v>25000</v>
      </c>
      <c r="E18" s="31">
        <f t="shared" si="0"/>
        <v>225000</v>
      </c>
      <c r="F18" s="38">
        <v>20</v>
      </c>
      <c r="G18" s="29" t="s">
        <v>108</v>
      </c>
      <c r="H18" s="31">
        <f t="shared" si="1"/>
        <v>11250</v>
      </c>
      <c r="I18" s="31">
        <f t="shared" si="2"/>
        <v>56250</v>
      </c>
      <c r="J18" s="31">
        <f t="shared" si="3"/>
        <v>193750</v>
      </c>
      <c r="K18" s="29" t="str">
        <f t="shared" si="4"/>
        <v>✓</v>
      </c>
    </row>
    <row r="19" spans="1:11" x14ac:dyDescent="0.3">
      <c r="A19" s="29" t="s">
        <v>155</v>
      </c>
      <c r="B19" s="26" t="s">
        <v>156</v>
      </c>
      <c r="C19" s="31">
        <v>15000</v>
      </c>
      <c r="D19" s="31">
        <v>1500</v>
      </c>
      <c r="E19" s="31">
        <f t="shared" si="0"/>
        <v>13500</v>
      </c>
      <c r="F19" s="38">
        <v>10</v>
      </c>
      <c r="G19" s="29" t="s">
        <v>108</v>
      </c>
      <c r="H19" s="31">
        <f t="shared" si="1"/>
        <v>1350</v>
      </c>
      <c r="I19" s="31">
        <f t="shared" si="2"/>
        <v>6750</v>
      </c>
      <c r="J19" s="31">
        <f t="shared" si="3"/>
        <v>8250</v>
      </c>
      <c r="K19" s="29" t="str">
        <f t="shared" si="4"/>
        <v>✓</v>
      </c>
    </row>
    <row r="20" spans="1:11" x14ac:dyDescent="0.3">
      <c r="A20" s="29" t="s">
        <v>157</v>
      </c>
      <c r="B20" s="26" t="s">
        <v>158</v>
      </c>
      <c r="C20" s="31">
        <v>8500</v>
      </c>
      <c r="D20" s="31">
        <v>500</v>
      </c>
      <c r="E20" s="31">
        <f t="shared" si="0"/>
        <v>8000</v>
      </c>
      <c r="F20" s="38">
        <v>5</v>
      </c>
      <c r="G20" s="29" t="s">
        <v>108</v>
      </c>
      <c r="H20" s="31">
        <f t="shared" si="1"/>
        <v>1600</v>
      </c>
      <c r="I20" s="31">
        <f t="shared" si="2"/>
        <v>8000</v>
      </c>
      <c r="J20" s="31">
        <f t="shared" si="3"/>
        <v>500</v>
      </c>
      <c r="K20" s="29" t="str">
        <f t="shared" si="4"/>
        <v>✓</v>
      </c>
    </row>
    <row r="21" spans="1:11" x14ac:dyDescent="0.3">
      <c r="A21" s="29" t="s">
        <v>159</v>
      </c>
      <c r="B21" s="26" t="s">
        <v>160</v>
      </c>
      <c r="C21" s="31">
        <v>3200</v>
      </c>
      <c r="D21" s="31">
        <v>200</v>
      </c>
      <c r="E21" s="31">
        <f t="shared" si="0"/>
        <v>3000</v>
      </c>
      <c r="F21" s="38">
        <v>5</v>
      </c>
      <c r="G21" s="29" t="s">
        <v>108</v>
      </c>
      <c r="H21" s="31">
        <f t="shared" si="1"/>
        <v>600</v>
      </c>
      <c r="I21" s="31">
        <f t="shared" si="2"/>
        <v>3000</v>
      </c>
      <c r="J21" s="31">
        <f t="shared" si="3"/>
        <v>200</v>
      </c>
      <c r="K21" s="29" t="str">
        <f t="shared" si="4"/>
        <v>✓</v>
      </c>
    </row>
    <row r="22" spans="1:11" x14ac:dyDescent="0.3">
      <c r="A22" s="29" t="s">
        <v>161</v>
      </c>
      <c r="B22" s="26" t="s">
        <v>162</v>
      </c>
      <c r="C22" s="31">
        <v>12000</v>
      </c>
      <c r="D22" s="31">
        <v>1000</v>
      </c>
      <c r="E22" s="31">
        <f t="shared" si="0"/>
        <v>11000</v>
      </c>
      <c r="F22" s="38">
        <v>8</v>
      </c>
      <c r="G22" s="29" t="s">
        <v>108</v>
      </c>
      <c r="H22" s="31">
        <f t="shared" si="1"/>
        <v>1375</v>
      </c>
      <c r="I22" s="31">
        <f t="shared" si="2"/>
        <v>6875</v>
      </c>
      <c r="J22" s="31">
        <f t="shared" si="3"/>
        <v>5125</v>
      </c>
      <c r="K22" s="29" t="str">
        <f t="shared" si="4"/>
        <v>✓</v>
      </c>
    </row>
    <row r="23" spans="1:11" x14ac:dyDescent="0.3">
      <c r="A23" s="7"/>
      <c r="B23" s="30" t="s">
        <v>31</v>
      </c>
      <c r="C23" s="32">
        <f>SUM(C15:C22)</f>
        <v>340500</v>
      </c>
      <c r="D23" s="32">
        <f>SUM(D15:D22)</f>
        <v>83200</v>
      </c>
      <c r="E23" s="32">
        <f>SUM(E15:E22)</f>
        <v>257300</v>
      </c>
      <c r="F23" s="7"/>
      <c r="G23" s="7"/>
      <c r="H23" s="32">
        <f>SUM(H15:H22)</f>
        <v>19875</v>
      </c>
      <c r="I23" s="32">
        <f>SUM(I15:I22)</f>
        <v>98175</v>
      </c>
      <c r="J23" s="32">
        <f>SUM(J15:J22)</f>
        <v>242325</v>
      </c>
      <c r="K23" s="7"/>
    </row>
    <row r="25" spans="1:11" x14ac:dyDescent="0.3">
      <c r="A25" s="84" t="s">
        <v>163</v>
      </c>
      <c r="B25" s="81"/>
      <c r="C25" s="81"/>
      <c r="D25" s="81"/>
    </row>
    <row r="26" spans="1:11" x14ac:dyDescent="0.3">
      <c r="A26" s="81" t="s">
        <v>164</v>
      </c>
      <c r="B26" s="81"/>
      <c r="C26" s="81"/>
      <c r="E26" s="25">
        <f>COUNTA(A15:A22)</f>
        <v>8</v>
      </c>
    </row>
    <row r="27" spans="1:11" x14ac:dyDescent="0.3">
      <c r="A27" s="81" t="s">
        <v>148</v>
      </c>
      <c r="B27" s="81"/>
      <c r="C27" s="81"/>
      <c r="E27" s="25">
        <f>COUNTIF(J15:J22,"&lt;="&amp;D15:D22)</f>
        <v>0</v>
      </c>
    </row>
    <row r="28" spans="1:11" x14ac:dyDescent="0.3">
      <c r="A28" s="81" t="s">
        <v>165</v>
      </c>
      <c r="B28" s="81"/>
      <c r="C28" s="81"/>
      <c r="E28" s="36">
        <f>AVERAGE(F15:F22)</f>
        <v>13.875</v>
      </c>
    </row>
    <row r="29" spans="1:11" x14ac:dyDescent="0.3">
      <c r="A29" s="81" t="s">
        <v>166</v>
      </c>
      <c r="B29" s="81"/>
      <c r="C29" s="81"/>
      <c r="E29" s="34">
        <f>IF(C23=0,0,I23/C23)</f>
        <v>0.28832599118942731</v>
      </c>
    </row>
    <row r="30" spans="1:11" x14ac:dyDescent="0.3">
      <c r="A30" s="81" t="s">
        <v>167</v>
      </c>
      <c r="B30" s="81"/>
      <c r="C30" s="81"/>
      <c r="E30" s="33">
        <f>H23</f>
        <v>19875</v>
      </c>
    </row>
    <row r="37" spans="1:11" x14ac:dyDescent="0.3">
      <c r="A37" s="60" t="s">
        <v>222</v>
      </c>
      <c r="B37" s="61"/>
      <c r="C37" s="61"/>
      <c r="H37" s="60" t="s">
        <v>223</v>
      </c>
      <c r="I37" s="61"/>
      <c r="J37" s="61"/>
      <c r="K37" s="61"/>
    </row>
    <row r="38" spans="1:11" x14ac:dyDescent="0.3">
      <c r="A38" s="62" t="s">
        <v>224</v>
      </c>
      <c r="H38" s="62" t="s">
        <v>224</v>
      </c>
    </row>
    <row r="44" spans="1:11" x14ac:dyDescent="0.3">
      <c r="A44" s="2" t="str">
        <f>HYPERLINK("#'INDICE'!A48","&lt;&lt; Volver al Indice")</f>
        <v>&lt;&lt; Volver al Indice</v>
      </c>
    </row>
  </sheetData>
  <mergeCells count="12">
    <mergeCell ref="A3:J3"/>
    <mergeCell ref="A11:K11"/>
    <mergeCell ref="A5:K5"/>
    <mergeCell ref="A6:K6"/>
    <mergeCell ref="A7:K7"/>
    <mergeCell ref="A8:K8"/>
    <mergeCell ref="A30:C30"/>
    <mergeCell ref="A25:D25"/>
    <mergeCell ref="A26:C26"/>
    <mergeCell ref="A27:C27"/>
    <mergeCell ref="A28:C28"/>
    <mergeCell ref="A29:C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H48"/>
  <sheetViews>
    <sheetView workbookViewId="0">
      <selection activeCell="D4" sqref="D4"/>
    </sheetView>
  </sheetViews>
  <sheetFormatPr baseColWidth="10" defaultColWidth="9.109375" defaultRowHeight="15.05" x14ac:dyDescent="0.3"/>
  <cols>
    <col min="1" max="1" width="6.6640625" customWidth="1"/>
    <col min="2" max="2" width="42.44140625" customWidth="1"/>
    <col min="3" max="3" width="22.88671875" customWidth="1"/>
    <col min="4" max="4" width="13.88671875" customWidth="1"/>
    <col min="5" max="5" width="15.6640625" customWidth="1"/>
    <col min="7" max="7" width="15.6640625" customWidth="1"/>
    <col min="8" max="8" width="11.109375" customWidth="1"/>
  </cols>
  <sheetData>
    <row r="3" spans="1:8" x14ac:dyDescent="0.3">
      <c r="A3" s="80"/>
      <c r="B3" s="81"/>
      <c r="C3" s="81"/>
      <c r="D3" s="81"/>
      <c r="E3" s="81"/>
      <c r="F3" s="81"/>
    </row>
    <row r="4" spans="1:8" ht="25.55" customHeight="1" x14ac:dyDescent="0.3">
      <c r="A4" s="24"/>
      <c r="H4" s="58" t="s">
        <v>10</v>
      </c>
    </row>
    <row r="5" spans="1:8" x14ac:dyDescent="0.3">
      <c r="A5" s="83" t="s">
        <v>229</v>
      </c>
      <c r="B5" s="83"/>
      <c r="C5" s="83"/>
      <c r="D5" s="83"/>
      <c r="E5" s="83"/>
      <c r="F5" s="99"/>
    </row>
    <row r="6" spans="1:8" x14ac:dyDescent="0.3">
      <c r="A6" s="83" t="s">
        <v>230</v>
      </c>
      <c r="B6" s="83"/>
      <c r="C6" s="83"/>
      <c r="D6" s="83"/>
      <c r="E6" s="83"/>
      <c r="F6" s="99"/>
      <c r="G6" s="8" t="s">
        <v>26</v>
      </c>
      <c r="H6" s="7"/>
    </row>
    <row r="7" spans="1:8" x14ac:dyDescent="0.3">
      <c r="A7" s="83" t="s">
        <v>231</v>
      </c>
      <c r="B7" s="83"/>
      <c r="C7" s="83"/>
      <c r="D7" s="83"/>
      <c r="E7" s="83"/>
      <c r="F7" s="99"/>
      <c r="G7" s="8" t="s">
        <v>20</v>
      </c>
      <c r="H7" s="7"/>
    </row>
    <row r="8" spans="1:8" x14ac:dyDescent="0.3">
      <c r="A8" s="83" t="s">
        <v>232</v>
      </c>
      <c r="B8" s="83"/>
      <c r="C8" s="83"/>
      <c r="D8" s="83"/>
      <c r="E8" s="83"/>
      <c r="G8" s="8" t="s">
        <v>38</v>
      </c>
      <c r="H8" s="7"/>
    </row>
    <row r="9" spans="1:8" ht="18.850000000000001" customHeight="1" x14ac:dyDescent="0.3">
      <c r="G9" s="8" t="s">
        <v>39</v>
      </c>
      <c r="H9" s="7"/>
    </row>
    <row r="10" spans="1:8" ht="17.05" x14ac:dyDescent="0.3">
      <c r="B10" s="40" t="s">
        <v>226</v>
      </c>
      <c r="C10" s="39"/>
      <c r="D10" s="39"/>
      <c r="E10" s="39"/>
    </row>
    <row r="11" spans="1:8" ht="17.05" x14ac:dyDescent="0.3">
      <c r="C11" s="40"/>
      <c r="D11" s="39"/>
      <c r="E11" s="39"/>
      <c r="F11" s="39"/>
    </row>
    <row r="12" spans="1:8" x14ac:dyDescent="0.3">
      <c r="A12" s="3" t="s">
        <v>41</v>
      </c>
    </row>
    <row r="13" spans="1:8" x14ac:dyDescent="0.3">
      <c r="A13" s="88"/>
      <c r="B13" s="89"/>
      <c r="C13" s="89"/>
      <c r="D13" s="89"/>
      <c r="E13" s="90"/>
    </row>
    <row r="14" spans="1:8" x14ac:dyDescent="0.3">
      <c r="A14" s="91"/>
      <c r="B14" s="81"/>
      <c r="C14" s="81"/>
      <c r="D14" s="81"/>
      <c r="E14" s="92"/>
    </row>
    <row r="15" spans="1:8" x14ac:dyDescent="0.3">
      <c r="A15" s="91"/>
      <c r="B15" s="81"/>
      <c r="C15" s="81"/>
      <c r="D15" s="81"/>
      <c r="E15" s="92"/>
    </row>
    <row r="16" spans="1:8" x14ac:dyDescent="0.3">
      <c r="A16" s="91"/>
      <c r="B16" s="81"/>
      <c r="C16" s="81"/>
      <c r="D16" s="81"/>
      <c r="E16" s="92"/>
    </row>
    <row r="17" spans="1:5" x14ac:dyDescent="0.3">
      <c r="A17" s="91"/>
      <c r="B17" s="81"/>
      <c r="C17" s="81"/>
      <c r="D17" s="81"/>
      <c r="E17" s="92"/>
    </row>
    <row r="18" spans="1:5" x14ac:dyDescent="0.3">
      <c r="A18" s="93"/>
      <c r="B18" s="94"/>
      <c r="C18" s="94"/>
      <c r="D18" s="94"/>
      <c r="E18" s="95"/>
    </row>
    <row r="20" spans="1:5" x14ac:dyDescent="0.3">
      <c r="A20" s="3" t="s">
        <v>42</v>
      </c>
    </row>
    <row r="21" spans="1:5" x14ac:dyDescent="0.3">
      <c r="A21" s="9" t="s">
        <v>22</v>
      </c>
      <c r="B21" s="9" t="s">
        <v>40</v>
      </c>
      <c r="C21" s="9" t="s">
        <v>43</v>
      </c>
      <c r="D21" s="9" t="s">
        <v>36</v>
      </c>
      <c r="E21" s="9" t="s">
        <v>44</v>
      </c>
    </row>
    <row r="22" spans="1:5" x14ac:dyDescent="0.3">
      <c r="A22" s="5"/>
      <c r="B22" s="6"/>
      <c r="C22" s="6"/>
      <c r="D22" s="6"/>
      <c r="E22" s="6"/>
    </row>
    <row r="23" spans="1:5" x14ac:dyDescent="0.3">
      <c r="A23" s="5"/>
      <c r="B23" s="6"/>
      <c r="C23" s="6"/>
      <c r="D23" s="6"/>
      <c r="E23" s="6"/>
    </row>
    <row r="24" spans="1:5" x14ac:dyDescent="0.3">
      <c r="A24" s="5"/>
      <c r="B24" s="6"/>
      <c r="C24" s="6"/>
      <c r="D24" s="6"/>
      <c r="E24" s="6"/>
    </row>
    <row r="25" spans="1:5" x14ac:dyDescent="0.3">
      <c r="A25" s="5"/>
      <c r="B25" s="6"/>
      <c r="C25" s="6"/>
      <c r="D25" s="6"/>
      <c r="E25" s="6"/>
    </row>
    <row r="26" spans="1:5" x14ac:dyDescent="0.3">
      <c r="A26" s="5"/>
      <c r="B26" s="6"/>
      <c r="C26" s="6"/>
      <c r="D26" s="6"/>
      <c r="E26" s="6"/>
    </row>
    <row r="27" spans="1:5" x14ac:dyDescent="0.3">
      <c r="A27" s="5"/>
      <c r="B27" s="6"/>
      <c r="C27" s="6"/>
      <c r="D27" s="6"/>
      <c r="E27" s="6"/>
    </row>
    <row r="28" spans="1:5" x14ac:dyDescent="0.3">
      <c r="A28" s="5"/>
      <c r="B28" s="6"/>
      <c r="C28" s="6"/>
      <c r="D28" s="6"/>
      <c r="E28" s="6"/>
    </row>
    <row r="29" spans="1:5" x14ac:dyDescent="0.3">
      <c r="A29" s="5"/>
      <c r="B29" s="6"/>
      <c r="C29" s="6"/>
      <c r="D29" s="6"/>
      <c r="E29" s="6"/>
    </row>
    <row r="30" spans="1:5" x14ac:dyDescent="0.3">
      <c r="A30" s="5"/>
      <c r="B30" s="6"/>
      <c r="C30" s="6"/>
      <c r="D30" s="6"/>
      <c r="E30" s="6"/>
    </row>
    <row r="31" spans="1:5" x14ac:dyDescent="0.3">
      <c r="A31" s="5"/>
      <c r="B31" s="6"/>
      <c r="C31" s="6"/>
      <c r="D31" s="6"/>
      <c r="E31" s="6"/>
    </row>
    <row r="41" spans="1:7" x14ac:dyDescent="0.3">
      <c r="A41" s="60" t="s">
        <v>222</v>
      </c>
      <c r="B41" s="61"/>
      <c r="D41" s="60" t="s">
        <v>223</v>
      </c>
      <c r="E41" s="61"/>
      <c r="F41" s="61"/>
      <c r="G41" s="61"/>
    </row>
    <row r="42" spans="1:7" x14ac:dyDescent="0.3">
      <c r="A42" s="62" t="s">
        <v>224</v>
      </c>
      <c r="D42" s="62" t="s">
        <v>224</v>
      </c>
    </row>
    <row r="48" spans="1:7" x14ac:dyDescent="0.3">
      <c r="A48" s="2" t="str">
        <f>HYPERLINK("#'INDICE'!A51","&lt;&lt; Volver al Indice")</f>
        <v>&lt;&lt; Volver al Indice</v>
      </c>
    </row>
  </sheetData>
  <mergeCells count="6">
    <mergeCell ref="A13:E18"/>
    <mergeCell ref="A3:F3"/>
    <mergeCell ref="A5:E5"/>
    <mergeCell ref="A6:E6"/>
    <mergeCell ref="A7:E7"/>
    <mergeCell ref="A8:E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H53"/>
  <sheetViews>
    <sheetView workbookViewId="0">
      <selection activeCell="A5" sqref="A5:E8"/>
    </sheetView>
  </sheetViews>
  <sheetFormatPr baseColWidth="10" defaultColWidth="9.109375" defaultRowHeight="15.05" x14ac:dyDescent="0.3"/>
  <cols>
    <col min="2" max="2" width="34.88671875" customWidth="1"/>
    <col min="3" max="3" width="42.109375" customWidth="1"/>
    <col min="4" max="4" width="15.109375" customWidth="1"/>
    <col min="5" max="5" width="19.88671875" customWidth="1"/>
    <col min="7" max="7" width="16.109375" customWidth="1"/>
    <col min="8" max="8" width="13.109375" customWidth="1"/>
  </cols>
  <sheetData>
    <row r="3" spans="1:8" x14ac:dyDescent="0.3">
      <c r="A3" s="80"/>
      <c r="B3" s="81"/>
      <c r="C3" s="81"/>
      <c r="D3" s="81"/>
      <c r="E3" s="81"/>
      <c r="F3" s="81"/>
    </row>
    <row r="4" spans="1:8" ht="23.25" customHeight="1" x14ac:dyDescent="0.3">
      <c r="A4" s="24"/>
      <c r="H4" s="58" t="s">
        <v>11</v>
      </c>
    </row>
    <row r="5" spans="1:8" x14ac:dyDescent="0.3">
      <c r="A5" s="83" t="s">
        <v>229</v>
      </c>
      <c r="B5" s="83"/>
      <c r="C5" s="83"/>
      <c r="D5" s="83"/>
      <c r="E5" s="83"/>
      <c r="F5" s="99"/>
    </row>
    <row r="6" spans="1:8" x14ac:dyDescent="0.3">
      <c r="A6" s="83" t="s">
        <v>230</v>
      </c>
      <c r="B6" s="83"/>
      <c r="C6" s="83"/>
      <c r="D6" s="83"/>
      <c r="E6" s="83"/>
      <c r="F6" s="99"/>
      <c r="G6" s="8" t="s">
        <v>26</v>
      </c>
      <c r="H6" s="7"/>
    </row>
    <row r="7" spans="1:8" x14ac:dyDescent="0.3">
      <c r="A7" s="83" t="s">
        <v>231</v>
      </c>
      <c r="B7" s="83"/>
      <c r="C7" s="83"/>
      <c r="D7" s="83"/>
      <c r="E7" s="83"/>
      <c r="F7" s="99"/>
      <c r="G7" s="8" t="s">
        <v>20</v>
      </c>
      <c r="H7" s="7"/>
    </row>
    <row r="8" spans="1:8" x14ac:dyDescent="0.3">
      <c r="A8" s="83" t="s">
        <v>232</v>
      </c>
      <c r="B8" s="83"/>
      <c r="C8" s="83"/>
      <c r="D8" s="83"/>
      <c r="E8" s="83"/>
      <c r="G8" s="8" t="s">
        <v>38</v>
      </c>
      <c r="H8" s="7"/>
    </row>
    <row r="9" spans="1:8" x14ac:dyDescent="0.3">
      <c r="A9" s="25"/>
      <c r="B9" s="25"/>
      <c r="C9" s="25"/>
      <c r="D9" s="25"/>
      <c r="E9" s="25"/>
      <c r="G9" s="8" t="s">
        <v>39</v>
      </c>
      <c r="H9" s="7"/>
    </row>
    <row r="10" spans="1:8" ht="24.9" customHeight="1" x14ac:dyDescent="0.3">
      <c r="C10" s="96" t="s">
        <v>227</v>
      </c>
      <c r="D10" s="97"/>
      <c r="E10" s="97"/>
      <c r="F10" s="97"/>
    </row>
    <row r="13" spans="1:8" x14ac:dyDescent="0.3">
      <c r="A13" s="3" t="s">
        <v>41</v>
      </c>
    </row>
    <row r="14" spans="1:8" x14ac:dyDescent="0.3">
      <c r="A14" s="88"/>
      <c r="B14" s="89"/>
      <c r="C14" s="89"/>
      <c r="D14" s="89"/>
      <c r="E14" s="90"/>
    </row>
    <row r="15" spans="1:8" x14ac:dyDescent="0.3">
      <c r="A15" s="91"/>
      <c r="B15" s="81"/>
      <c r="C15" s="81"/>
      <c r="D15" s="81"/>
      <c r="E15" s="92"/>
    </row>
    <row r="16" spans="1:8" x14ac:dyDescent="0.3">
      <c r="A16" s="91"/>
      <c r="B16" s="81"/>
      <c r="C16" s="81"/>
      <c r="D16" s="81"/>
      <c r="E16" s="92"/>
    </row>
    <row r="17" spans="1:5" x14ac:dyDescent="0.3">
      <c r="A17" s="91"/>
      <c r="B17" s="81"/>
      <c r="C17" s="81"/>
      <c r="D17" s="81"/>
      <c r="E17" s="92"/>
    </row>
    <row r="18" spans="1:5" x14ac:dyDescent="0.3">
      <c r="A18" s="91"/>
      <c r="B18" s="81"/>
      <c r="C18" s="81"/>
      <c r="D18" s="81"/>
      <c r="E18" s="92"/>
    </row>
    <row r="19" spans="1:5" x14ac:dyDescent="0.3">
      <c r="A19" s="93"/>
      <c r="B19" s="94"/>
      <c r="C19" s="94"/>
      <c r="D19" s="94"/>
      <c r="E19" s="95"/>
    </row>
    <row r="21" spans="1:5" x14ac:dyDescent="0.3">
      <c r="A21" s="3" t="s">
        <v>42</v>
      </c>
    </row>
    <row r="22" spans="1:5" x14ac:dyDescent="0.3">
      <c r="A22" s="9" t="s">
        <v>22</v>
      </c>
      <c r="B22" s="9" t="s">
        <v>40</v>
      </c>
      <c r="C22" s="9" t="s">
        <v>43</v>
      </c>
      <c r="D22" s="9" t="s">
        <v>36</v>
      </c>
      <c r="E22" s="9" t="s">
        <v>44</v>
      </c>
    </row>
    <row r="23" spans="1:5" x14ac:dyDescent="0.3">
      <c r="A23" s="5"/>
      <c r="B23" s="6"/>
      <c r="C23" s="6"/>
      <c r="D23" s="6"/>
      <c r="E23" s="6"/>
    </row>
    <row r="24" spans="1:5" x14ac:dyDescent="0.3">
      <c r="A24" s="5"/>
      <c r="B24" s="6"/>
      <c r="C24" s="6"/>
      <c r="D24" s="6"/>
      <c r="E24" s="6"/>
    </row>
    <row r="25" spans="1:5" x14ac:dyDescent="0.3">
      <c r="A25" s="5"/>
      <c r="B25" s="6"/>
      <c r="C25" s="6"/>
      <c r="D25" s="6"/>
      <c r="E25" s="6"/>
    </row>
    <row r="26" spans="1:5" x14ac:dyDescent="0.3">
      <c r="A26" s="5"/>
      <c r="B26" s="6"/>
      <c r="C26" s="6"/>
      <c r="D26" s="6"/>
      <c r="E26" s="6"/>
    </row>
    <row r="27" spans="1:5" x14ac:dyDescent="0.3">
      <c r="A27" s="5"/>
      <c r="B27" s="6"/>
      <c r="C27" s="6"/>
      <c r="D27" s="6"/>
      <c r="E27" s="6"/>
    </row>
    <row r="28" spans="1:5" x14ac:dyDescent="0.3">
      <c r="A28" s="5"/>
      <c r="B28" s="6"/>
      <c r="C28" s="6"/>
      <c r="D28" s="6"/>
      <c r="E28" s="6"/>
    </row>
    <row r="29" spans="1:5" x14ac:dyDescent="0.3">
      <c r="A29" s="5"/>
      <c r="B29" s="6"/>
      <c r="C29" s="6"/>
      <c r="D29" s="6"/>
      <c r="E29" s="6"/>
    </row>
    <row r="30" spans="1:5" x14ac:dyDescent="0.3">
      <c r="A30" s="5"/>
      <c r="B30" s="6"/>
      <c r="C30" s="6"/>
      <c r="D30" s="6"/>
      <c r="E30" s="6"/>
    </row>
    <row r="31" spans="1:5" x14ac:dyDescent="0.3">
      <c r="A31" s="5"/>
      <c r="B31" s="6"/>
      <c r="C31" s="6"/>
      <c r="D31" s="6"/>
      <c r="E31" s="6"/>
    </row>
    <row r="32" spans="1:5" x14ac:dyDescent="0.3">
      <c r="A32" s="5"/>
      <c r="B32" s="6"/>
      <c r="C32" s="6"/>
      <c r="D32" s="6"/>
      <c r="E32" s="6"/>
    </row>
    <row r="42" spans="1:6" x14ac:dyDescent="0.3">
      <c r="A42" s="60" t="s">
        <v>222</v>
      </c>
      <c r="B42" s="61"/>
      <c r="D42" s="60" t="s">
        <v>223</v>
      </c>
      <c r="E42" s="61"/>
      <c r="F42" s="61"/>
    </row>
    <row r="43" spans="1:6" x14ac:dyDescent="0.3">
      <c r="A43" s="62" t="s">
        <v>224</v>
      </c>
      <c r="D43" s="62" t="s">
        <v>224</v>
      </c>
    </row>
    <row r="53" spans="1:1" x14ac:dyDescent="0.3">
      <c r="A53" s="2" t="str">
        <f>HYPERLINK("#'INDICE'!A52","&lt;&lt; Volver al Indice")</f>
        <v>&lt;&lt; Volver al Indice</v>
      </c>
    </row>
  </sheetData>
  <mergeCells count="7">
    <mergeCell ref="A14:E19"/>
    <mergeCell ref="C10:F10"/>
    <mergeCell ref="A3:F3"/>
    <mergeCell ref="A5:E5"/>
    <mergeCell ref="A6:E6"/>
    <mergeCell ref="A7:E7"/>
    <mergeCell ref="A8:E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M48"/>
  <sheetViews>
    <sheetView workbookViewId="0">
      <selection activeCell="A5" sqref="A5:J8"/>
    </sheetView>
  </sheetViews>
  <sheetFormatPr baseColWidth="10" defaultColWidth="9.109375" defaultRowHeight="15.05" x14ac:dyDescent="0.3"/>
  <cols>
    <col min="3" max="3" width="19.44140625" customWidth="1"/>
    <col min="4" max="4" width="19" customWidth="1"/>
    <col min="5" max="5" width="19.33203125" customWidth="1"/>
    <col min="7" max="7" width="20.33203125" customWidth="1"/>
    <col min="8" max="8" width="18" customWidth="1"/>
    <col min="9" max="9" width="21.6640625" customWidth="1"/>
    <col min="12" max="12" width="15.44140625" customWidth="1"/>
    <col min="13" max="13" width="12.44140625" customWidth="1"/>
  </cols>
  <sheetData>
    <row r="3" spans="1:13" x14ac:dyDescent="0.3">
      <c r="A3" s="80"/>
      <c r="B3" s="81"/>
      <c r="C3" s="81"/>
      <c r="D3" s="81"/>
      <c r="E3" s="81"/>
      <c r="F3" s="81"/>
      <c r="G3" s="81"/>
      <c r="H3" s="81"/>
      <c r="I3" s="81"/>
    </row>
    <row r="4" spans="1:13" ht="20.95" customHeight="1" x14ac:dyDescent="0.3">
      <c r="A4" s="24"/>
      <c r="M4" s="59" t="s">
        <v>12</v>
      </c>
    </row>
    <row r="5" spans="1:13" x14ac:dyDescent="0.3">
      <c r="A5" s="83" t="s">
        <v>229</v>
      </c>
      <c r="B5" s="83"/>
      <c r="C5" s="83"/>
      <c r="D5" s="83"/>
      <c r="E5" s="83"/>
      <c r="F5" s="83"/>
      <c r="G5" s="83"/>
      <c r="H5" s="83"/>
      <c r="I5" s="83"/>
      <c r="J5" s="83"/>
    </row>
    <row r="6" spans="1:13" x14ac:dyDescent="0.3">
      <c r="A6" s="83" t="s">
        <v>230</v>
      </c>
      <c r="B6" s="83"/>
      <c r="C6" s="83"/>
      <c r="D6" s="83"/>
      <c r="E6" s="83"/>
      <c r="F6" s="83"/>
      <c r="G6" s="83"/>
      <c r="H6" s="83"/>
      <c r="I6" s="83"/>
      <c r="J6" s="83"/>
      <c r="L6" s="8" t="s">
        <v>26</v>
      </c>
      <c r="M6" s="7"/>
    </row>
    <row r="7" spans="1:13" x14ac:dyDescent="0.3">
      <c r="A7" s="83" t="s">
        <v>231</v>
      </c>
      <c r="B7" s="83"/>
      <c r="C7" s="83"/>
      <c r="D7" s="83"/>
      <c r="E7" s="83"/>
      <c r="F7" s="83"/>
      <c r="G7" s="83"/>
      <c r="H7" s="83"/>
      <c r="I7" s="83"/>
      <c r="J7" s="83"/>
      <c r="L7" s="8" t="s">
        <v>20</v>
      </c>
      <c r="M7" s="7"/>
    </row>
    <row r="8" spans="1:13" x14ac:dyDescent="0.3">
      <c r="A8" s="83" t="s">
        <v>232</v>
      </c>
      <c r="B8" s="83"/>
      <c r="C8" s="83"/>
      <c r="D8" s="83"/>
      <c r="E8" s="83"/>
      <c r="F8" s="83"/>
      <c r="G8" s="83"/>
      <c r="H8" s="83"/>
      <c r="I8" s="83"/>
      <c r="J8" s="83"/>
      <c r="L8" s="8" t="s">
        <v>38</v>
      </c>
      <c r="M8" s="7"/>
    </row>
    <row r="9" spans="1:13" x14ac:dyDescent="0.3">
      <c r="A9" s="101"/>
      <c r="B9" s="99"/>
      <c r="C9" s="99"/>
      <c r="D9" s="99"/>
      <c r="E9" s="99"/>
      <c r="F9" s="99"/>
      <c r="G9" s="99"/>
      <c r="H9" s="99"/>
      <c r="I9" s="99"/>
      <c r="L9" s="8" t="s">
        <v>39</v>
      </c>
      <c r="M9" s="7"/>
    </row>
    <row r="11" spans="1:13" ht="24.9" customHeight="1" x14ac:dyDescent="0.3">
      <c r="A11" s="85" t="s">
        <v>228</v>
      </c>
      <c r="B11" s="86"/>
      <c r="C11" s="86"/>
      <c r="D11" s="86"/>
      <c r="E11" s="86"/>
      <c r="F11" s="86"/>
      <c r="G11" s="86"/>
      <c r="H11" s="86"/>
      <c r="I11" s="86"/>
      <c r="J11" s="86"/>
    </row>
    <row r="12" spans="1:13" x14ac:dyDescent="0.3">
      <c r="A12" s="18" t="s">
        <v>109</v>
      </c>
    </row>
    <row r="14" spans="1:13" ht="29.3" customHeight="1" x14ac:dyDescent="0.3">
      <c r="A14" s="19" t="s">
        <v>27</v>
      </c>
      <c r="B14" s="19" t="s">
        <v>78</v>
      </c>
      <c r="C14" s="19" t="s">
        <v>79</v>
      </c>
      <c r="D14" s="19" t="s">
        <v>110</v>
      </c>
      <c r="E14" s="19" t="s">
        <v>111</v>
      </c>
      <c r="F14" s="19" t="s">
        <v>21</v>
      </c>
      <c r="G14" s="19" t="s">
        <v>112</v>
      </c>
      <c r="H14" s="19" t="s">
        <v>113</v>
      </c>
      <c r="I14" s="19" t="s">
        <v>114</v>
      </c>
      <c r="J14" s="19" t="s">
        <v>37</v>
      </c>
    </row>
    <row r="15" spans="1:13" x14ac:dyDescent="0.3">
      <c r="A15" s="20"/>
      <c r="B15" s="20"/>
      <c r="C15" s="1"/>
      <c r="D15" s="1"/>
      <c r="E15" s="1"/>
      <c r="F15" s="21">
        <v>100</v>
      </c>
      <c r="G15" s="1"/>
      <c r="H15" s="1"/>
      <c r="I15" s="1"/>
      <c r="J15" s="1"/>
    </row>
    <row r="16" spans="1:13" x14ac:dyDescent="0.3">
      <c r="A16" s="20"/>
      <c r="B16" s="20"/>
      <c r="C16" s="1"/>
      <c r="D16" s="1"/>
      <c r="E16" s="1"/>
      <c r="F16" s="21"/>
      <c r="G16" s="1"/>
      <c r="H16" s="1"/>
      <c r="I16" s="1"/>
      <c r="J16" s="1"/>
    </row>
    <row r="17" spans="1:10" x14ac:dyDescent="0.3">
      <c r="A17" s="20"/>
      <c r="B17" s="20"/>
      <c r="C17" s="1"/>
      <c r="D17" s="1"/>
      <c r="E17" s="1"/>
      <c r="F17" s="21"/>
      <c r="G17" s="1"/>
      <c r="H17" s="1"/>
      <c r="I17" s="1"/>
      <c r="J17" s="1"/>
    </row>
    <row r="18" spans="1:10" x14ac:dyDescent="0.3">
      <c r="A18" s="20"/>
      <c r="B18" s="20"/>
      <c r="C18" s="1"/>
      <c r="D18" s="1"/>
      <c r="E18" s="1"/>
      <c r="F18" s="21"/>
      <c r="G18" s="1"/>
      <c r="H18" s="1"/>
      <c r="I18" s="1"/>
      <c r="J18" s="1"/>
    </row>
    <row r="19" spans="1:10" x14ac:dyDescent="0.3">
      <c r="A19" s="20"/>
      <c r="B19" s="20"/>
      <c r="C19" s="1"/>
      <c r="D19" s="1"/>
      <c r="E19" s="1"/>
      <c r="F19" s="21"/>
      <c r="G19" s="1"/>
      <c r="H19" s="1"/>
      <c r="I19" s="1"/>
      <c r="J19" s="1"/>
    </row>
    <row r="20" spans="1:10" x14ac:dyDescent="0.3">
      <c r="A20" s="20"/>
      <c r="B20" s="20"/>
      <c r="C20" s="1"/>
      <c r="D20" s="1"/>
      <c r="E20" s="1"/>
      <c r="F20" s="21"/>
      <c r="G20" s="1"/>
      <c r="H20" s="1"/>
      <c r="I20" s="1"/>
      <c r="J20" s="1"/>
    </row>
    <row r="21" spans="1:10" x14ac:dyDescent="0.3">
      <c r="A21" s="20"/>
      <c r="B21" s="20"/>
      <c r="C21" s="1"/>
      <c r="D21" s="1"/>
      <c r="E21" s="1"/>
      <c r="F21" s="21"/>
      <c r="G21" s="1"/>
      <c r="H21" s="1"/>
      <c r="I21" s="1"/>
      <c r="J21" s="1"/>
    </row>
    <row r="22" spans="1:10" x14ac:dyDescent="0.3">
      <c r="A22" s="20"/>
      <c r="B22" s="20"/>
      <c r="C22" s="1"/>
      <c r="D22" s="1"/>
      <c r="E22" s="1"/>
      <c r="F22" s="21"/>
      <c r="G22" s="1"/>
      <c r="H22" s="1"/>
      <c r="I22" s="1"/>
      <c r="J22" s="1"/>
    </row>
    <row r="23" spans="1:10" x14ac:dyDescent="0.3">
      <c r="A23" s="20"/>
      <c r="B23" s="20"/>
      <c r="C23" s="1"/>
      <c r="D23" s="1"/>
      <c r="E23" s="1"/>
      <c r="F23" s="21"/>
      <c r="G23" s="1"/>
      <c r="H23" s="1"/>
      <c r="I23" s="1"/>
      <c r="J23" s="1"/>
    </row>
    <row r="24" spans="1:10" x14ac:dyDescent="0.3">
      <c r="A24" s="20"/>
      <c r="B24" s="20"/>
      <c r="C24" s="1"/>
      <c r="D24" s="1"/>
      <c r="E24" s="1"/>
      <c r="F24" s="21"/>
      <c r="G24" s="1"/>
      <c r="H24" s="1"/>
      <c r="I24" s="1"/>
      <c r="J24" s="1"/>
    </row>
    <row r="25" spans="1:10" x14ac:dyDescent="0.3">
      <c r="A25" s="20"/>
      <c r="B25" s="20"/>
      <c r="C25" s="1"/>
      <c r="D25" s="1"/>
      <c r="E25" s="1"/>
      <c r="F25" s="21"/>
      <c r="G25" s="1"/>
      <c r="H25" s="1"/>
      <c r="I25" s="1"/>
      <c r="J25" s="1"/>
    </row>
    <row r="26" spans="1:10" x14ac:dyDescent="0.3">
      <c r="A26" s="20"/>
      <c r="B26" s="20"/>
      <c r="C26" s="1"/>
      <c r="D26" s="1"/>
      <c r="E26" s="1"/>
      <c r="F26" s="21"/>
      <c r="G26" s="1"/>
      <c r="H26" s="1"/>
      <c r="I26" s="1"/>
      <c r="J26" s="1"/>
    </row>
    <row r="27" spans="1:10" x14ac:dyDescent="0.3">
      <c r="A27" s="20"/>
      <c r="B27" s="20"/>
      <c r="C27" s="1"/>
      <c r="D27" s="1"/>
      <c r="E27" s="1"/>
      <c r="F27" s="21"/>
      <c r="G27" s="1"/>
      <c r="H27" s="1"/>
      <c r="I27" s="1"/>
      <c r="J27" s="1"/>
    </row>
    <row r="28" spans="1:10" x14ac:dyDescent="0.3">
      <c r="A28" s="20"/>
      <c r="B28" s="20"/>
      <c r="C28" s="1"/>
      <c r="D28" s="1"/>
      <c r="E28" s="1"/>
      <c r="F28" s="21"/>
      <c r="G28" s="1"/>
      <c r="H28" s="1"/>
      <c r="I28" s="1"/>
      <c r="J28" s="1"/>
    </row>
    <row r="29" spans="1:10" x14ac:dyDescent="0.3">
      <c r="A29" s="20"/>
      <c r="B29" s="20"/>
      <c r="C29" s="1"/>
      <c r="D29" s="1"/>
      <c r="E29" s="1"/>
      <c r="F29" s="21"/>
      <c r="G29" s="1"/>
      <c r="H29" s="1"/>
      <c r="I29" s="1"/>
      <c r="J29" s="1"/>
    </row>
    <row r="31" spans="1:10" x14ac:dyDescent="0.3">
      <c r="E31" s="4" t="s">
        <v>115</v>
      </c>
      <c r="F31" s="22">
        <f>SUM(F6:F23)</f>
        <v>100</v>
      </c>
    </row>
    <row r="37" spans="1:9" x14ac:dyDescent="0.3">
      <c r="A37" s="60" t="s">
        <v>222</v>
      </c>
      <c r="B37" s="61"/>
      <c r="C37" s="61"/>
      <c r="G37" s="60" t="s">
        <v>223</v>
      </c>
      <c r="H37" s="61"/>
      <c r="I37" s="61"/>
    </row>
    <row r="38" spans="1:9" x14ac:dyDescent="0.3">
      <c r="A38" s="62" t="s">
        <v>224</v>
      </c>
      <c r="G38" s="62" t="s">
        <v>224</v>
      </c>
    </row>
    <row r="48" spans="1:9" x14ac:dyDescent="0.3">
      <c r="A48" s="2" t="str">
        <f>HYPERLINK("#'INDICE'!A53","&lt;&lt; Volver al Indice")</f>
        <v>&lt;&lt; Volver al Indice</v>
      </c>
    </row>
  </sheetData>
  <mergeCells count="6">
    <mergeCell ref="A11:J11"/>
    <mergeCell ref="A3:I3"/>
    <mergeCell ref="A5:J5"/>
    <mergeCell ref="A6:J6"/>
    <mergeCell ref="A7:J7"/>
    <mergeCell ref="A8:J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N43"/>
  <sheetViews>
    <sheetView workbookViewId="0">
      <selection activeCell="A4" sqref="A4"/>
    </sheetView>
  </sheetViews>
  <sheetFormatPr baseColWidth="10" defaultColWidth="9.109375" defaultRowHeight="15.05" x14ac:dyDescent="0.3"/>
  <cols>
    <col min="3" max="3" width="17.5546875" customWidth="1"/>
    <col min="4" max="5" width="13.44140625" customWidth="1"/>
    <col min="6" max="6" width="12.88671875" customWidth="1"/>
    <col min="7" max="7" width="24.109375" customWidth="1"/>
    <col min="8" max="8" width="22" customWidth="1"/>
    <col min="9" max="9" width="13.6640625" customWidth="1"/>
    <col min="10" max="10" width="20.33203125" customWidth="1"/>
    <col min="13" max="13" width="16.44140625" customWidth="1"/>
    <col min="14" max="14" width="10.6640625" customWidth="1"/>
  </cols>
  <sheetData>
    <row r="3" spans="1:14" x14ac:dyDescent="0.3">
      <c r="A3" s="80"/>
      <c r="B3" s="81"/>
      <c r="C3" s="81"/>
      <c r="D3" s="81"/>
      <c r="E3" s="81"/>
      <c r="F3" s="81"/>
      <c r="G3" s="81"/>
      <c r="H3" s="81"/>
      <c r="I3" s="81"/>
      <c r="J3" s="81"/>
    </row>
    <row r="4" spans="1:14" x14ac:dyDescent="0.3">
      <c r="A4" s="24"/>
    </row>
    <row r="5" spans="1:14" ht="22.6" customHeight="1" x14ac:dyDescent="0.3">
      <c r="A5" s="83" t="s">
        <v>229</v>
      </c>
      <c r="B5" s="83"/>
      <c r="C5" s="83"/>
      <c r="D5" s="83"/>
      <c r="E5" s="83"/>
      <c r="F5" s="83"/>
      <c r="G5" s="83"/>
      <c r="H5" s="83"/>
      <c r="I5" s="83"/>
      <c r="J5" s="83"/>
      <c r="N5" s="59" t="s">
        <v>13</v>
      </c>
    </row>
    <row r="6" spans="1:14" x14ac:dyDescent="0.3">
      <c r="A6" s="83" t="s">
        <v>230</v>
      </c>
      <c r="B6" s="83"/>
      <c r="C6" s="83"/>
      <c r="D6" s="83"/>
      <c r="E6" s="83"/>
      <c r="F6" s="83"/>
      <c r="G6" s="83"/>
      <c r="H6" s="83"/>
      <c r="I6" s="83"/>
      <c r="J6" s="83"/>
    </row>
    <row r="7" spans="1:14" x14ac:dyDescent="0.3">
      <c r="A7" s="83" t="s">
        <v>231</v>
      </c>
      <c r="B7" s="83"/>
      <c r="C7" s="83"/>
      <c r="D7" s="83"/>
      <c r="E7" s="83"/>
      <c r="F7" s="83"/>
      <c r="G7" s="83"/>
      <c r="H7" s="83"/>
      <c r="I7" s="83"/>
      <c r="J7" s="83"/>
      <c r="M7" s="8" t="s">
        <v>26</v>
      </c>
      <c r="N7" s="7"/>
    </row>
    <row r="8" spans="1:14" x14ac:dyDescent="0.3">
      <c r="A8" s="83" t="s">
        <v>232</v>
      </c>
      <c r="B8" s="83"/>
      <c r="C8" s="83"/>
      <c r="D8" s="83"/>
      <c r="E8" s="83"/>
      <c r="F8" s="83"/>
      <c r="G8" s="83"/>
      <c r="H8" s="83"/>
      <c r="I8" s="83"/>
      <c r="J8" s="83"/>
      <c r="M8" s="8" t="s">
        <v>20</v>
      </c>
      <c r="N8" s="7"/>
    </row>
    <row r="9" spans="1:14" x14ac:dyDescent="0.3">
      <c r="A9" s="25"/>
      <c r="B9" s="25"/>
      <c r="C9" s="25"/>
      <c r="D9" s="25"/>
      <c r="E9" s="25"/>
      <c r="F9" s="25"/>
      <c r="G9" s="25"/>
      <c r="H9" s="25"/>
      <c r="I9" s="25"/>
      <c r="J9" s="25"/>
      <c r="M9" s="8" t="s">
        <v>38</v>
      </c>
      <c r="N9" s="7"/>
    </row>
    <row r="10" spans="1:14" ht="18.850000000000001" customHeight="1" x14ac:dyDescent="0.3">
      <c r="A10" s="98" t="s">
        <v>116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M10" s="8" t="s">
        <v>39</v>
      </c>
      <c r="N10" s="7"/>
    </row>
    <row r="11" spans="1:14" x14ac:dyDescent="0.3">
      <c r="A11" s="18" t="s">
        <v>117</v>
      </c>
    </row>
    <row r="13" spans="1:14" ht="43.55" customHeight="1" x14ac:dyDescent="0.3">
      <c r="A13" s="19" t="s">
        <v>27</v>
      </c>
      <c r="B13" s="19" t="s">
        <v>78</v>
      </c>
      <c r="C13" s="19" t="s">
        <v>79</v>
      </c>
      <c r="D13" s="19" t="s">
        <v>118</v>
      </c>
      <c r="E13" s="19" t="s">
        <v>83</v>
      </c>
      <c r="F13" s="19" t="s">
        <v>66</v>
      </c>
      <c r="G13" s="19" t="s">
        <v>119</v>
      </c>
      <c r="H13" s="19" t="s">
        <v>28</v>
      </c>
      <c r="I13" s="19" t="s">
        <v>120</v>
      </c>
      <c r="J13" s="19" t="s">
        <v>121</v>
      </c>
      <c r="K13" s="19" t="s">
        <v>37</v>
      </c>
    </row>
    <row r="14" spans="1:14" x14ac:dyDescent="0.3">
      <c r="A14" s="20"/>
      <c r="B14" s="20"/>
      <c r="C14" s="1"/>
      <c r="D14" s="17"/>
      <c r="E14" s="17"/>
      <c r="F14" s="16">
        <v>100</v>
      </c>
      <c r="G14" s="1"/>
      <c r="H14" s="1"/>
      <c r="I14" s="16"/>
      <c r="J14" s="1"/>
      <c r="K14" s="1"/>
    </row>
    <row r="15" spans="1:14" x14ac:dyDescent="0.3">
      <c r="A15" s="20"/>
      <c r="B15" s="20"/>
      <c r="C15" s="1"/>
      <c r="D15" s="17"/>
      <c r="E15" s="17"/>
      <c r="F15" s="16">
        <f>D7+E7</f>
        <v>0</v>
      </c>
      <c r="G15" s="1"/>
      <c r="H15" s="1"/>
      <c r="I15" s="16"/>
      <c r="J15" s="1"/>
      <c r="K15" s="1"/>
    </row>
    <row r="16" spans="1:14" x14ac:dyDescent="0.3">
      <c r="A16" s="20"/>
      <c r="B16" s="20"/>
      <c r="C16" s="1"/>
      <c r="D16" s="17"/>
      <c r="E16" s="17"/>
      <c r="F16" s="16">
        <f>D8+E8</f>
        <v>0</v>
      </c>
      <c r="G16" s="1"/>
      <c r="H16" s="1"/>
      <c r="I16" s="16"/>
      <c r="J16" s="1"/>
      <c r="K16" s="1"/>
    </row>
    <row r="17" spans="1:11" x14ac:dyDescent="0.3">
      <c r="A17" s="20"/>
      <c r="B17" s="20"/>
      <c r="C17" s="1"/>
      <c r="D17" s="17"/>
      <c r="E17" s="17"/>
      <c r="F17" s="16">
        <f t="shared" ref="F17:F19" si="0">D10+E10</f>
        <v>0</v>
      </c>
      <c r="G17" s="1"/>
      <c r="H17" s="1"/>
      <c r="I17" s="16"/>
      <c r="J17" s="1"/>
      <c r="K17" s="1"/>
    </row>
    <row r="18" spans="1:11" x14ac:dyDescent="0.3">
      <c r="A18" s="20"/>
      <c r="B18" s="20"/>
      <c r="C18" s="1"/>
      <c r="D18" s="17"/>
      <c r="E18" s="17"/>
      <c r="F18" s="16">
        <f t="shared" si="0"/>
        <v>0</v>
      </c>
      <c r="G18" s="1"/>
      <c r="H18" s="1"/>
      <c r="I18" s="16"/>
      <c r="J18" s="1"/>
      <c r="K18" s="1"/>
    </row>
    <row r="19" spans="1:11" x14ac:dyDescent="0.3">
      <c r="A19" s="20"/>
      <c r="B19" s="20"/>
      <c r="C19" s="1"/>
      <c r="D19" s="17"/>
      <c r="E19" s="17"/>
      <c r="F19" s="16">
        <f t="shared" si="0"/>
        <v>0</v>
      </c>
      <c r="G19" s="1"/>
      <c r="H19" s="1"/>
      <c r="I19" s="16"/>
      <c r="J19" s="1"/>
      <c r="K19" s="1"/>
    </row>
    <row r="20" spans="1:11" x14ac:dyDescent="0.3">
      <c r="A20" s="20"/>
      <c r="B20" s="20"/>
      <c r="C20" s="1"/>
      <c r="D20" s="17"/>
      <c r="E20" s="17"/>
      <c r="F20" s="16">
        <f>D14+E14</f>
        <v>0</v>
      </c>
      <c r="G20" s="1"/>
      <c r="H20" s="1"/>
      <c r="I20" s="16"/>
      <c r="J20" s="1"/>
      <c r="K20" s="1"/>
    </row>
    <row r="21" spans="1:11" x14ac:dyDescent="0.3">
      <c r="A21" s="20"/>
      <c r="B21" s="20"/>
      <c r="C21" s="1"/>
      <c r="D21" s="17"/>
      <c r="E21" s="17"/>
      <c r="F21" s="16">
        <f>D15+E15</f>
        <v>0</v>
      </c>
      <c r="G21" s="1"/>
      <c r="H21" s="1"/>
      <c r="I21" s="16"/>
      <c r="J21" s="1"/>
      <c r="K21" s="1"/>
    </row>
    <row r="22" spans="1:11" x14ac:dyDescent="0.3">
      <c r="A22" s="20"/>
      <c r="B22" s="20"/>
      <c r="C22" s="1"/>
      <c r="D22" s="17"/>
      <c r="E22" s="17"/>
      <c r="F22" s="16">
        <f>D16+E16</f>
        <v>0</v>
      </c>
      <c r="G22" s="1"/>
      <c r="H22" s="1"/>
      <c r="I22" s="16"/>
      <c r="J22" s="1"/>
      <c r="K22" s="1"/>
    </row>
    <row r="24" spans="1:11" x14ac:dyDescent="0.3">
      <c r="C24" s="4" t="s">
        <v>93</v>
      </c>
      <c r="D24" s="4">
        <f>SUM(D6:D17)</f>
        <v>0</v>
      </c>
      <c r="E24" s="4">
        <f>SUM(E6:E17)</f>
        <v>0</v>
      </c>
      <c r="F24" s="4">
        <f>SUM(F6:F17)</f>
        <v>100</v>
      </c>
    </row>
    <row r="35" spans="1:9" x14ac:dyDescent="0.3">
      <c r="A35" s="60" t="s">
        <v>222</v>
      </c>
      <c r="B35" s="61"/>
      <c r="C35" s="61"/>
      <c r="D35" s="61"/>
      <c r="G35" s="60" t="s">
        <v>223</v>
      </c>
      <c r="H35" s="61"/>
      <c r="I35" s="61"/>
    </row>
    <row r="36" spans="1:9" x14ac:dyDescent="0.3">
      <c r="A36" s="62" t="s">
        <v>224</v>
      </c>
      <c r="G36" s="62" t="s">
        <v>224</v>
      </c>
    </row>
    <row r="43" spans="1:9" x14ac:dyDescent="0.3">
      <c r="A43" s="2" t="str">
        <f>HYPERLINK("#'INDICE'!A54","&lt;&lt; Volver al Indice")</f>
        <v>&lt;&lt; Volver al Indice</v>
      </c>
    </row>
  </sheetData>
  <mergeCells count="6">
    <mergeCell ref="A6:J6"/>
    <mergeCell ref="A7:J7"/>
    <mergeCell ref="A3:J3"/>
    <mergeCell ref="A5:J5"/>
    <mergeCell ref="A10:K10"/>
    <mergeCell ref="A8:J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L58"/>
  <sheetViews>
    <sheetView workbookViewId="0">
      <selection activeCell="A5" sqref="A5:I8"/>
    </sheetView>
  </sheetViews>
  <sheetFormatPr baseColWidth="10" defaultColWidth="9.109375" defaultRowHeight="15.05" x14ac:dyDescent="0.3"/>
  <cols>
    <col min="2" max="2" width="18.33203125" customWidth="1"/>
    <col min="3" max="3" width="16.109375" customWidth="1"/>
    <col min="4" max="4" width="17.5546875" customWidth="1"/>
    <col min="5" max="5" width="15.88671875" customWidth="1"/>
    <col min="6" max="6" width="14.6640625" customWidth="1"/>
    <col min="7" max="7" width="31.6640625" customWidth="1"/>
    <col min="8" max="8" width="30.6640625" customWidth="1"/>
    <col min="11" max="11" width="16.109375" customWidth="1"/>
    <col min="12" max="12" width="11.44140625" customWidth="1"/>
  </cols>
  <sheetData>
    <row r="3" spans="1:12" x14ac:dyDescent="0.3">
      <c r="A3" s="80"/>
      <c r="B3" s="81"/>
      <c r="C3" s="81"/>
      <c r="D3" s="81"/>
      <c r="E3" s="81"/>
      <c r="F3" s="81"/>
      <c r="G3" s="81"/>
      <c r="H3" s="81"/>
    </row>
    <row r="4" spans="1:12" x14ac:dyDescent="0.3">
      <c r="A4" s="24"/>
    </row>
    <row r="5" spans="1:12" ht="22.6" customHeight="1" x14ac:dyDescent="0.3">
      <c r="A5" s="100" t="s">
        <v>229</v>
      </c>
      <c r="B5" s="100"/>
      <c r="C5" s="100"/>
      <c r="D5" s="100"/>
      <c r="E5" s="100"/>
      <c r="F5" s="100"/>
      <c r="G5" s="100"/>
      <c r="H5" s="100"/>
      <c r="I5" s="100"/>
      <c r="J5" s="99"/>
      <c r="L5" s="59" t="s">
        <v>14</v>
      </c>
    </row>
    <row r="6" spans="1:12" x14ac:dyDescent="0.3">
      <c r="A6" s="100" t="s">
        <v>230</v>
      </c>
      <c r="B6" s="100"/>
      <c r="C6" s="100"/>
      <c r="D6" s="100"/>
      <c r="E6" s="100"/>
      <c r="F6" s="100"/>
      <c r="G6" s="100"/>
      <c r="H6" s="100"/>
      <c r="I6" s="100"/>
      <c r="J6" s="99"/>
    </row>
    <row r="7" spans="1:12" x14ac:dyDescent="0.3">
      <c r="A7" s="100" t="s">
        <v>231</v>
      </c>
      <c r="B7" s="100"/>
      <c r="C7" s="100"/>
      <c r="D7" s="100"/>
      <c r="E7" s="100"/>
      <c r="F7" s="100"/>
      <c r="G7" s="100"/>
      <c r="H7" s="100"/>
      <c r="I7" s="100"/>
      <c r="J7" s="99"/>
      <c r="K7" s="8" t="s">
        <v>26</v>
      </c>
      <c r="L7" s="7"/>
    </row>
    <row r="8" spans="1:12" x14ac:dyDescent="0.3">
      <c r="A8" s="100" t="s">
        <v>232</v>
      </c>
      <c r="B8" s="100"/>
      <c r="C8" s="100"/>
      <c r="D8" s="100"/>
      <c r="E8" s="100"/>
      <c r="F8" s="100"/>
      <c r="G8" s="100"/>
      <c r="H8" s="100"/>
      <c r="I8" s="100"/>
      <c r="J8" s="99"/>
      <c r="K8" s="8" t="s">
        <v>20</v>
      </c>
      <c r="L8" s="7"/>
    </row>
    <row r="9" spans="1:12" x14ac:dyDescent="0.3">
      <c r="A9" s="25"/>
      <c r="B9" s="25"/>
      <c r="C9" s="25"/>
      <c r="D9" s="25"/>
      <c r="E9" s="25"/>
      <c r="F9" s="25"/>
      <c r="G9" s="25"/>
      <c r="H9" s="25"/>
      <c r="I9" s="25"/>
      <c r="K9" s="8" t="s">
        <v>38</v>
      </c>
      <c r="L9" s="7"/>
    </row>
    <row r="10" spans="1:12" x14ac:dyDescent="0.3">
      <c r="A10" s="25"/>
      <c r="B10" s="25"/>
      <c r="C10" s="25"/>
      <c r="D10" s="25"/>
      <c r="E10" s="25"/>
      <c r="F10" s="25"/>
      <c r="G10" s="25"/>
      <c r="H10" s="25"/>
      <c r="I10" s="25"/>
      <c r="K10" s="8" t="s">
        <v>39</v>
      </c>
      <c r="L10" s="7"/>
    </row>
    <row r="11" spans="1:12" ht="16.55" customHeight="1" x14ac:dyDescent="0.3">
      <c r="A11" s="98" t="s">
        <v>122</v>
      </c>
      <c r="B11" s="83"/>
      <c r="C11" s="83"/>
      <c r="D11" s="83"/>
      <c r="E11" s="83"/>
      <c r="F11" s="83"/>
      <c r="G11" s="83"/>
      <c r="H11" s="83"/>
      <c r="I11" s="83"/>
    </row>
    <row r="12" spans="1:12" x14ac:dyDescent="0.3">
      <c r="A12" s="18" t="s">
        <v>123</v>
      </c>
    </row>
    <row r="14" spans="1:12" ht="43.55" customHeight="1" x14ac:dyDescent="0.3">
      <c r="A14" s="41" t="s">
        <v>78</v>
      </c>
      <c r="B14" s="41" t="s">
        <v>102</v>
      </c>
      <c r="C14" s="41" t="s">
        <v>34</v>
      </c>
      <c r="D14" s="41" t="s">
        <v>35</v>
      </c>
      <c r="E14" s="41" t="s">
        <v>124</v>
      </c>
      <c r="F14" s="41" t="s">
        <v>125</v>
      </c>
      <c r="G14" s="41" t="s">
        <v>126</v>
      </c>
      <c r="H14" s="41" t="s">
        <v>127</v>
      </c>
      <c r="I14" s="41" t="s">
        <v>37</v>
      </c>
    </row>
    <row r="15" spans="1:12" x14ac:dyDescent="0.3">
      <c r="A15" s="7" t="s">
        <v>168</v>
      </c>
      <c r="B15" s="7" t="s">
        <v>169</v>
      </c>
      <c r="C15" s="42">
        <v>21</v>
      </c>
      <c r="D15" s="42">
        <v>1</v>
      </c>
      <c r="E15" s="42">
        <f t="shared" ref="E15:E24" si="0">IF(C15-D15&gt;0,C15-D15,0)</f>
        <v>20</v>
      </c>
      <c r="F15" s="7" t="s">
        <v>170</v>
      </c>
      <c r="G15" s="7" t="s">
        <v>171</v>
      </c>
      <c r="H15" s="43" t="str">
        <f t="shared" ref="H15:H24" si="1">IF(E15&gt;0,"DETERIORO","OK")</f>
        <v>DETERIORO</v>
      </c>
      <c r="I15" s="7"/>
    </row>
    <row r="16" spans="1:12" x14ac:dyDescent="0.3">
      <c r="A16" s="7" t="s">
        <v>172</v>
      </c>
      <c r="B16" s="7" t="s">
        <v>173</v>
      </c>
      <c r="C16" s="42">
        <v>50</v>
      </c>
      <c r="D16" s="42">
        <v>55</v>
      </c>
      <c r="E16" s="42">
        <f t="shared" si="0"/>
        <v>0</v>
      </c>
      <c r="F16" s="7"/>
      <c r="G16" s="7"/>
      <c r="H16" s="43" t="str">
        <f t="shared" si="1"/>
        <v>OK</v>
      </c>
      <c r="I16" s="7"/>
    </row>
    <row r="17" spans="1:9" x14ac:dyDescent="0.3">
      <c r="A17" s="7"/>
      <c r="B17" s="7"/>
      <c r="C17" s="42">
        <v>100</v>
      </c>
      <c r="D17" s="42">
        <v>5</v>
      </c>
      <c r="E17" s="42">
        <f t="shared" si="0"/>
        <v>95</v>
      </c>
      <c r="F17" s="7"/>
      <c r="G17" s="7"/>
      <c r="H17" s="43" t="str">
        <f t="shared" si="1"/>
        <v>DETERIORO</v>
      </c>
      <c r="I17" s="7"/>
    </row>
    <row r="18" spans="1:9" x14ac:dyDescent="0.3">
      <c r="A18" s="7"/>
      <c r="B18" s="7"/>
      <c r="C18" s="42"/>
      <c r="D18" s="42"/>
      <c r="E18" s="42">
        <f t="shared" si="0"/>
        <v>0</v>
      </c>
      <c r="F18" s="7"/>
      <c r="G18" s="7"/>
      <c r="H18" s="43" t="str">
        <f t="shared" si="1"/>
        <v>OK</v>
      </c>
      <c r="I18" s="7"/>
    </row>
    <row r="19" spans="1:9" x14ac:dyDescent="0.3">
      <c r="A19" s="7"/>
      <c r="B19" s="7"/>
      <c r="C19" s="42"/>
      <c r="D19" s="42"/>
      <c r="E19" s="42">
        <f t="shared" si="0"/>
        <v>0</v>
      </c>
      <c r="F19" s="7"/>
      <c r="G19" s="7"/>
      <c r="H19" s="43" t="str">
        <f t="shared" si="1"/>
        <v>OK</v>
      </c>
      <c r="I19" s="7"/>
    </row>
    <row r="20" spans="1:9" x14ac:dyDescent="0.3">
      <c r="A20" s="7"/>
      <c r="B20" s="7"/>
      <c r="C20" s="42"/>
      <c r="D20" s="42"/>
      <c r="E20" s="42">
        <f t="shared" si="0"/>
        <v>0</v>
      </c>
      <c r="F20" s="7"/>
      <c r="G20" s="7"/>
      <c r="H20" s="43" t="str">
        <f t="shared" si="1"/>
        <v>OK</v>
      </c>
      <c r="I20" s="7"/>
    </row>
    <row r="21" spans="1:9" x14ac:dyDescent="0.3">
      <c r="A21" s="7"/>
      <c r="B21" s="7"/>
      <c r="C21" s="42"/>
      <c r="D21" s="42"/>
      <c r="E21" s="42">
        <f t="shared" si="0"/>
        <v>0</v>
      </c>
      <c r="F21" s="7"/>
      <c r="G21" s="7"/>
      <c r="H21" s="43" t="str">
        <f t="shared" si="1"/>
        <v>OK</v>
      </c>
      <c r="I21" s="7"/>
    </row>
    <row r="22" spans="1:9" x14ac:dyDescent="0.3">
      <c r="A22" s="7"/>
      <c r="B22" s="7"/>
      <c r="C22" s="42"/>
      <c r="D22" s="42"/>
      <c r="E22" s="42">
        <f t="shared" si="0"/>
        <v>0</v>
      </c>
      <c r="F22" s="7"/>
      <c r="G22" s="7"/>
      <c r="H22" s="43" t="str">
        <f t="shared" si="1"/>
        <v>OK</v>
      </c>
      <c r="I22" s="7"/>
    </row>
    <row r="23" spans="1:9" x14ac:dyDescent="0.3">
      <c r="A23" s="7"/>
      <c r="B23" s="7"/>
      <c r="C23" s="42"/>
      <c r="D23" s="42"/>
      <c r="E23" s="42">
        <f t="shared" si="0"/>
        <v>0</v>
      </c>
      <c r="F23" s="7"/>
      <c r="G23" s="7"/>
      <c r="H23" s="43" t="str">
        <f t="shared" si="1"/>
        <v>OK</v>
      </c>
      <c r="I23" s="7"/>
    </row>
    <row r="24" spans="1:9" x14ac:dyDescent="0.3">
      <c r="A24" s="7"/>
      <c r="B24" s="7"/>
      <c r="C24" s="42"/>
      <c r="D24" s="42"/>
      <c r="E24" s="42">
        <f t="shared" si="0"/>
        <v>0</v>
      </c>
      <c r="F24" s="7"/>
      <c r="G24" s="7"/>
      <c r="H24" s="43" t="str">
        <f t="shared" si="1"/>
        <v>OK</v>
      </c>
      <c r="I24" s="7"/>
    </row>
    <row r="38" spans="1:9" x14ac:dyDescent="0.3">
      <c r="A38" s="60" t="s">
        <v>222</v>
      </c>
      <c r="B38" s="61"/>
      <c r="C38" s="61"/>
      <c r="D38" s="61"/>
      <c r="G38" s="60" t="s">
        <v>223</v>
      </c>
      <c r="H38" s="61"/>
      <c r="I38" s="61"/>
    </row>
    <row r="39" spans="1:9" x14ac:dyDescent="0.3">
      <c r="A39" s="62" t="s">
        <v>224</v>
      </c>
      <c r="G39" s="62" t="s">
        <v>224</v>
      </c>
    </row>
    <row r="58" spans="1:1" x14ac:dyDescent="0.3">
      <c r="A58" s="2" t="str">
        <f>HYPERLINK("#'INDICE'!A55","&lt;&lt; Volver al Indice")</f>
        <v>&lt;&lt; Volver al Indice</v>
      </c>
    </row>
  </sheetData>
  <mergeCells count="6">
    <mergeCell ref="A3:H3"/>
    <mergeCell ref="A11:I11"/>
    <mergeCell ref="A5:I5"/>
    <mergeCell ref="A6:I6"/>
    <mergeCell ref="A7:I7"/>
    <mergeCell ref="A8:I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K48"/>
  <sheetViews>
    <sheetView workbookViewId="0"/>
  </sheetViews>
  <sheetFormatPr baseColWidth="10" defaultColWidth="9.109375" defaultRowHeight="15.05" x14ac:dyDescent="0.3"/>
  <cols>
    <col min="2" max="2" width="48.33203125" customWidth="1"/>
    <col min="3" max="3" width="17.109375" customWidth="1"/>
    <col min="4" max="4" width="15" customWidth="1"/>
    <col min="5" max="5" width="14.33203125" customWidth="1"/>
    <col min="6" max="6" width="15.44140625" customWidth="1"/>
    <col min="7" max="7" width="11.6640625" customWidth="1"/>
    <col min="8" max="8" width="32.109375" customWidth="1"/>
    <col min="10" max="10" width="16" customWidth="1"/>
    <col min="11" max="11" width="11.6640625" customWidth="1"/>
  </cols>
  <sheetData>
    <row r="3" spans="1:11" x14ac:dyDescent="0.3">
      <c r="A3" s="80"/>
      <c r="B3" s="81"/>
      <c r="C3" s="81"/>
      <c r="D3" s="81"/>
      <c r="E3" s="81"/>
      <c r="F3" s="81"/>
      <c r="G3" s="81"/>
    </row>
    <row r="4" spans="1:11" ht="24.75" customHeight="1" x14ac:dyDescent="0.3">
      <c r="A4" s="24"/>
      <c r="K4" s="59" t="s">
        <v>15</v>
      </c>
    </row>
    <row r="5" spans="1:11" x14ac:dyDescent="0.3">
      <c r="A5" s="83" t="s">
        <v>229</v>
      </c>
      <c r="B5" s="83"/>
      <c r="C5" s="83"/>
      <c r="D5" s="83"/>
      <c r="E5" s="83"/>
      <c r="F5" s="83"/>
      <c r="G5" s="83"/>
      <c r="H5" s="83"/>
      <c r="I5" s="102"/>
    </row>
    <row r="6" spans="1:11" x14ac:dyDescent="0.3">
      <c r="A6" s="83" t="s">
        <v>230</v>
      </c>
      <c r="B6" s="83"/>
      <c r="C6" s="83"/>
      <c r="D6" s="83"/>
      <c r="E6" s="83"/>
      <c r="F6" s="83"/>
      <c r="G6" s="83"/>
      <c r="H6" s="83"/>
      <c r="I6" s="102"/>
      <c r="J6" s="8" t="s">
        <v>26</v>
      </c>
      <c r="K6" s="7"/>
    </row>
    <row r="7" spans="1:11" x14ac:dyDescent="0.3">
      <c r="A7" s="83" t="s">
        <v>231</v>
      </c>
      <c r="B7" s="83"/>
      <c r="C7" s="83"/>
      <c r="D7" s="83"/>
      <c r="E7" s="83"/>
      <c r="F7" s="83"/>
      <c r="G7" s="83"/>
      <c r="H7" s="83"/>
      <c r="I7" s="102"/>
      <c r="J7" s="8" t="s">
        <v>20</v>
      </c>
      <c r="K7" s="7"/>
    </row>
    <row r="8" spans="1:11" x14ac:dyDescent="0.3">
      <c r="A8" s="83" t="s">
        <v>232</v>
      </c>
      <c r="B8" s="83"/>
      <c r="C8" s="83"/>
      <c r="D8" s="83"/>
      <c r="E8" s="83"/>
      <c r="F8" s="83"/>
      <c r="G8" s="83"/>
      <c r="H8" s="83"/>
      <c r="I8" s="102"/>
      <c r="J8" s="8" t="s">
        <v>38</v>
      </c>
      <c r="K8" s="7"/>
    </row>
    <row r="9" spans="1:11" x14ac:dyDescent="0.3">
      <c r="J9" s="8" t="s">
        <v>39</v>
      </c>
      <c r="K9" s="7"/>
    </row>
    <row r="11" spans="1:11" ht="24.9" customHeight="1" x14ac:dyDescent="0.3">
      <c r="A11" s="85" t="s">
        <v>174</v>
      </c>
      <c r="B11" s="86"/>
      <c r="C11" s="86"/>
      <c r="D11" s="86"/>
      <c r="E11" s="86"/>
      <c r="F11" s="86"/>
      <c r="G11" s="86"/>
      <c r="H11" s="86"/>
    </row>
    <row r="12" spans="1:11" x14ac:dyDescent="0.3">
      <c r="A12" s="18" t="s">
        <v>128</v>
      </c>
    </row>
    <row r="14" spans="1:11" ht="29.3" customHeight="1" x14ac:dyDescent="0.3">
      <c r="A14" s="19" t="s">
        <v>78</v>
      </c>
      <c r="B14" s="19" t="s">
        <v>79</v>
      </c>
      <c r="C14" s="19" t="s">
        <v>118</v>
      </c>
      <c r="D14" s="19" t="s">
        <v>81</v>
      </c>
      <c r="E14" s="19" t="s">
        <v>129</v>
      </c>
      <c r="F14" s="19" t="s">
        <v>130</v>
      </c>
      <c r="G14" s="19" t="s">
        <v>131</v>
      </c>
      <c r="H14" s="19" t="s">
        <v>24</v>
      </c>
    </row>
    <row r="15" spans="1:11" x14ac:dyDescent="0.3">
      <c r="A15" s="20"/>
      <c r="B15" s="1"/>
      <c r="C15" s="21"/>
      <c r="D15" s="20"/>
      <c r="E15" s="1"/>
      <c r="F15" s="1"/>
      <c r="G15" s="1"/>
      <c r="H15" s="1"/>
    </row>
    <row r="16" spans="1:11" x14ac:dyDescent="0.3">
      <c r="A16" s="20"/>
      <c r="B16" s="1"/>
      <c r="C16" s="21"/>
      <c r="D16" s="20"/>
      <c r="E16" s="1"/>
      <c r="F16" s="1"/>
      <c r="G16" s="1"/>
      <c r="H16" s="1"/>
    </row>
    <row r="17" spans="1:8" x14ac:dyDescent="0.3">
      <c r="A17" s="20"/>
      <c r="B17" s="1"/>
      <c r="C17" s="21"/>
      <c r="D17" s="20"/>
      <c r="E17" s="1"/>
      <c r="F17" s="1"/>
      <c r="G17" s="1"/>
      <c r="H17" s="1"/>
    </row>
    <row r="18" spans="1:8" x14ac:dyDescent="0.3">
      <c r="A18" s="20"/>
      <c r="B18" s="1"/>
      <c r="C18" s="21"/>
      <c r="D18" s="20"/>
      <c r="E18" s="1"/>
      <c r="F18" s="1"/>
      <c r="G18" s="1"/>
      <c r="H18" s="1"/>
    </row>
    <row r="19" spans="1:8" x14ac:dyDescent="0.3">
      <c r="A19" s="20"/>
      <c r="B19" s="1"/>
      <c r="C19" s="21"/>
      <c r="D19" s="20"/>
      <c r="E19" s="1"/>
      <c r="F19" s="1"/>
      <c r="G19" s="1"/>
      <c r="H19" s="1"/>
    </row>
    <row r="20" spans="1:8" x14ac:dyDescent="0.3">
      <c r="A20" s="20"/>
      <c r="B20" s="1"/>
      <c r="C20" s="21"/>
      <c r="D20" s="20"/>
      <c r="E20" s="1"/>
      <c r="F20" s="1"/>
      <c r="G20" s="1"/>
      <c r="H20" s="1"/>
    </row>
    <row r="21" spans="1:8" x14ac:dyDescent="0.3">
      <c r="A21" s="20"/>
      <c r="B21" s="1"/>
      <c r="C21" s="21"/>
      <c r="D21" s="20"/>
      <c r="E21" s="1"/>
      <c r="F21" s="1"/>
      <c r="G21" s="1"/>
      <c r="H21" s="1"/>
    </row>
    <row r="22" spans="1:8" x14ac:dyDescent="0.3">
      <c r="A22" s="20"/>
      <c r="B22" s="1"/>
      <c r="C22" s="21"/>
      <c r="D22" s="20"/>
      <c r="E22" s="1"/>
      <c r="F22" s="1"/>
      <c r="G22" s="1"/>
      <c r="H22" s="1"/>
    </row>
    <row r="23" spans="1:8" x14ac:dyDescent="0.3">
      <c r="A23" s="20"/>
      <c r="B23" s="1"/>
      <c r="C23" s="21"/>
      <c r="D23" s="20"/>
      <c r="E23" s="1"/>
      <c r="F23" s="1"/>
      <c r="G23" s="1"/>
      <c r="H23" s="1"/>
    </row>
    <row r="24" spans="1:8" x14ac:dyDescent="0.3">
      <c r="A24" s="20"/>
      <c r="B24" s="1"/>
      <c r="C24" s="21"/>
      <c r="D24" s="20"/>
      <c r="E24" s="1"/>
      <c r="F24" s="1"/>
      <c r="G24" s="1"/>
      <c r="H24" s="1"/>
    </row>
    <row r="25" spans="1:8" x14ac:dyDescent="0.3">
      <c r="A25" s="20"/>
      <c r="B25" s="1"/>
      <c r="C25" s="21"/>
      <c r="D25" s="20"/>
      <c r="E25" s="1"/>
      <c r="F25" s="1"/>
      <c r="G25" s="1"/>
      <c r="H25" s="1"/>
    </row>
    <row r="26" spans="1:8" x14ac:dyDescent="0.3">
      <c r="A26" s="20"/>
      <c r="B26" s="1"/>
      <c r="C26" s="21"/>
      <c r="D26" s="20"/>
      <c r="E26" s="1"/>
      <c r="F26" s="1"/>
      <c r="G26" s="1"/>
      <c r="H26" s="1"/>
    </row>
    <row r="27" spans="1:8" x14ac:dyDescent="0.3">
      <c r="A27" s="20"/>
      <c r="B27" s="1"/>
      <c r="C27" s="21"/>
      <c r="D27" s="20"/>
      <c r="E27" s="1"/>
      <c r="F27" s="1"/>
      <c r="G27" s="1"/>
      <c r="H27" s="1"/>
    </row>
    <row r="28" spans="1:8" x14ac:dyDescent="0.3">
      <c r="A28" s="20"/>
      <c r="B28" s="1"/>
      <c r="C28" s="21"/>
      <c r="D28" s="20"/>
      <c r="E28" s="1"/>
      <c r="F28" s="1"/>
      <c r="G28" s="1"/>
      <c r="H28" s="1"/>
    </row>
    <row r="29" spans="1:8" x14ac:dyDescent="0.3">
      <c r="A29" s="20"/>
      <c r="B29" s="1"/>
      <c r="C29" s="21"/>
      <c r="D29" s="20"/>
      <c r="E29" s="1"/>
      <c r="F29" s="1"/>
      <c r="G29" s="1"/>
      <c r="H29" s="1"/>
    </row>
    <row r="38" spans="1:8" x14ac:dyDescent="0.3">
      <c r="A38" s="60" t="s">
        <v>222</v>
      </c>
      <c r="B38" s="61"/>
      <c r="F38" s="60" t="s">
        <v>223</v>
      </c>
      <c r="G38" s="61"/>
      <c r="H38" s="61"/>
    </row>
    <row r="39" spans="1:8" x14ac:dyDescent="0.3">
      <c r="A39" s="62" t="s">
        <v>224</v>
      </c>
      <c r="F39" s="62" t="s">
        <v>224</v>
      </c>
    </row>
    <row r="48" spans="1:8" x14ac:dyDescent="0.3">
      <c r="A48" s="2" t="str">
        <f>HYPERLINK("#'INDICE'!A56","&lt;&lt; Volver al Indice")</f>
        <v>&lt;&lt; Volver al Indice</v>
      </c>
    </row>
  </sheetData>
  <mergeCells count="6">
    <mergeCell ref="A3:G3"/>
    <mergeCell ref="A11:H11"/>
    <mergeCell ref="A5:H5"/>
    <mergeCell ref="A6:H6"/>
    <mergeCell ref="A7:H7"/>
    <mergeCell ref="A8:H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M55"/>
  <sheetViews>
    <sheetView workbookViewId="0">
      <selection activeCell="A3" sqref="A3:I3"/>
    </sheetView>
  </sheetViews>
  <sheetFormatPr baseColWidth="10" defaultColWidth="9.109375" defaultRowHeight="15.05" x14ac:dyDescent="0.3"/>
  <cols>
    <col min="1" max="1" width="27.44140625" customWidth="1"/>
    <col min="2" max="2" width="25.44140625" customWidth="1"/>
    <col min="3" max="3" width="15.33203125" customWidth="1"/>
    <col min="4" max="4" width="12.5546875" customWidth="1"/>
    <col min="5" max="5" width="15.109375" customWidth="1"/>
    <col min="6" max="6" width="18" customWidth="1"/>
    <col min="7" max="7" width="13" customWidth="1"/>
    <col min="8" max="8" width="15" customWidth="1"/>
    <col min="9" max="9" width="21.44140625" customWidth="1"/>
    <col min="12" max="12" width="17.44140625" customWidth="1"/>
    <col min="13" max="13" width="11.33203125" customWidth="1"/>
  </cols>
  <sheetData>
    <row r="3" spans="1:13" x14ac:dyDescent="0.3">
      <c r="A3" s="80"/>
      <c r="B3" s="81"/>
      <c r="C3" s="81"/>
      <c r="D3" s="81"/>
      <c r="E3" s="81"/>
      <c r="F3" s="81"/>
      <c r="G3" s="81"/>
      <c r="H3" s="81"/>
      <c r="I3" s="81"/>
    </row>
    <row r="4" spans="1:13" x14ac:dyDescent="0.3">
      <c r="A4" s="24"/>
    </row>
    <row r="5" spans="1:13" ht="24.05" customHeight="1" x14ac:dyDescent="0.3">
      <c r="A5" s="83" t="s">
        <v>229</v>
      </c>
      <c r="B5" s="83"/>
      <c r="C5" s="83"/>
      <c r="D5" s="83"/>
      <c r="E5" s="83"/>
      <c r="F5" s="83"/>
      <c r="G5" s="83"/>
      <c r="H5" s="83"/>
      <c r="I5" s="83"/>
      <c r="J5" s="83"/>
      <c r="M5" s="59" t="s">
        <v>17</v>
      </c>
    </row>
    <row r="6" spans="1:13" x14ac:dyDescent="0.3">
      <c r="A6" s="83" t="s">
        <v>230</v>
      </c>
      <c r="B6" s="83"/>
      <c r="C6" s="83"/>
      <c r="D6" s="83"/>
      <c r="E6" s="83"/>
      <c r="F6" s="83"/>
      <c r="G6" s="83"/>
      <c r="H6" s="83"/>
      <c r="I6" s="83"/>
      <c r="J6" s="83"/>
    </row>
    <row r="7" spans="1:13" x14ac:dyDescent="0.3">
      <c r="A7" s="83" t="s">
        <v>231</v>
      </c>
      <c r="B7" s="83"/>
      <c r="C7" s="83"/>
      <c r="D7" s="83"/>
      <c r="E7" s="83"/>
      <c r="F7" s="83"/>
      <c r="G7" s="83"/>
      <c r="H7" s="83"/>
      <c r="I7" s="83"/>
      <c r="J7" s="83"/>
      <c r="L7" s="8" t="s">
        <v>26</v>
      </c>
      <c r="M7" s="7"/>
    </row>
    <row r="8" spans="1:13" x14ac:dyDescent="0.3">
      <c r="A8" s="83" t="s">
        <v>232</v>
      </c>
      <c r="B8" s="83"/>
      <c r="C8" s="83"/>
      <c r="D8" s="83"/>
      <c r="E8" s="83"/>
      <c r="F8" s="83"/>
      <c r="G8" s="83"/>
      <c r="H8" s="83"/>
      <c r="I8" s="83"/>
      <c r="J8" s="83"/>
      <c r="L8" s="8" t="s">
        <v>20</v>
      </c>
      <c r="M8" s="7"/>
    </row>
    <row r="9" spans="1:13" x14ac:dyDescent="0.3">
      <c r="L9" s="8" t="s">
        <v>38</v>
      </c>
      <c r="M9" s="7"/>
    </row>
    <row r="10" spans="1:13" x14ac:dyDescent="0.3">
      <c r="L10" s="8" t="s">
        <v>39</v>
      </c>
      <c r="M10" s="7"/>
    </row>
    <row r="11" spans="1:13" ht="16.55" customHeight="1" x14ac:dyDescent="0.3">
      <c r="A11" s="87" t="s">
        <v>175</v>
      </c>
      <c r="B11" s="81"/>
      <c r="C11" s="81"/>
      <c r="D11" s="81"/>
      <c r="E11" s="81"/>
      <c r="F11" s="81"/>
      <c r="G11" s="81"/>
      <c r="H11" s="81"/>
      <c r="I11" s="81"/>
      <c r="J11" s="81"/>
    </row>
    <row r="12" spans="1:13" x14ac:dyDescent="0.3">
      <c r="A12" s="18" t="s">
        <v>132</v>
      </c>
    </row>
    <row r="14" spans="1:13" ht="57.8" customHeight="1" x14ac:dyDescent="0.3">
      <c r="A14" s="19" t="s">
        <v>133</v>
      </c>
      <c r="B14" s="19" t="s">
        <v>32</v>
      </c>
      <c r="C14" s="19" t="s">
        <v>134</v>
      </c>
      <c r="D14" s="19" t="s">
        <v>135</v>
      </c>
      <c r="E14" s="19" t="s">
        <v>136</v>
      </c>
      <c r="F14" s="19" t="s">
        <v>137</v>
      </c>
      <c r="G14" s="19" t="s">
        <v>138</v>
      </c>
      <c r="H14" s="19" t="s">
        <v>30</v>
      </c>
      <c r="I14" s="19" t="s">
        <v>24</v>
      </c>
      <c r="J14" s="19" t="s">
        <v>37</v>
      </c>
    </row>
    <row r="15" spans="1:13" x14ac:dyDescent="0.3">
      <c r="A15" s="1"/>
      <c r="B15" s="1"/>
      <c r="C15" s="21">
        <v>100</v>
      </c>
      <c r="D15" s="23">
        <v>1</v>
      </c>
      <c r="E15" s="1"/>
      <c r="F15" s="1">
        <v>100</v>
      </c>
      <c r="G15" s="44" t="str">
        <f>IF(D6&gt;=100,"SÍ","NO")</f>
        <v>NO</v>
      </c>
      <c r="H15" s="1"/>
      <c r="I15" s="1"/>
      <c r="J15" s="1"/>
    </row>
    <row r="16" spans="1:13" x14ac:dyDescent="0.3">
      <c r="A16" s="1"/>
      <c r="B16" s="1"/>
      <c r="C16" s="21"/>
      <c r="D16" s="23"/>
      <c r="E16" s="1"/>
      <c r="F16" s="1"/>
      <c r="G16" s="44" t="str">
        <f>IF(D7&gt;=100,"SÍ","NO")</f>
        <v>NO</v>
      </c>
      <c r="H16" s="1"/>
      <c r="I16" s="1"/>
      <c r="J16" s="1"/>
    </row>
    <row r="17" spans="1:10" x14ac:dyDescent="0.3">
      <c r="A17" s="1"/>
      <c r="B17" s="1"/>
      <c r="C17" s="21"/>
      <c r="D17" s="23"/>
      <c r="E17" s="1"/>
      <c r="F17" s="1"/>
      <c r="G17" s="44" t="str">
        <f>IF(D8&gt;=100,"SÍ","NO")</f>
        <v>NO</v>
      </c>
      <c r="H17" s="1"/>
      <c r="I17" s="1"/>
      <c r="J17" s="1"/>
    </row>
    <row r="18" spans="1:10" x14ac:dyDescent="0.3">
      <c r="A18" s="1"/>
      <c r="B18" s="1"/>
      <c r="C18" s="21"/>
      <c r="D18" s="23"/>
      <c r="E18" s="1"/>
      <c r="F18" s="1"/>
      <c r="G18" s="44" t="str">
        <f t="shared" ref="G18:G21" si="0">IF(D11&gt;=100,"SÍ","NO")</f>
        <v>NO</v>
      </c>
      <c r="H18" s="1"/>
      <c r="I18" s="1"/>
      <c r="J18" s="1"/>
    </row>
    <row r="19" spans="1:10" x14ac:dyDescent="0.3">
      <c r="A19" s="1"/>
      <c r="B19" s="1"/>
      <c r="C19" s="21"/>
      <c r="D19" s="23"/>
      <c r="E19" s="1"/>
      <c r="F19" s="1"/>
      <c r="G19" s="44" t="str">
        <f t="shared" si="0"/>
        <v>NO</v>
      </c>
      <c r="H19" s="1"/>
      <c r="I19" s="1"/>
      <c r="J19" s="1"/>
    </row>
    <row r="20" spans="1:10" x14ac:dyDescent="0.3">
      <c r="A20" s="1"/>
      <c r="B20" s="1"/>
      <c r="C20" s="21"/>
      <c r="D20" s="23"/>
      <c r="E20" s="1"/>
      <c r="F20" s="1"/>
      <c r="G20" s="44" t="str">
        <f t="shared" si="0"/>
        <v>NO</v>
      </c>
      <c r="H20" s="1"/>
      <c r="I20" s="1"/>
      <c r="J20" s="1"/>
    </row>
    <row r="21" spans="1:10" x14ac:dyDescent="0.3">
      <c r="A21" s="1"/>
      <c r="B21" s="1"/>
      <c r="C21" s="21"/>
      <c r="D21" s="23"/>
      <c r="E21" s="1"/>
      <c r="F21" s="1"/>
      <c r="G21" s="44" t="str">
        <f t="shared" si="0"/>
        <v>SÍ</v>
      </c>
      <c r="H21" s="1"/>
      <c r="I21" s="1"/>
      <c r="J21" s="1"/>
    </row>
    <row r="23" spans="1:10" x14ac:dyDescent="0.3">
      <c r="B23" s="4" t="s">
        <v>139</v>
      </c>
      <c r="C23" s="22">
        <f>SUM(C6:C15)</f>
        <v>100</v>
      </c>
    </row>
    <row r="37" spans="1:9" x14ac:dyDescent="0.3">
      <c r="A37" s="60" t="s">
        <v>222</v>
      </c>
      <c r="B37" s="61"/>
      <c r="C37" s="61"/>
      <c r="D37" s="61"/>
      <c r="G37" s="60" t="s">
        <v>223</v>
      </c>
      <c r="H37" s="61"/>
      <c r="I37" s="61"/>
    </row>
    <row r="38" spans="1:9" x14ac:dyDescent="0.3">
      <c r="A38" s="62" t="s">
        <v>224</v>
      </c>
      <c r="G38" s="62" t="s">
        <v>224</v>
      </c>
    </row>
    <row r="55" spans="1:1" x14ac:dyDescent="0.3">
      <c r="A55" s="2" t="str">
        <f>HYPERLINK("#'INDICE'!A57","&lt;&lt; Volver al Indice")</f>
        <v>&lt;&lt; Volver al Indice</v>
      </c>
    </row>
  </sheetData>
  <mergeCells count="6">
    <mergeCell ref="A11:J11"/>
    <mergeCell ref="A3:I3"/>
    <mergeCell ref="A5:J5"/>
    <mergeCell ref="A6:J6"/>
    <mergeCell ref="A7:J7"/>
    <mergeCell ref="A8:J8"/>
  </mergeCells>
  <dataValidations disablePrompts="1" count="1">
    <dataValidation type="list" allowBlank="1" showInputMessage="1" showErrorMessage="1" sqref="G15:G21" xr:uid="{00000000-0002-0000-0D00-000000000000}">
      <formula1>"Si, 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INDICE</vt:lpstr>
      <vt:lpstr>Programa</vt:lpstr>
      <vt:lpstr>E</vt:lpstr>
      <vt:lpstr>E-SUM</vt:lpstr>
      <vt:lpstr>E-1</vt:lpstr>
      <vt:lpstr>E-1.1</vt:lpstr>
      <vt:lpstr>E-2.</vt:lpstr>
      <vt:lpstr>E-2.1</vt:lpstr>
      <vt:lpstr>E-2.2</vt:lpstr>
      <vt:lpstr>E-3</vt:lpstr>
      <vt:lpstr>E-4</vt:lpstr>
      <vt:lpstr>E-5</vt:lpstr>
      <vt:lpstr>E-6</vt:lpstr>
      <vt:lpstr>E-7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Ángel</cp:lastModifiedBy>
  <dcterms:created xsi:type="dcterms:W3CDTF">2025-11-05T12:59:36Z</dcterms:created>
  <dcterms:modified xsi:type="dcterms:W3CDTF">2025-12-08T03:43:22Z</dcterms:modified>
</cp:coreProperties>
</file>