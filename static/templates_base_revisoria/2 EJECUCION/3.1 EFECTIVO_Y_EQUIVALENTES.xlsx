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6A5F1D0B-E7B2-46E5-A3A6-80BE3E371E6F}" xr6:coauthVersionLast="47" xr6:coauthVersionMax="47" xr10:uidLastSave="{00000000-0000-0000-0000-000000000000}"/>
  <bookViews>
    <workbookView xWindow="-118" yWindow="-118" windowWidth="25370" windowHeight="13667" activeTab="3" xr2:uid="{00000000-000D-0000-FFFF-FFFF00000000}"/>
  </bookViews>
  <sheets>
    <sheet name="INDICE" sheetId="1" r:id="rId1"/>
    <sheet name="PB-1" sheetId="2" r:id="rId2"/>
    <sheet name="A" sheetId="3" r:id="rId3"/>
    <sheet name="A-SUM" sheetId="4" r:id="rId4"/>
    <sheet name="A-1" sheetId="5" r:id="rId5"/>
    <sheet name="A-1.1" sheetId="6" r:id="rId6"/>
    <sheet name="A-1.2" sheetId="7" r:id="rId7"/>
    <sheet name="A-2" sheetId="8" r:id="rId8"/>
    <sheet name="A-2.1" sheetId="9" r:id="rId9"/>
    <sheet name="A-3" sheetId="10" r:id="rId10"/>
    <sheet name="A-4" sheetId="11" r:id="rId11"/>
    <sheet name="A-5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4" l="1"/>
  <c r="H27" i="4"/>
  <c r="G27" i="4"/>
  <c r="F27" i="4"/>
  <c r="E27" i="4"/>
  <c r="D27" i="4"/>
  <c r="A59" i="4" l="1"/>
  <c r="A92" i="12" l="1"/>
  <c r="C51" i="12"/>
  <c r="B51" i="12"/>
  <c r="D50" i="12"/>
  <c r="D49" i="12"/>
  <c r="D48" i="12"/>
  <c r="D47" i="12"/>
  <c r="D46" i="12"/>
  <c r="E42" i="12"/>
  <c r="C42" i="12"/>
  <c r="B42" i="12"/>
  <c r="D41" i="12"/>
  <c r="D40" i="12"/>
  <c r="D39" i="12"/>
  <c r="D38" i="12"/>
  <c r="D37" i="12"/>
  <c r="D36" i="12"/>
  <c r="D35" i="12"/>
  <c r="H31" i="12"/>
  <c r="G30" i="12"/>
  <c r="J30" i="12" s="1"/>
  <c r="G29" i="12"/>
  <c r="J29" i="12" s="1"/>
  <c r="G28" i="12"/>
  <c r="J28" i="12" s="1"/>
  <c r="G27" i="12"/>
  <c r="J27" i="12" s="1"/>
  <c r="G26" i="12"/>
  <c r="J26" i="12" s="1"/>
  <c r="G25" i="12"/>
  <c r="J25" i="12" s="1"/>
  <c r="G24" i="12"/>
  <c r="J24" i="12" s="1"/>
  <c r="G23" i="12"/>
  <c r="J23" i="12" s="1"/>
  <c r="G22" i="12"/>
  <c r="J22" i="12" s="1"/>
  <c r="G21" i="12"/>
  <c r="J21" i="12" s="1"/>
  <c r="G20" i="12"/>
  <c r="J20" i="12" s="1"/>
  <c r="G19" i="12"/>
  <c r="J19" i="12" s="1"/>
  <c r="G18" i="12"/>
  <c r="J18" i="12" s="1"/>
  <c r="G17" i="12"/>
  <c r="J17" i="12" s="1"/>
  <c r="G16" i="12"/>
  <c r="J16" i="12" s="1"/>
  <c r="H2" i="12"/>
  <c r="G2" i="12"/>
  <c r="A92" i="11"/>
  <c r="F48" i="11"/>
  <c r="F47" i="11"/>
  <c r="C42" i="11"/>
  <c r="D40" i="11" s="1"/>
  <c r="B42" i="11"/>
  <c r="E31" i="11"/>
  <c r="E47" i="11" s="1"/>
  <c r="E48" i="11" s="1"/>
  <c r="H2" i="11"/>
  <c r="G2" i="11"/>
  <c r="A97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1" i="10"/>
  <c r="E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H2" i="10"/>
  <c r="G2" i="10"/>
  <c r="A109" i="9"/>
  <c r="F69" i="9"/>
  <c r="E55" i="9"/>
  <c r="F74" i="9" s="1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D31" i="9"/>
  <c r="F73" i="9" s="1"/>
  <c r="F75" i="9" s="1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H2" i="9"/>
  <c r="G2" i="9"/>
  <c r="A70" i="8"/>
  <c r="F42" i="8"/>
  <c r="F39" i="8"/>
  <c r="F38" i="8"/>
  <c r="D35" i="8"/>
  <c r="F40" i="8" s="1"/>
  <c r="D26" i="8"/>
  <c r="H13" i="8"/>
  <c r="H2" i="8"/>
  <c r="G2" i="8"/>
  <c r="A106" i="7"/>
  <c r="G69" i="7"/>
  <c r="G66" i="7"/>
  <c r="G61" i="7"/>
  <c r="G67" i="7" s="1"/>
  <c r="G47" i="7"/>
  <c r="C27" i="7"/>
  <c r="C26" i="7"/>
  <c r="C25" i="7"/>
  <c r="C24" i="7"/>
  <c r="C23" i="7"/>
  <c r="C22" i="7"/>
  <c r="C21" i="7"/>
  <c r="C20" i="7"/>
  <c r="C19" i="7"/>
  <c r="C18" i="7"/>
  <c r="C17" i="7"/>
  <c r="H2" i="7"/>
  <c r="G2" i="7"/>
  <c r="A60" i="6"/>
  <c r="E31" i="6"/>
  <c r="F36" i="6" s="1"/>
  <c r="F38" i="6" s="1"/>
  <c r="F39" i="6" s="1"/>
  <c r="F12" i="6"/>
  <c r="H2" i="6"/>
  <c r="G2" i="6"/>
  <c r="A66" i="5"/>
  <c r="F30" i="5"/>
  <c r="C30" i="5"/>
  <c r="F29" i="5"/>
  <c r="C29" i="5"/>
  <c r="F28" i="5"/>
  <c r="C28" i="5"/>
  <c r="F27" i="5"/>
  <c r="C27" i="5"/>
  <c r="F22" i="5"/>
  <c r="C22" i="5"/>
  <c r="F21" i="5"/>
  <c r="C21" i="5"/>
  <c r="F20" i="5"/>
  <c r="C20" i="5"/>
  <c r="F19" i="5"/>
  <c r="C19" i="5"/>
  <c r="F18" i="5"/>
  <c r="C18" i="5"/>
  <c r="F17" i="5"/>
  <c r="C17" i="5"/>
  <c r="H2" i="5"/>
  <c r="G2" i="5"/>
  <c r="H2" i="4"/>
  <c r="G2" i="4"/>
  <c r="A106" i="3"/>
  <c r="A71" i="3"/>
  <c r="H28" i="3"/>
  <c r="H27" i="3"/>
  <c r="I22" i="3"/>
  <c r="G22" i="3"/>
  <c r="E22" i="3"/>
  <c r="D22" i="3"/>
  <c r="C22" i="3"/>
  <c r="F21" i="3"/>
  <c r="H21" i="3" s="1"/>
  <c r="J21" i="3" s="1"/>
  <c r="F20" i="3"/>
  <c r="H20" i="3" s="1"/>
  <c r="J20" i="3" s="1"/>
  <c r="F19" i="3"/>
  <c r="H19" i="3" s="1"/>
  <c r="J19" i="3" s="1"/>
  <c r="F18" i="3"/>
  <c r="H18" i="3" s="1"/>
  <c r="J18" i="3" s="1"/>
  <c r="F17" i="3"/>
  <c r="H17" i="3" s="1"/>
  <c r="J17" i="3" s="1"/>
  <c r="A17" i="3"/>
  <c r="F16" i="3"/>
  <c r="H16" i="3" s="1"/>
  <c r="J16" i="3" s="1"/>
  <c r="A16" i="3"/>
  <c r="F15" i="3"/>
  <c r="H15" i="3" s="1"/>
  <c r="J15" i="3" s="1"/>
  <c r="A15" i="3"/>
  <c r="F14" i="3"/>
  <c r="H14" i="3" s="1"/>
  <c r="A14" i="3"/>
  <c r="H2" i="3"/>
  <c r="A54" i="2"/>
  <c r="H36" i="2"/>
  <c r="H35" i="2"/>
  <c r="H34" i="2"/>
  <c r="H33" i="2"/>
  <c r="H32" i="2"/>
  <c r="H31" i="2"/>
  <c r="H30" i="2"/>
  <c r="H29" i="2"/>
  <c r="H28" i="2"/>
  <c r="H27" i="2"/>
  <c r="H2" i="2"/>
  <c r="D17" i="1"/>
  <c r="D16" i="1"/>
  <c r="D15" i="1"/>
  <c r="D14" i="1"/>
  <c r="D13" i="1"/>
  <c r="D12" i="1"/>
  <c r="D11" i="1"/>
  <c r="D10" i="1"/>
  <c r="D9" i="1"/>
  <c r="D8" i="1"/>
  <c r="D7" i="1"/>
  <c r="B31" i="5" l="1"/>
  <c r="C28" i="7"/>
  <c r="G65" i="7" s="1"/>
  <c r="B23" i="5"/>
  <c r="F35" i="5" s="1"/>
  <c r="F37" i="5" s="1"/>
  <c r="G31" i="10"/>
  <c r="J14" i="3"/>
  <c r="J22" i="3" s="1"/>
  <c r="H22" i="3"/>
  <c r="G68" i="7"/>
  <c r="G70" i="7" s="1"/>
  <c r="G73" i="9"/>
  <c r="G74" i="9"/>
  <c r="J31" i="12"/>
  <c r="F41" i="8"/>
  <c r="F43" i="8" s="1"/>
  <c r="D37" i="11"/>
  <c r="D41" i="11"/>
  <c r="F22" i="3"/>
  <c r="D35" i="11"/>
  <c r="D39" i="11"/>
  <c r="D38" i="11"/>
  <c r="D36" i="11"/>
  <c r="K16" i="3" l="1"/>
  <c r="K15" i="3"/>
  <c r="K14" i="3"/>
  <c r="K20" i="3"/>
  <c r="K18" i="3"/>
  <c r="K17" i="3"/>
  <c r="K21" i="3"/>
  <c r="K19" i="3"/>
</calcChain>
</file>

<file path=xl/sharedStrings.xml><?xml version="1.0" encoding="utf-8"?>
<sst xmlns="http://schemas.openxmlformats.org/spreadsheetml/2006/main" count="661" uniqueCount="386">
  <si>
    <t>ÍNDICE DE PAPELES DE TRABAJO</t>
  </si>
  <si>
    <t>AUDITORÍA Y REVISORÍA FISCAL</t>
  </si>
  <si>
    <t>FASE</t>
  </si>
  <si>
    <t>REF.</t>
  </si>
  <si>
    <t>DESCRIPCIÓN</t>
  </si>
  <si>
    <t>ACCESO</t>
  </si>
  <si>
    <t>ESTADO</t>
  </si>
  <si>
    <t>2. EJECUCIÓN</t>
  </si>
  <si>
    <t>A</t>
  </si>
  <si>
    <t>EFECTIVO Y EQUIVALENTES DE EFECTIVO</t>
  </si>
  <si>
    <t>PA-1</t>
  </si>
  <si>
    <t>Programa de Auditoría - Efectivo y Equivalentes</t>
  </si>
  <si>
    <t>A-SUM</t>
  </si>
  <si>
    <t>Cédula sumaria de efectivo y equivalentes</t>
  </si>
  <si>
    <t>A-1</t>
  </si>
  <si>
    <t>Arqueo de caja general</t>
  </si>
  <si>
    <t>A-1.1</t>
  </si>
  <si>
    <t>Arqueo de caja menor</t>
  </si>
  <si>
    <t>A-1.2</t>
  </si>
  <si>
    <t>Arqueo de fondos fijos</t>
  </si>
  <si>
    <t>A-2</t>
  </si>
  <si>
    <t>Conciliaciones bancarias</t>
  </si>
  <si>
    <t>A-2.1</t>
  </si>
  <si>
    <t>Análisis de partidas conciliatorias</t>
  </si>
  <si>
    <t>A-3</t>
  </si>
  <si>
    <t>Confirmaciones bancarias</t>
  </si>
  <si>
    <t>A-4</t>
  </si>
  <si>
    <t>Restricciones sobre el efectivo</t>
  </si>
  <si>
    <t>A-5</t>
  </si>
  <si>
    <t>Inversiones temporales de alta liquidez</t>
  </si>
  <si>
    <t>LEYENDA</t>
  </si>
  <si>
    <t>●</t>
  </si>
  <si>
    <t>Lead Schedule - Resumen del área de auditoría</t>
  </si>
  <si>
    <t>Programa de Auditoría - Procedimientos detallados</t>
  </si>
  <si>
    <t>Papeles de Trabajo - Evidencia de auditoría</t>
  </si>
  <si>
    <t xml:space="preserve">Auditor </t>
  </si>
  <si>
    <t>Fecha Elaboración</t>
  </si>
  <si>
    <t xml:space="preserve"> PROGRAMA DE AUDITORÍA - EFECTIVO Y EQUIVALENTES DE EFECTIVO</t>
  </si>
  <si>
    <t xml:space="preserve">Supervisor </t>
  </si>
  <si>
    <t xml:space="preserve">Fecha Aprobación </t>
  </si>
  <si>
    <t>ÁREA:</t>
  </si>
  <si>
    <t>Efectivo y Equivalentes de Efectivo</t>
  </si>
  <si>
    <t>CUENTA:</t>
  </si>
  <si>
    <t>A - Efectivo, Caja, Bancos e Inversiones Temporales</t>
  </si>
  <si>
    <t>RESPONSABLE:</t>
  </si>
  <si>
    <t>OBJETIVO GENERAL</t>
  </si>
  <si>
    <t>Obtener evidencia de auditoría suficiente y adecuada sobre la existencia, integridad, valuación y presentación del efectivo y equivalentes de efectivo, cumpliendo con NIA 500, NIA 505 y NIA 330.</t>
  </si>
  <si>
    <t>OBJETIVOS ESPECÍFICOS</t>
  </si>
  <si>
    <t>•</t>
  </si>
  <si>
    <t>Verificar la existencia física del efectivo mediante arqueos sorpresivos</t>
  </si>
  <si>
    <t>Confirmar los saldos bancarios con instituciones financieras externas</t>
  </si>
  <si>
    <t>Evaluar la razonabilidad de las conciliaciones bancarias</t>
  </si>
  <si>
    <t>Verificar restricciones o gravámenes sobre el efectivo</t>
  </si>
  <si>
    <t>Evaluar la adecuada clasificación y presentación en estados financieros</t>
  </si>
  <si>
    <t>Verificar el cumplimiento de controles internos sobre el efectivo</t>
  </si>
  <si>
    <t>No.</t>
  </si>
  <si>
    <t>Ref.</t>
  </si>
  <si>
    <t>PROCEDIMIENTO DE AUDITORÍA</t>
  </si>
  <si>
    <t>HECHO POR</t>
  </si>
  <si>
    <t>FECHA</t>
  </si>
  <si>
    <t>REVISADO POR</t>
  </si>
  <si>
    <t>VINCULO PAPEL</t>
  </si>
  <si>
    <t>1</t>
  </si>
  <si>
    <t>ARQUEO DE CAJA GENERAL: Realizar arqueo físico sorpresivo de caja general verificando existencia y composición del efectivo</t>
  </si>
  <si>
    <t>2</t>
  </si>
  <si>
    <t>ARQUEO DE CAJA MENOR: Efectuar arqueo de caja menor validando gastos, comprobantes y fondos disponibles</t>
  </si>
  <si>
    <t>3</t>
  </si>
  <si>
    <t>ARQUEO DE FONDOS FIJOS: Verificar existencia de fondos fijos y apropiada custodia de valores</t>
  </si>
  <si>
    <t>4</t>
  </si>
  <si>
    <t>CONCILIACIONES BANCARIAS: Obtener y revisar conciliaciones bancarias de todas las cuentas al cierre del período</t>
  </si>
  <si>
    <t>5</t>
  </si>
  <si>
    <t>ANÁLISIS PARTIDAS CONCILIATORIAS: Analizar antigüedad y naturaleza de partidas conciliatorias para evaluar su razonabilidad</t>
  </si>
  <si>
    <t>6</t>
  </si>
  <si>
    <t>CONFIRMACIONES BANCARIAS: Enviar solicitudes de confirmación a entidades financieras para validar saldos y condiciones</t>
  </si>
  <si>
    <t>7</t>
  </si>
  <si>
    <t>RESTRICCIONES SOBRE EFECTIVO: Identificar cuentas bancarias con restricciones, embargos o gravámenes</t>
  </si>
  <si>
    <t>8</t>
  </si>
  <si>
    <t>INVERSIONES TEMPORALES DE ALTA LIQUIDEZ: Verificar inversiones de alta liquidez clasificadas como equivalentes de efectivo</t>
  </si>
  <si>
    <t>9</t>
  </si>
  <si>
    <t>CÉDULA SUMARIA: Preparar resumen de todos los componentes de efectivo y equivalentes con cruces a cédulas analíticas</t>
  </si>
  <si>
    <t>10</t>
  </si>
  <si>
    <t>LEAD SCHEDULE: Consolidar hallazgos, ajustes propuestos y conclusiones sobre razonabilidad del saldo de efectivo</t>
  </si>
  <si>
    <t>CONCLUSIÓN DEL PROGRAMA</t>
  </si>
  <si>
    <t>Basado en los procedimientos ejecutados, concluimos que:</t>
  </si>
  <si>
    <t>Elaborado por:</t>
  </si>
  <si>
    <t>Revisado por:</t>
  </si>
  <si>
    <t>Nombre y Firma</t>
  </si>
  <si>
    <t>A: EFECTIVO Y EQUIVALENTES DE EFECTIVO</t>
  </si>
  <si>
    <t>DETALLE DE EFECTIVO Y EQUIVALENTES</t>
  </si>
  <si>
    <t>Ref</t>
  </si>
  <si>
    <t>Cuenta</t>
  </si>
  <si>
    <t>Saldo Inicial</t>
  </si>
  <si>
    <t>Movimientos Débito</t>
  </si>
  <si>
    <t>Movimientos Crédito</t>
  </si>
  <si>
    <t>Saldo Final Libros</t>
  </si>
  <si>
    <t>Ajustes y Reclas.</t>
  </si>
  <si>
    <t>Saldo Ajustado</t>
  </si>
  <si>
    <t>Saldo Auditoría</t>
  </si>
  <si>
    <t>Diferencia</t>
  </si>
  <si>
    <t>% Total</t>
  </si>
  <si>
    <t>TOTAL</t>
  </si>
  <si>
    <t>EFECTIVO Y EQUIVALENTES</t>
  </si>
  <si>
    <t>ANÁLISIS Y RATIOS FINANCIEROS</t>
  </si>
  <si>
    <t>Indicador</t>
  </si>
  <si>
    <t>Valor</t>
  </si>
  <si>
    <t>Observación</t>
  </si>
  <si>
    <t>Total Activos Corrientes (dato a ingresar)</t>
  </si>
  <si>
    <t>Razón de Liquidez Inmediata (Efectivo / Activo Corriente)</t>
  </si>
  <si>
    <t>% Efectivo sobre Total Activos</t>
  </si>
  <si>
    <t>PROCEDIMIENTOS DE AUDITORÍA REALIZADOS</t>
  </si>
  <si>
    <t>Procedimiento</t>
  </si>
  <si>
    <t>Ref PT</t>
  </si>
  <si>
    <t>Realizado</t>
  </si>
  <si>
    <t>Observaciones</t>
  </si>
  <si>
    <t>Arqueo de caja general y menor</t>
  </si>
  <si>
    <t>Verificación de fondos fijos</t>
  </si>
  <si>
    <t>Confirmación de saldos bancarios</t>
  </si>
  <si>
    <t>Análisis de restricciones sobre efectivo</t>
  </si>
  <si>
    <t>Revisión de inversiones temporales</t>
  </si>
  <si>
    <t>Pruebas de corte de efectivo</t>
  </si>
  <si>
    <t>Evaluación de controles internos</t>
  </si>
  <si>
    <t>CONCLUSIÓN DEL AUDITOR</t>
  </si>
  <si>
    <t>Conclusión:</t>
  </si>
  <si>
    <t>Preparado por: Firma</t>
  </si>
  <si>
    <t xml:space="preserve">Revisado por: </t>
  </si>
  <si>
    <t xml:space="preserve">Nombre </t>
  </si>
  <si>
    <t>A-SUM: CÉDULA SUMARIA - EFECTIVO Y EQUIVALENTES</t>
  </si>
  <si>
    <t>A-1: ARQUEO DE CAJA GENERAL</t>
  </si>
  <si>
    <t>Cliente:</t>
  </si>
  <si>
    <t>Fecha Arqueo:</t>
  </si>
  <si>
    <t>Responsable Caja:</t>
  </si>
  <si>
    <t>Auditor:</t>
  </si>
  <si>
    <t>1. BILLETES</t>
  </si>
  <si>
    <t>Denominación</t>
  </si>
  <si>
    <t>Cantidad</t>
  </si>
  <si>
    <t>Total</t>
  </si>
  <si>
    <t>TOTAL BILLETES</t>
  </si>
  <si>
    <t>2. MONEDAS</t>
  </si>
  <si>
    <t>TOTAL MONEDAS</t>
  </si>
  <si>
    <t>3. RESUMEN DEL ARQUEO</t>
  </si>
  <si>
    <t>Concepto</t>
  </si>
  <si>
    <t>Total Efectivo Contado (Billetes + Monedas)</t>
  </si>
  <si>
    <t>Saldo según Contabilidad</t>
  </si>
  <si>
    <t>DIFERENCIA (Sobrante/Faltante)</t>
  </si>
  <si>
    <t>4. OBSERVACIONES</t>
  </si>
  <si>
    <t>Responsable de Caja</t>
  </si>
  <si>
    <t>Auditor</t>
  </si>
  <si>
    <t>MARCAS</t>
  </si>
  <si>
    <t>ARQUEO DE CAJA MENOR</t>
  </si>
  <si>
    <t>Fecha:</t>
  </si>
  <si>
    <t>1. DETALLE DE GASTOS DE CAJA MENOR</t>
  </si>
  <si>
    <t>Fecha</t>
  </si>
  <si>
    <t>No. Comprobante</t>
  </si>
  <si>
    <t>Beneficiario</t>
  </si>
  <si>
    <t>Soportes</t>
  </si>
  <si>
    <t>Observ.</t>
  </si>
  <si>
    <t>TOTAL GASTOS</t>
  </si>
  <si>
    <t>2. RESUMEN DE CAJA MENOR</t>
  </si>
  <si>
    <t>Fondo Fijo Asignado</t>
  </si>
  <si>
    <t>Total Gastos Comprobados</t>
  </si>
  <si>
    <t>Efectivo en Caja (Contado)</t>
  </si>
  <si>
    <t>TOTAL VERIFICADO</t>
  </si>
  <si>
    <t>Revisoría Fiscal</t>
  </si>
  <si>
    <t xml:space="preserve"> ARQUEO DE FONDOS FIJOS (CAJA CHICA)</t>
  </si>
  <si>
    <t>Corporación ABC S.A.</t>
  </si>
  <si>
    <t>31/10/2025</t>
  </si>
  <si>
    <t>Responsable Fondo:</t>
  </si>
  <si>
    <t>Rosa Martínez</t>
  </si>
  <si>
    <t>Carlos Gomez</t>
  </si>
  <si>
    <t>Departamento/Área:</t>
  </si>
  <si>
    <t>Administración</t>
  </si>
  <si>
    <t>Monto Autorizado Fondo:</t>
  </si>
  <si>
    <t>1. EFECTIVO EN CAJA</t>
  </si>
  <si>
    <t>TOTAL EFECTIVO</t>
  </si>
  <si>
    <t>2. COMPROBANTES DE GASTOS (CON FACTURA/RECIBO)</t>
  </si>
  <si>
    <t>#</t>
  </si>
  <si>
    <t>Doc. Soporte</t>
  </si>
  <si>
    <t>Autorizado</t>
  </si>
  <si>
    <t>Monto</t>
  </si>
  <si>
    <t>25/10/25</t>
  </si>
  <si>
    <t>Papelería y útiles</t>
  </si>
  <si>
    <t>Librería Central</t>
  </si>
  <si>
    <t>FAC-1234</t>
  </si>
  <si>
    <t>Sí</t>
  </si>
  <si>
    <t>26/10/25</t>
  </si>
  <si>
    <t>Combustible vehículo</t>
  </si>
  <si>
    <t>Gasolinera Nacional</t>
  </si>
  <si>
    <t>FAC-5678</t>
  </si>
  <si>
    <t>27/10/25</t>
  </si>
  <si>
    <t>Taxi ejecutivo</t>
  </si>
  <si>
    <t>Taxi Express</t>
  </si>
  <si>
    <t>REC-890</t>
  </si>
  <si>
    <t>28/10/25</t>
  </si>
  <si>
    <t>Refrigerios reunión</t>
  </si>
  <si>
    <t>Café del Centro</t>
  </si>
  <si>
    <t>FAC-4561</t>
  </si>
  <si>
    <t>29/10/25</t>
  </si>
  <si>
    <t>Mensajería urgente</t>
  </si>
  <si>
    <t>Envíos Rápidos</t>
  </si>
  <si>
    <t>FAC-7892</t>
  </si>
  <si>
    <t>30/10/25</t>
  </si>
  <si>
    <t>Artículos limpieza</t>
  </si>
  <si>
    <t>Super Limpio</t>
  </si>
  <si>
    <t>FAC-3456</t>
  </si>
  <si>
    <t>Fotocopias</t>
  </si>
  <si>
    <t>Copy Center</t>
  </si>
  <si>
    <t>REC-123</t>
  </si>
  <si>
    <t>31/10/25</t>
  </si>
  <si>
    <t>Reparación impresora</t>
  </si>
  <si>
    <t>Tecno Service</t>
  </si>
  <si>
    <t>FAC-9876</t>
  </si>
  <si>
    <t>TOTAL COMPROBANTES</t>
  </si>
  <si>
    <t>3. VALES Y ANTICIPOS A EMPLEADOS</t>
  </si>
  <si>
    <t>Empleado</t>
  </si>
  <si>
    <t>Vale Firmado</t>
  </si>
  <si>
    <t>Autorización</t>
  </si>
  <si>
    <t>Juan Pérez</t>
  </si>
  <si>
    <t>Anticipo viaje negocios</t>
  </si>
  <si>
    <t>Gerencia</t>
  </si>
  <si>
    <t>María López</t>
  </si>
  <si>
    <t>Compras urgentes</t>
  </si>
  <si>
    <t>Pedro Gómez</t>
  </si>
  <si>
    <t>Viáticos</t>
  </si>
  <si>
    <t>ARQUEO DE FONDO FIJO - HALLAZGOS:
✓ El fondo fijo está completo y debidamente soportado.
✓ Todos los comprobantes cuentan con factura o recibo válido (8 documentos).
✓ Todos los gastos están debidamente autorizados.
✓ Los vales a empleados cuentan con firma y autorización de gerencia (3 anticipos).
✓ El efectivo + comprobantes + vales suman exactamente el monto autorizado ($500,000).
COMPOSICIÓN DEL FONDO:
- Efectivo disponible: $168,000 (33.6%)
- Comprobantes por reembolsar: $184,000 (36.8%)
- Anticipos pendientes de liquidar: $148,000 (29.6%)
RECOMENDACIÓN: Se sugiere reembolsar el fondo a la brevedad posible para mantener liquidez adecuada. El responsable ha desembolsado $332,000 que deben ser reembolsados.</t>
  </si>
  <si>
    <t>4. RESUMEN DEL FONDO FIJO</t>
  </si>
  <si>
    <t>1. Efectivo en Caja</t>
  </si>
  <si>
    <t>2. Comprobantes de Gastos</t>
  </si>
  <si>
    <t>3. Vales y Anticipos</t>
  </si>
  <si>
    <t>TOTAL ARQUEO (1+2+3)</t>
  </si>
  <si>
    <t>Monto Autorizado del Fondo Fijo</t>
  </si>
  <si>
    <t>DIFERENCIA (Debe ser $0)</t>
  </si>
  <si>
    <t>5. OBSERVACIONES Y HALLAZGOS</t>
  </si>
  <si>
    <t xml:space="preserve">                                                                       Responsable del Fondo Fijo</t>
  </si>
  <si>
    <t xml:space="preserve"> CONCILIACIONES BANCARIAS</t>
  </si>
  <si>
    <t>Banco:</t>
  </si>
  <si>
    <t>Cuenta No.:</t>
  </si>
  <si>
    <t>Periodo:</t>
  </si>
  <si>
    <t>Moneda:</t>
  </si>
  <si>
    <t>1. SALDOS INICIALES</t>
  </si>
  <si>
    <t>Saldo según Extracto Bancario</t>
  </si>
  <si>
    <t>Saldo según Libros (Contabilidad)</t>
  </si>
  <si>
    <t>2. PARTIDAS EN TRÁNSITO - MÁS</t>
  </si>
  <si>
    <t>No. Doc</t>
  </si>
  <si>
    <t>TOTAL MÁS</t>
  </si>
  <si>
    <t>3. PARTIDAS EN TRÁNSITO - MENOS</t>
  </si>
  <si>
    <t>TOTAL MENOS</t>
  </si>
  <si>
    <t>4. CONCILIACIÓN</t>
  </si>
  <si>
    <t>Saldo según Extracto</t>
  </si>
  <si>
    <t>(+) Partidas en Tránsito MÁS</t>
  </si>
  <si>
    <t>(-) Partidas en Tránsito MENOS</t>
  </si>
  <si>
    <t>SALDO CONCILIADO</t>
  </si>
  <si>
    <t>Saldo según Libros</t>
  </si>
  <si>
    <t>DIFERENCIA</t>
  </si>
  <si>
    <t xml:space="preserve"> ANÁLISIS DE PARTIDAS CONCILIATORIAS</t>
  </si>
  <si>
    <t>Período:</t>
  </si>
  <si>
    <t>Cuenta Bancaria:</t>
  </si>
  <si>
    <t>1. DEPÓSITOS EN TRÁNSITO</t>
  </si>
  <si>
    <t>Fecha Depósito</t>
  </si>
  <si>
    <t>Antigüedad (días)</t>
  </si>
  <si>
    <t>Aclarado</t>
  </si>
  <si>
    <t>Fecha Aclaración</t>
  </si>
  <si>
    <t>TOTAL DEPÓSITOS EN TRÁNSITO</t>
  </si>
  <si>
    <t>2. CHEQUES EN CIRCULACIÓN</t>
  </si>
  <si>
    <t>No. Cheque</t>
  </si>
  <si>
    <t>Fecha Emisión</t>
  </si>
  <si>
    <t>Cobrado</t>
  </si>
  <si>
    <t>Fecha Cobro</t>
  </si>
  <si>
    <t>TOTAL CHEQUES EN CIRCULACIÓN</t>
  </si>
  <si>
    <t>3. NOTAS DE DÉBITO/CRÉDITO NO REGISTRADAS</t>
  </si>
  <si>
    <t>Tipo</t>
  </si>
  <si>
    <t>No. Nota</t>
  </si>
  <si>
    <t>Registrado</t>
  </si>
  <si>
    <t>Asiento #</t>
  </si>
  <si>
    <t>TOTAL NOTAS NO REGISTRADAS</t>
  </si>
  <si>
    <t>4. RESUMEN Y CONCLUSIONES</t>
  </si>
  <si>
    <t>Depósitos en Tránsito</t>
  </si>
  <si>
    <t>Cheques en Circulación</t>
  </si>
  <si>
    <t>TOTAL PARTIDAS CONCILIATORIAS</t>
  </si>
  <si>
    <t>100%</t>
  </si>
  <si>
    <t xml:space="preserve"> CONFIRMACIONES BANCARIAS</t>
  </si>
  <si>
    <t>1. RESUMEN DE CONFIRMACIONES BANCARIAS</t>
  </si>
  <si>
    <t>Banco</t>
  </si>
  <si>
    <t>No. Cuenta</t>
  </si>
  <si>
    <t>Saldo según Banco</t>
  </si>
  <si>
    <t>Estado</t>
  </si>
  <si>
    <t>TOTALES</t>
  </si>
  <si>
    <t>2. SEGUIMIENTO Y CONTROL DE CONFIRMACIONES</t>
  </si>
  <si>
    <t>Fecha Envío</t>
  </si>
  <si>
    <t>Método Envío</t>
  </si>
  <si>
    <t>Fecha Respuesta</t>
  </si>
  <si>
    <t>Días Respuesta</t>
  </si>
  <si>
    <t>Respondido Por</t>
  </si>
  <si>
    <t>3. ESTADÍSTICAS DE CONFIRMACIONES</t>
  </si>
  <si>
    <t>Total de Cuentas Bancarias</t>
  </si>
  <si>
    <t>Confirmaciones Enviadas</t>
  </si>
  <si>
    <t>Confirmaciones Recibidas</t>
  </si>
  <si>
    <t>Pendientes de Respuesta</t>
  </si>
  <si>
    <t>% de Respuesta</t>
  </si>
  <si>
    <t>Tiempo Promedio de Respuesta (días)</t>
  </si>
  <si>
    <t>4. OBSERVACIONES Y HALLAZGOS</t>
  </si>
  <si>
    <t>RESTRICCIONES SOBRE EL EFECTIVO</t>
  </si>
  <si>
    <t>1. CUENTAS BANCARIAS CON RESTRICCIONES</t>
  </si>
  <si>
    <t>Banco/Entidad</t>
  </si>
  <si>
    <t>Tipo Restricción</t>
  </si>
  <si>
    <t>Monto Restringido</t>
  </si>
  <si>
    <t>Motivo/Propósito</t>
  </si>
  <si>
    <t>Fecha Inicio</t>
  </si>
  <si>
    <t>Fecha Liberación</t>
  </si>
  <si>
    <t>TOTAL EFECTIVO RESTRINGIDO</t>
  </si>
  <si>
    <t>2. CLASIFICACIÓN POR TIPO DE RESTRICCIÓN</t>
  </si>
  <si>
    <t>Tipo de Restricción</t>
  </si>
  <si>
    <t>Monto Total</t>
  </si>
  <si>
    <t>% del Total</t>
  </si>
  <si>
    <t>Depósitos en Garantía</t>
  </si>
  <si>
    <t>Fondos en Fideicomiso</t>
  </si>
  <si>
    <t>Cuentas Embargadas</t>
  </si>
  <si>
    <t>Reservas Bancarias</t>
  </si>
  <si>
    <t>Prendas/Colaterales</t>
  </si>
  <si>
    <t>Proyectos Específicos</t>
  </si>
  <si>
    <t>Otros</t>
  </si>
  <si>
    <t>3. ANÁLISIS DE MATERIALIDAD</t>
  </si>
  <si>
    <t>% del Total Efectivo</t>
  </si>
  <si>
    <t>Efectivo y Equivalentes Total</t>
  </si>
  <si>
    <t>Menos: Efectivo Restringido</t>
  </si>
  <si>
    <t>EFECTIVO DISPONIBLE</t>
  </si>
  <si>
    <t>4. REQUISITOS DE REVELACIÓN</t>
  </si>
  <si>
    <t>¿Se revelan las restricciones en notas?</t>
  </si>
  <si>
    <t>¿Se identifica la naturaleza de las restricciones?</t>
  </si>
  <si>
    <t>¿Se revela el monto restringido?</t>
  </si>
  <si>
    <t>¿Se explica el propósito de la restricción?</t>
  </si>
  <si>
    <t>¿Se indica la fecha de liberación?</t>
  </si>
  <si>
    <t>¿Se presenta por separado en balance?</t>
  </si>
  <si>
    <t>5. OBSERVACIONES Y CONCLUSIONES</t>
  </si>
  <si>
    <t xml:space="preserve"> INVERSIONES TEMPORALES DE ALTA LIQUIDEZ</t>
  </si>
  <si>
    <t>Fecha Corte:</t>
  </si>
  <si>
    <t>1. DETALLE DE INVERSIONES TEMPORALES</t>
  </si>
  <si>
    <t>Institución</t>
  </si>
  <si>
    <t>Tipo Inversión</t>
  </si>
  <si>
    <t>No. Documento</t>
  </si>
  <si>
    <t>Fecha Inversión</t>
  </si>
  <si>
    <t>Fecha Vencimiento</t>
  </si>
  <si>
    <t>Plazo (días)</t>
  </si>
  <si>
    <t>Monto Invertido</t>
  </si>
  <si>
    <t>Tasa %</t>
  </si>
  <si>
    <t>Rendimiento</t>
  </si>
  <si>
    <t>2. CLASIFICACIÓN POR TIPO DE INVERSIÓN</t>
  </si>
  <si>
    <t>Tipo de Inversión</t>
  </si>
  <si>
    <t>Tasa Promedio</t>
  </si>
  <si>
    <t>Depósitos a Plazo Fijo</t>
  </si>
  <si>
    <t>Certificados de Depósito</t>
  </si>
  <si>
    <t>Pagarés Bancarios</t>
  </si>
  <si>
    <t>Fondos del Mercado Monetario</t>
  </si>
  <si>
    <t>Bonos Gobierno Corto Plazo</t>
  </si>
  <si>
    <t>Aceptaciones Bancarias</t>
  </si>
  <si>
    <t>3. ANÁLISIS DE VENCIMIENTOS Y LIQUIDEZ</t>
  </si>
  <si>
    <t>Período de Vencimiento</t>
  </si>
  <si>
    <t>0-30 días</t>
  </si>
  <si>
    <t>31-60 días</t>
  </si>
  <si>
    <t>61-90 días</t>
  </si>
  <si>
    <t>91-180 días</t>
  </si>
  <si>
    <t>181-365 días</t>
  </si>
  <si>
    <t>4. VERIFICACIONES DE AUDITORÍA</t>
  </si>
  <si>
    <t>¿Se obtuvieron confirmaciones de las instituciones?</t>
  </si>
  <si>
    <t>¿Se verificó la existencia de los documentos?</t>
  </si>
  <si>
    <t>¿Se validaron las tasas de rendimiento?</t>
  </si>
  <si>
    <t>¿Se verificó la clasificación (corriente)?</t>
  </si>
  <si>
    <t>¿Se calculó el rendimiento devengado?</t>
  </si>
  <si>
    <t>¿Se evaluó el riesgo de las inversiones?</t>
  </si>
  <si>
    <t>¿Se verificó la autorización de inversiones?</t>
  </si>
  <si>
    <t>¿Se revisaron restricciones o gravámenes?</t>
  </si>
  <si>
    <t xml:space="preserve">                                           Responsable de Caja</t>
  </si>
  <si>
    <t xml:space="preserve">SALDOS S/ BALANCE GENERAL </t>
  </si>
  <si>
    <t>AJUSTES / RECLASIFICACIONES</t>
  </si>
  <si>
    <t>SALDOS SEGÚN AUDITORIA</t>
  </si>
  <si>
    <t>Código</t>
  </si>
  <si>
    <t>Ref P/T</t>
  </si>
  <si>
    <t>Debe</t>
  </si>
  <si>
    <t>Haber</t>
  </si>
  <si>
    <t>FUENTE: Balance general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</si>
  <si>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</si>
  <si>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 xml:space="preserve">CONCLUSIÓN: </t>
  </si>
  <si>
    <t xml:space="preserve">Suma </t>
  </si>
  <si>
    <t>Subcuenta</t>
  </si>
  <si>
    <t>Entidad XXXXXXX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</si>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</sst>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%&quot;"/>
    <numFmt numFmtId="165" formatCode="\$#,##0"/>
    <numFmt numFmtId="166" formatCode="#,##0;\-"/>
    <numFmt numFmtId="167" formatCode="\$#,##0;\(\$#,##0\);\-"/>
    <numFmt numFmtId="168" formatCode="dd/mm/yyyy"/>
    <numFmt numFmtId="169" formatCode="\$#,##0.00;\(\$#,##0.00\);\-"/>
    <numFmt numFmtId="170" formatCode="0.0%"/>
  </numFmts>
  <fonts count="44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C00000"/>
      <name val="Arial"/>
      <family val="2"/>
    </font>
    <font>
      <b/>
      <u/>
      <sz val="10"/>
      <color rgb="FF0563C1"/>
      <name val="Arial"/>
      <family val="2"/>
    </font>
    <font>
      <b/>
      <sz val="10"/>
      <color rgb="FFFFFFFF"/>
      <name val="Arial"/>
      <family val="2"/>
    </font>
    <font>
      <b/>
      <sz val="15"/>
      <color rgb="FFC0000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u/>
      <sz val="9"/>
      <color rgb="FF0563C1"/>
      <name val="Arial"/>
      <family val="2"/>
    </font>
    <font>
      <sz val="9"/>
      <color rgb="FF000000"/>
      <name val="Arial"/>
      <family val="2"/>
    </font>
    <font>
      <b/>
      <u/>
      <sz val="11"/>
      <color rgb="FF0563C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9"/>
      <color rgb="FFC00000"/>
      <name val="Calibri"/>
      <family val="2"/>
    </font>
    <font>
      <b/>
      <sz val="14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5"/>
      <color rgb="FFC00000"/>
      <name val="Calibri"/>
      <family val="2"/>
      <scheme val="minor"/>
    </font>
    <font>
      <b/>
      <sz val="11"/>
      <color rgb="FF0000FF"/>
      <name val="Calibri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  <font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2">
    <xf numFmtId="0" fontId="0" fillId="0" borderId="0"/>
    <xf numFmtId="0" fontId="4" fillId="0" borderId="0"/>
  </cellStyleXfs>
  <cellXfs count="181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2" fillId="0" borderId="0" xfId="0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0" fillId="0" borderId="10" xfId="0" applyBorder="1"/>
    <xf numFmtId="0" fontId="16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right"/>
    </xf>
    <xf numFmtId="3" fontId="0" fillId="11" borderId="1" xfId="0" applyNumberFormat="1" applyFill="1" applyBorder="1" applyAlignment="1">
      <alignment horizontal="right"/>
    </xf>
    <xf numFmtId="0" fontId="0" fillId="0" borderId="0" xfId="0" applyAlignment="1">
      <alignment horizontal="left"/>
    </xf>
    <xf numFmtId="0" fontId="22" fillId="3" borderId="1" xfId="0" applyFont="1" applyFill="1" applyBorder="1" applyAlignment="1">
      <alignment horizontal="center"/>
    </xf>
    <xf numFmtId="0" fontId="22" fillId="3" borderId="1" xfId="0" applyFont="1" applyFill="1" applyBorder="1"/>
    <xf numFmtId="3" fontId="23" fillId="3" borderId="1" xfId="0" applyNumberFormat="1" applyFont="1" applyFill="1" applyBorder="1" applyAlignment="1">
      <alignment horizontal="right"/>
    </xf>
    <xf numFmtId="0" fontId="20" fillId="3" borderId="1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0" fillId="10" borderId="1" xfId="0" applyFill="1" applyBorder="1"/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7" fillId="0" borderId="0" xfId="0" applyFont="1"/>
    <xf numFmtId="0" fontId="26" fillId="0" borderId="0" xfId="0" applyFont="1"/>
    <xf numFmtId="0" fontId="21" fillId="0" borderId="0" xfId="0" applyFont="1"/>
    <xf numFmtId="0" fontId="8" fillId="12" borderId="0" xfId="0" applyFont="1" applyFill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/>
    </xf>
    <xf numFmtId="0" fontId="0" fillId="10" borderId="0" xfId="0" applyFill="1"/>
    <xf numFmtId="0" fontId="9" fillId="14" borderId="2" xfId="0" applyFont="1" applyFill="1" applyBorder="1" applyAlignment="1">
      <alignment horizontal="center" vertical="center"/>
    </xf>
    <xf numFmtId="0" fontId="0" fillId="14" borderId="0" xfId="0" applyFill="1"/>
    <xf numFmtId="0" fontId="0" fillId="14" borderId="1" xfId="0" applyFill="1" applyBorder="1"/>
    <xf numFmtId="0" fontId="23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29" fillId="0" borderId="1" xfId="0" applyNumberFormat="1" applyFont="1" applyBorder="1" applyAlignment="1">
      <alignment horizontal="center"/>
    </xf>
    <xf numFmtId="167" fontId="30" fillId="0" borderId="1" xfId="0" applyNumberFormat="1" applyFont="1" applyBorder="1"/>
    <xf numFmtId="165" fontId="0" fillId="0" borderId="1" xfId="0" applyNumberFormat="1" applyBorder="1" applyAlignment="1">
      <alignment horizontal="right"/>
    </xf>
    <xf numFmtId="0" fontId="25" fillId="0" borderId="1" xfId="0" applyFont="1" applyBorder="1"/>
    <xf numFmtId="167" fontId="31" fillId="4" borderId="1" xfId="0" applyNumberFormat="1" applyFont="1" applyFill="1" applyBorder="1"/>
    <xf numFmtId="167" fontId="29" fillId="10" borderId="1" xfId="0" applyNumberFormat="1" applyFont="1" applyFill="1" applyBorder="1"/>
    <xf numFmtId="0" fontId="0" fillId="15" borderId="0" xfId="0" applyFill="1"/>
    <xf numFmtId="0" fontId="32" fillId="0" borderId="1" xfId="0" applyFont="1" applyBorder="1" applyAlignment="1">
      <alignment horizontal="center" vertical="center"/>
    </xf>
    <xf numFmtId="0" fontId="24" fillId="0" borderId="0" xfId="0" applyFont="1"/>
    <xf numFmtId="168" fontId="0" fillId="0" borderId="1" xfId="0" applyNumberFormat="1" applyBorder="1"/>
    <xf numFmtId="168" fontId="0" fillId="10" borderId="1" xfId="0" applyNumberFormat="1" applyFill="1" applyBorder="1" applyAlignment="1">
      <alignment horizontal="center"/>
    </xf>
    <xf numFmtId="3" fontId="24" fillId="4" borderId="1" xfId="0" applyNumberFormat="1" applyFont="1" applyFill="1" applyBorder="1" applyAlignment="1">
      <alignment horizontal="right"/>
    </xf>
    <xf numFmtId="0" fontId="3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" xfId="0" applyFont="1" applyBorder="1"/>
    <xf numFmtId="167" fontId="29" fillId="0" borderId="1" xfId="0" applyNumberFormat="1" applyFont="1" applyBorder="1" applyAlignment="1">
      <alignment horizontal="right"/>
    </xf>
    <xf numFmtId="167" fontId="31" fillId="5" borderId="1" xfId="0" applyNumberFormat="1" applyFont="1" applyFill="1" applyBorder="1"/>
    <xf numFmtId="0" fontId="20" fillId="3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169" fontId="29" fillId="0" borderId="1" xfId="0" applyNumberFormat="1" applyFont="1" applyBorder="1" applyAlignment="1">
      <alignment horizontal="right"/>
    </xf>
    <xf numFmtId="1" fontId="30" fillId="0" borderId="1" xfId="0" applyNumberFormat="1" applyFont="1" applyBorder="1" applyAlignment="1">
      <alignment horizontal="center"/>
    </xf>
    <xf numFmtId="169" fontId="31" fillId="4" borderId="1" xfId="0" applyNumberFormat="1" applyFont="1" applyFill="1" applyBorder="1"/>
    <xf numFmtId="0" fontId="23" fillId="2" borderId="1" xfId="0" applyFont="1" applyFill="1" applyBorder="1" applyAlignment="1">
      <alignment horizontal="center" wrapText="1"/>
    </xf>
    <xf numFmtId="169" fontId="30" fillId="0" borderId="1" xfId="0" applyNumberFormat="1" applyFont="1" applyBorder="1"/>
    <xf numFmtId="170" fontId="30" fillId="0" borderId="1" xfId="0" applyNumberFormat="1" applyFont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169" fontId="30" fillId="0" borderId="1" xfId="0" applyNumberFormat="1" applyFont="1" applyBorder="1" applyAlignment="1">
      <alignment horizontal="right"/>
    </xf>
    <xf numFmtId="0" fontId="33" fillId="10" borderId="1" xfId="0" applyFont="1" applyFill="1" applyBorder="1" applyAlignment="1">
      <alignment horizontal="center"/>
    </xf>
    <xf numFmtId="169" fontId="31" fillId="16" borderId="1" xfId="0" applyNumberFormat="1" applyFont="1" applyFill="1" applyBorder="1"/>
    <xf numFmtId="3" fontId="29" fillId="0" borderId="1" xfId="0" applyNumberFormat="1" applyFont="1" applyBorder="1" applyAlignment="1">
      <alignment horizontal="center"/>
    </xf>
    <xf numFmtId="3" fontId="31" fillId="4" borderId="1" xfId="0" applyNumberFormat="1" applyFont="1" applyFill="1" applyBorder="1" applyAlignment="1">
      <alignment horizontal="center"/>
    </xf>
    <xf numFmtId="169" fontId="33" fillId="10" borderId="1" xfId="0" applyNumberFormat="1" applyFont="1" applyFill="1" applyBorder="1"/>
    <xf numFmtId="0" fontId="25" fillId="0" borderId="1" xfId="0" applyFont="1" applyBorder="1" applyAlignment="1">
      <alignment horizontal="center"/>
    </xf>
    <xf numFmtId="169" fontId="30" fillId="16" borderId="1" xfId="0" applyNumberFormat="1" applyFont="1" applyFill="1" applyBorder="1"/>
    <xf numFmtId="170" fontId="31" fillId="4" borderId="1" xfId="0" applyNumberFormat="1" applyFont="1" applyFill="1" applyBorder="1" applyAlignment="1">
      <alignment horizontal="center"/>
    </xf>
    <xf numFmtId="10" fontId="29" fillId="0" borderId="1" xfId="0" applyNumberFormat="1" applyFont="1" applyBorder="1" applyAlignment="1">
      <alignment horizontal="center"/>
    </xf>
    <xf numFmtId="169" fontId="34" fillId="0" borderId="1" xfId="0" applyNumberFormat="1" applyFont="1" applyBorder="1" applyAlignment="1">
      <alignment horizontal="right"/>
    </xf>
    <xf numFmtId="169" fontId="35" fillId="4" borderId="1" xfId="0" applyNumberFormat="1" applyFont="1" applyFill="1" applyBorder="1"/>
    <xf numFmtId="10" fontId="0" fillId="11" borderId="1" xfId="0" applyNumberFormat="1" applyFill="1" applyBorder="1" applyAlignment="1">
      <alignment horizontal="center"/>
    </xf>
    <xf numFmtId="10" fontId="23" fillId="3" borderId="1" xfId="0" applyNumberFormat="1" applyFont="1" applyFill="1" applyBorder="1" applyAlignment="1">
      <alignment horizontal="center"/>
    </xf>
    <xf numFmtId="0" fontId="17" fillId="15" borderId="0" xfId="0" applyFont="1" applyFill="1" applyAlignment="1">
      <alignment horizontal="center"/>
    </xf>
    <xf numFmtId="0" fontId="37" fillId="17" borderId="0" xfId="0" applyFont="1" applyFill="1"/>
    <xf numFmtId="0" fontId="37" fillId="17" borderId="0" xfId="0" applyFont="1" applyFill="1" applyAlignment="1">
      <alignment horizontal="center"/>
    </xf>
    <xf numFmtId="0" fontId="38" fillId="17" borderId="0" xfId="0" applyFont="1" applyFill="1" applyAlignment="1">
      <alignment horizontal="center" wrapText="1"/>
    </xf>
    <xf numFmtId="0" fontId="40" fillId="18" borderId="0" xfId="0" applyFont="1" applyFill="1" applyAlignment="1">
      <alignment horizontal="center" vertical="center"/>
    </xf>
    <xf numFmtId="0" fontId="38" fillId="17" borderId="0" xfId="0" applyFont="1" applyFill="1" applyAlignment="1">
      <alignment horizontal="left" vertical="center"/>
    </xf>
    <xf numFmtId="0" fontId="38" fillId="17" borderId="0" xfId="1" applyFont="1" applyFill="1" applyAlignment="1">
      <alignment horizontal="center" vertical="center"/>
    </xf>
    <xf numFmtId="0" fontId="40" fillId="0" borderId="0" xfId="0" applyFont="1"/>
    <xf numFmtId="0" fontId="41" fillId="0" borderId="0" xfId="0" applyFont="1"/>
    <xf numFmtId="4" fontId="41" fillId="0" borderId="0" xfId="0" applyNumberFormat="1" applyFont="1"/>
    <xf numFmtId="0" fontId="42" fillId="0" borderId="0" xfId="0" applyFont="1"/>
    <xf numFmtId="0" fontId="42" fillId="0" borderId="0" xfId="0" applyFont="1" applyAlignment="1">
      <alignment horizontal="left"/>
    </xf>
    <xf numFmtId="0" fontId="43" fillId="17" borderId="20" xfId="0" applyFont="1" applyFill="1" applyBorder="1" applyAlignment="1">
      <alignment horizontal="center" vertical="center" wrapText="1"/>
    </xf>
    <xf numFmtId="0" fontId="43" fillId="17" borderId="21" xfId="0" applyFont="1" applyFill="1" applyBorder="1" applyAlignment="1">
      <alignment horizontal="center" vertical="center" wrapText="1"/>
    </xf>
    <xf numFmtId="0" fontId="43" fillId="17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3"/>
    </xf>
    <xf numFmtId="0" fontId="36" fillId="0" borderId="0" xfId="0" applyFont="1" applyAlignment="1">
      <alignment horizontal="center"/>
    </xf>
    <xf numFmtId="3" fontId="0" fillId="0" borderId="0" xfId="0" applyNumberForma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/>
    <xf numFmtId="0" fontId="13" fillId="0" borderId="2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3" fillId="6" borderId="0" xfId="0" applyFont="1" applyFill="1" applyAlignment="1">
      <alignment horizontal="left" vertical="center" wrapText="1"/>
    </xf>
    <xf numFmtId="0" fontId="12" fillId="4" borderId="0" xfId="0" applyFont="1" applyFill="1"/>
    <xf numFmtId="0" fontId="0" fillId="0" borderId="10" xfId="0" applyBorder="1"/>
    <xf numFmtId="0" fontId="13" fillId="0" borderId="0" xfId="0" applyFont="1"/>
    <xf numFmtId="0" fontId="5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0" fillId="9" borderId="1" xfId="0" applyFill="1" applyBorder="1"/>
    <xf numFmtId="0" fontId="0" fillId="0" borderId="15" xfId="0" applyBorder="1"/>
    <xf numFmtId="0" fontId="0" fillId="0" borderId="14" xfId="0" applyBorder="1"/>
    <xf numFmtId="0" fontId="0" fillId="10" borderId="1" xfId="0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2" fontId="25" fillId="11" borderId="1" xfId="0" applyNumberFormat="1" applyFont="1" applyFill="1" applyBorder="1" applyAlignment="1">
      <alignment horizontal="center"/>
    </xf>
    <xf numFmtId="3" fontId="0" fillId="10" borderId="1" xfId="0" applyNumberFormat="1" applyFill="1" applyBorder="1" applyAlignment="1">
      <alignment horizontal="right"/>
    </xf>
    <xf numFmtId="0" fontId="0" fillId="0" borderId="1" xfId="0" applyBorder="1"/>
    <xf numFmtId="0" fontId="0" fillId="10" borderId="1" xfId="0" applyFill="1" applyBorder="1"/>
    <xf numFmtId="0" fontId="20" fillId="3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24" fillId="9" borderId="1" xfId="0" applyFont="1" applyFill="1" applyBorder="1"/>
    <xf numFmtId="0" fontId="0" fillId="10" borderId="1" xfId="0" applyFill="1" applyBorder="1" applyAlignment="1">
      <alignment horizontal="left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4" fontId="0" fillId="11" borderId="1" xfId="0" applyNumberFormat="1" applyFill="1" applyBorder="1" applyAlignment="1">
      <alignment horizontal="center"/>
    </xf>
    <xf numFmtId="0" fontId="38" fillId="17" borderId="0" xfId="0" applyFont="1" applyFill="1" applyAlignment="1">
      <alignment horizontal="center"/>
    </xf>
    <xf numFmtId="0" fontId="25" fillId="0" borderId="1" xfId="0" applyFont="1" applyBorder="1"/>
    <xf numFmtId="167" fontId="31" fillId="4" borderId="1" xfId="0" applyNumberFormat="1" applyFont="1" applyFill="1" applyBorder="1"/>
    <xf numFmtId="0" fontId="0" fillId="10" borderId="0" xfId="0" applyFill="1"/>
    <xf numFmtId="0" fontId="25" fillId="15" borderId="10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0" fillId="10" borderId="1" xfId="0" applyFill="1" applyBorder="1" applyAlignment="1">
      <alignment vertical="top" wrapText="1"/>
    </xf>
    <xf numFmtId="0" fontId="28" fillId="2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25" fillId="0" borderId="10" xfId="0" applyFont="1" applyBorder="1" applyAlignment="1">
      <alignment horizontal="center"/>
    </xf>
    <xf numFmtId="168" fontId="0" fillId="0" borderId="1" xfId="0" applyNumberFormat="1" applyBorder="1"/>
    <xf numFmtId="0" fontId="24" fillId="4" borderId="1" xfId="0" applyFont="1" applyFill="1" applyBorder="1"/>
    <xf numFmtId="3" fontId="0" fillId="11" borderId="1" xfId="0" applyNumberFormat="1" applyFill="1" applyBorder="1" applyAlignment="1">
      <alignment horizontal="right"/>
    </xf>
    <xf numFmtId="0" fontId="25" fillId="4" borderId="1" xfId="0" applyFont="1" applyFill="1" applyBorder="1"/>
    <xf numFmtId="3" fontId="24" fillId="4" borderId="1" xfId="0" applyNumberFormat="1" applyFont="1" applyFill="1" applyBorder="1" applyAlignment="1">
      <alignment horizontal="right"/>
    </xf>
    <xf numFmtId="3" fontId="25" fillId="4" borderId="1" xfId="0" applyNumberFormat="1" applyFont="1" applyFill="1" applyBorder="1" applyAlignment="1">
      <alignment horizontal="right"/>
    </xf>
    <xf numFmtId="0" fontId="25" fillId="0" borderId="0" xfId="0" applyFont="1" applyAlignment="1">
      <alignment horizontal="center"/>
    </xf>
    <xf numFmtId="167" fontId="33" fillId="10" borderId="0" xfId="0" applyNumberFormat="1" applyFont="1" applyFill="1"/>
    <xf numFmtId="3" fontId="23" fillId="3" borderId="1" xfId="0" applyNumberFormat="1" applyFont="1" applyFill="1" applyBorder="1" applyAlignment="1">
      <alignment horizontal="right"/>
    </xf>
    <xf numFmtId="0" fontId="23" fillId="3" borderId="1" xfId="0" applyFont="1" applyFill="1" applyBorder="1"/>
    <xf numFmtId="0" fontId="23" fillId="2" borderId="1" xfId="0" applyFont="1" applyFill="1" applyBorder="1"/>
    <xf numFmtId="4" fontId="38" fillId="17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A3" sqref="A3:E3"/>
    </sheetView>
  </sheetViews>
  <sheetFormatPr baseColWidth="10" defaultColWidth="9.109375" defaultRowHeight="15.05" x14ac:dyDescent="0.3"/>
  <cols>
    <col min="1" max="1" width="17.33203125" customWidth="1"/>
    <col min="2" max="2" width="15" customWidth="1"/>
    <col min="3" max="3" width="60" customWidth="1"/>
    <col min="4" max="4" width="20" customWidth="1"/>
    <col min="5" max="5" width="12" customWidth="1"/>
  </cols>
  <sheetData>
    <row r="1" spans="1:5" ht="35.200000000000003" customHeight="1" x14ac:dyDescent="0.3">
      <c r="A1" s="114" t="s">
        <v>0</v>
      </c>
      <c r="B1" s="115"/>
      <c r="C1" s="115"/>
      <c r="D1" s="115"/>
    </row>
    <row r="2" spans="1:5" ht="24.9" customHeight="1" x14ac:dyDescent="0.3">
      <c r="A2" s="119" t="s">
        <v>1</v>
      </c>
      <c r="B2" s="119"/>
      <c r="C2" s="119"/>
      <c r="D2" s="119"/>
      <c r="E2" s="119"/>
    </row>
    <row r="3" spans="1:5" ht="16.55" customHeight="1" x14ac:dyDescent="0.3">
      <c r="A3" s="120" t="s">
        <v>383</v>
      </c>
      <c r="B3" s="120"/>
      <c r="C3" s="120"/>
      <c r="D3" s="120"/>
      <c r="E3" s="120"/>
    </row>
    <row r="4" spans="1:5" ht="16.55" customHeight="1" x14ac:dyDescent="0.3">
      <c r="A4" s="117" t="s">
        <v>384</v>
      </c>
      <c r="B4" s="115"/>
      <c r="C4" s="115"/>
      <c r="D4" s="115"/>
      <c r="E4" s="115"/>
    </row>
    <row r="5" spans="1:5" ht="16.55" customHeight="1" x14ac:dyDescent="0.3"/>
    <row r="6" spans="1:5" ht="24.9" customHeight="1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</row>
    <row r="7" spans="1:5" ht="24.9" customHeight="1" x14ac:dyDescent="0.3">
      <c r="A7" s="2" t="s">
        <v>7</v>
      </c>
      <c r="B7" s="3" t="s">
        <v>8</v>
      </c>
      <c r="C7" s="2" t="s">
        <v>9</v>
      </c>
      <c r="D7" s="4" t="str">
        <f>HYPERLINK("#'A'!A1","ABRIR ►")</f>
        <v>ABRIR ►</v>
      </c>
      <c r="E7" s="5"/>
    </row>
    <row r="8" spans="1:5" ht="24.9" customHeight="1" x14ac:dyDescent="0.3">
      <c r="A8" s="6"/>
      <c r="B8" s="7" t="s">
        <v>10</v>
      </c>
      <c r="C8" s="8" t="s">
        <v>11</v>
      </c>
      <c r="D8" s="4" t="str">
        <f>HYPERLINK("#'PA-1'!A1","ABRIR ►")</f>
        <v>ABRIR ►</v>
      </c>
      <c r="E8" s="5"/>
    </row>
    <row r="9" spans="1:5" ht="20.149999999999999" customHeight="1" x14ac:dyDescent="0.3">
      <c r="A9" s="6"/>
      <c r="B9" s="9" t="s">
        <v>12</v>
      </c>
      <c r="C9" s="6" t="s">
        <v>13</v>
      </c>
      <c r="D9" s="4" t="str">
        <f>HYPERLINK("#'A-SUM'!A1","ABRIR ►")</f>
        <v>ABRIR ►</v>
      </c>
      <c r="E9" s="5"/>
    </row>
    <row r="10" spans="1:5" ht="20.149999999999999" customHeight="1" x14ac:dyDescent="0.3">
      <c r="A10" s="6"/>
      <c r="B10" s="9" t="s">
        <v>14</v>
      </c>
      <c r="C10" s="6" t="s">
        <v>15</v>
      </c>
      <c r="D10" s="4" t="str">
        <f>HYPERLINK("#'A-1'!A1","ABRIR ►")</f>
        <v>ABRIR ►</v>
      </c>
      <c r="E10" s="5"/>
    </row>
    <row r="11" spans="1:5" ht="20.149999999999999" customHeight="1" x14ac:dyDescent="0.3">
      <c r="A11" s="6"/>
      <c r="B11" s="9" t="s">
        <v>16</v>
      </c>
      <c r="C11" s="6" t="s">
        <v>17</v>
      </c>
      <c r="D11" s="4" t="str">
        <f>HYPERLINK("#'A-1.1'!A1","ABRIR ►")</f>
        <v>ABRIR ►</v>
      </c>
      <c r="E11" s="5"/>
    </row>
    <row r="12" spans="1:5" ht="20.149999999999999" customHeight="1" x14ac:dyDescent="0.3">
      <c r="A12" s="6"/>
      <c r="B12" s="9" t="s">
        <v>18</v>
      </c>
      <c r="C12" s="6" t="s">
        <v>19</v>
      </c>
      <c r="D12" s="4" t="str">
        <f>HYPERLINK("#'A-1.2'!A1","ABRIR ►")</f>
        <v>ABRIR ►</v>
      </c>
      <c r="E12" s="5"/>
    </row>
    <row r="13" spans="1:5" ht="20.149999999999999" customHeight="1" x14ac:dyDescent="0.3">
      <c r="A13" s="6"/>
      <c r="B13" s="9" t="s">
        <v>20</v>
      </c>
      <c r="C13" s="6" t="s">
        <v>21</v>
      </c>
      <c r="D13" s="4" t="str">
        <f>HYPERLINK("#'A-2'!A1","ABRIR ►")</f>
        <v>ABRIR ►</v>
      </c>
      <c r="E13" s="5"/>
    </row>
    <row r="14" spans="1:5" ht="20.149999999999999" customHeight="1" x14ac:dyDescent="0.3">
      <c r="A14" s="6"/>
      <c r="B14" s="9" t="s">
        <v>22</v>
      </c>
      <c r="C14" s="6" t="s">
        <v>23</v>
      </c>
      <c r="D14" s="4" t="str">
        <f>HYPERLINK("#'A-2.1'!A1","ABRIR ►")</f>
        <v>ABRIR ►</v>
      </c>
      <c r="E14" s="5"/>
    </row>
    <row r="15" spans="1:5" ht="20.149999999999999" customHeight="1" x14ac:dyDescent="0.3">
      <c r="A15" s="6"/>
      <c r="B15" s="9" t="s">
        <v>24</v>
      </c>
      <c r="C15" s="6" t="s">
        <v>25</v>
      </c>
      <c r="D15" s="4" t="str">
        <f>HYPERLINK("#'A-3'!A1","ABRIR ►")</f>
        <v>ABRIR ►</v>
      </c>
      <c r="E15" s="5"/>
    </row>
    <row r="16" spans="1:5" ht="20.149999999999999" customHeight="1" x14ac:dyDescent="0.3">
      <c r="A16" s="6"/>
      <c r="B16" s="9" t="s">
        <v>26</v>
      </c>
      <c r="C16" s="6" t="s">
        <v>27</v>
      </c>
      <c r="D16" s="4" t="str">
        <f>HYPERLINK("#'A-4'!A1","ABRIR ►")</f>
        <v>ABRIR ►</v>
      </c>
      <c r="E16" s="5"/>
    </row>
    <row r="17" spans="1:5" ht="20.149999999999999" customHeight="1" x14ac:dyDescent="0.3">
      <c r="A17" s="6"/>
      <c r="B17" s="9" t="s">
        <v>28</v>
      </c>
      <c r="C17" s="6" t="s">
        <v>29</v>
      </c>
      <c r="D17" s="4" t="str">
        <f>HYPERLINK("#'A-5'!A1","ABRIR ►")</f>
        <v>ABRIR ►</v>
      </c>
      <c r="E17" s="5"/>
    </row>
    <row r="19" spans="1:5" x14ac:dyDescent="0.3">
      <c r="A19" s="118" t="s">
        <v>30</v>
      </c>
      <c r="B19" s="115"/>
      <c r="C19" s="115"/>
      <c r="D19" s="115"/>
      <c r="E19" s="115"/>
    </row>
    <row r="20" spans="1:5" x14ac:dyDescent="0.3">
      <c r="A20" s="10" t="s">
        <v>31</v>
      </c>
      <c r="B20" s="116" t="s">
        <v>32</v>
      </c>
      <c r="C20" s="115"/>
      <c r="D20" s="115"/>
      <c r="E20" s="115"/>
    </row>
    <row r="21" spans="1:5" x14ac:dyDescent="0.3">
      <c r="A21" s="11" t="s">
        <v>31</v>
      </c>
      <c r="B21" s="116" t="s">
        <v>33</v>
      </c>
      <c r="C21" s="115"/>
      <c r="D21" s="115"/>
      <c r="E21" s="115"/>
    </row>
    <row r="22" spans="1:5" x14ac:dyDescent="0.3">
      <c r="A22" s="12" t="s">
        <v>31</v>
      </c>
      <c r="B22" s="116" t="s">
        <v>34</v>
      </c>
      <c r="C22" s="115"/>
      <c r="D22" s="115"/>
      <c r="E22" s="115"/>
    </row>
  </sheetData>
  <mergeCells count="8">
    <mergeCell ref="A1:D1"/>
    <mergeCell ref="B22:E22"/>
    <mergeCell ref="A4:E4"/>
    <mergeCell ref="A19:E19"/>
    <mergeCell ref="A2:E2"/>
    <mergeCell ref="B20:E20"/>
    <mergeCell ref="B21:E2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54"/>
  <sheetViews>
    <sheetView workbookViewId="0">
      <selection activeCell="A3" sqref="A3:H6"/>
    </sheetView>
  </sheetViews>
  <sheetFormatPr baseColWidth="10" defaultColWidth="9.109375" defaultRowHeight="15.05" x14ac:dyDescent="0.3"/>
  <cols>
    <col min="1" max="1" width="5" customWidth="1"/>
    <col min="2" max="2" width="14.6640625" customWidth="1"/>
    <col min="3" max="3" width="50" customWidth="1"/>
    <col min="4" max="4" width="15" customWidth="1"/>
    <col min="5" max="5" width="12" customWidth="1"/>
    <col min="6" max="6" width="15" customWidth="1"/>
    <col min="8" max="8" width="16.44140625" customWidth="1"/>
    <col min="10" max="10" width="17.5546875" customWidth="1"/>
    <col min="11" max="11" width="13" customWidth="1"/>
  </cols>
  <sheetData>
    <row r="2" spans="1:11" x14ac:dyDescent="0.3">
      <c r="H2" s="13" t="str">
        <f>HYPERLINK("#INDICE!A1","◄ ÍNDICE")</f>
        <v>◄ ÍNDICE</v>
      </c>
    </row>
    <row r="3" spans="1:11" ht="27" customHeight="1" x14ac:dyDescent="0.3">
      <c r="A3" s="121" t="s">
        <v>383</v>
      </c>
      <c r="B3" s="121"/>
      <c r="C3" s="121"/>
      <c r="D3" s="121"/>
      <c r="E3" s="121"/>
      <c r="F3" s="121"/>
      <c r="G3" s="121"/>
      <c r="H3" s="121"/>
      <c r="K3" s="14" t="s">
        <v>10</v>
      </c>
    </row>
    <row r="4" spans="1:11" ht="22.6" customHeight="1" x14ac:dyDescent="0.3">
      <c r="A4" s="121" t="s">
        <v>162</v>
      </c>
      <c r="B4" s="121"/>
      <c r="C4" s="121"/>
      <c r="D4" s="121"/>
      <c r="E4" s="121"/>
      <c r="F4" s="121"/>
      <c r="G4" s="121"/>
      <c r="H4" s="121"/>
    </row>
    <row r="5" spans="1:11" ht="15.05" customHeight="1" x14ac:dyDescent="0.3">
      <c r="A5" s="121" t="s">
        <v>384</v>
      </c>
      <c r="B5" s="121"/>
      <c r="C5" s="121"/>
      <c r="D5" s="121"/>
      <c r="E5" s="121"/>
      <c r="F5" s="121"/>
      <c r="G5" s="121"/>
      <c r="H5" s="121"/>
      <c r="J5" s="15" t="s">
        <v>35</v>
      </c>
      <c r="K5" s="15"/>
    </row>
    <row r="6" spans="1:11" x14ac:dyDescent="0.3">
      <c r="A6" s="121" t="s">
        <v>385</v>
      </c>
      <c r="B6" s="121"/>
      <c r="C6" s="121"/>
      <c r="D6" s="121"/>
      <c r="E6" s="121"/>
      <c r="F6" s="121"/>
      <c r="G6" s="121"/>
      <c r="H6" s="121"/>
      <c r="J6" s="15" t="s">
        <v>36</v>
      </c>
      <c r="K6" s="15"/>
    </row>
    <row r="7" spans="1:11" x14ac:dyDescent="0.3">
      <c r="A7" s="112"/>
      <c r="J7" s="15" t="s">
        <v>38</v>
      </c>
      <c r="K7" s="15"/>
    </row>
    <row r="8" spans="1:11" x14ac:dyDescent="0.3">
      <c r="J8" s="15" t="s">
        <v>39</v>
      </c>
      <c r="K8" s="15"/>
    </row>
    <row r="9" spans="1:11" ht="16.55" customHeight="1" x14ac:dyDescent="0.3">
      <c r="A9" s="122" t="s">
        <v>37</v>
      </c>
      <c r="B9" s="115"/>
      <c r="C9" s="115"/>
      <c r="D9" s="115"/>
      <c r="E9" s="115"/>
      <c r="F9" s="115"/>
      <c r="G9" s="115"/>
      <c r="H9" s="115"/>
    </row>
    <row r="11" spans="1:11" x14ac:dyDescent="0.3">
      <c r="A11" s="135" t="s">
        <v>40</v>
      </c>
      <c r="B11" s="115"/>
      <c r="C11" s="137" t="s">
        <v>41</v>
      </c>
      <c r="D11" s="115"/>
      <c r="E11" s="115"/>
      <c r="F11" s="115"/>
      <c r="G11" s="115"/>
      <c r="H11" s="115"/>
    </row>
    <row r="12" spans="1:11" x14ac:dyDescent="0.3">
      <c r="A12" s="135" t="s">
        <v>42</v>
      </c>
      <c r="B12" s="115"/>
      <c r="C12" s="137" t="s">
        <v>43</v>
      </c>
      <c r="D12" s="115"/>
      <c r="E12" s="115"/>
      <c r="F12" s="115"/>
      <c r="G12" s="115"/>
      <c r="H12" s="115"/>
    </row>
    <row r="13" spans="1:11" x14ac:dyDescent="0.3">
      <c r="A13" s="135" t="s">
        <v>44</v>
      </c>
      <c r="B13" s="115"/>
      <c r="C13" s="137"/>
      <c r="D13" s="115"/>
      <c r="E13" s="115"/>
      <c r="F13" s="115"/>
      <c r="G13" s="115"/>
      <c r="H13" s="115"/>
    </row>
    <row r="15" spans="1:11" ht="20.149999999999999" customHeight="1" x14ac:dyDescent="0.3">
      <c r="A15" s="118" t="s">
        <v>45</v>
      </c>
      <c r="B15" s="115"/>
      <c r="C15" s="115"/>
      <c r="D15" s="115"/>
      <c r="E15" s="115"/>
      <c r="F15" s="115"/>
      <c r="G15" s="115"/>
      <c r="H15" s="115"/>
    </row>
    <row r="16" spans="1:11" ht="39.950000000000003" customHeight="1" x14ac:dyDescent="0.3">
      <c r="A16" s="134" t="s">
        <v>46</v>
      </c>
      <c r="B16" s="115"/>
      <c r="C16" s="115"/>
      <c r="D16" s="115"/>
      <c r="E16" s="115"/>
      <c r="F16" s="115"/>
      <c r="G16" s="115"/>
      <c r="H16" s="115"/>
    </row>
    <row r="18" spans="1:8" x14ac:dyDescent="0.3">
      <c r="A18" s="118" t="s">
        <v>47</v>
      </c>
      <c r="B18" s="115"/>
      <c r="C18" s="115"/>
      <c r="D18" s="115"/>
      <c r="E18" s="115"/>
      <c r="F18" s="115"/>
      <c r="G18" s="115"/>
      <c r="H18" s="115"/>
    </row>
    <row r="19" spans="1:8" ht="24.9" customHeight="1" x14ac:dyDescent="0.3">
      <c r="A19" s="16" t="s">
        <v>48</v>
      </c>
      <c r="B19" s="124" t="s">
        <v>49</v>
      </c>
      <c r="C19" s="115"/>
      <c r="D19" s="115"/>
      <c r="E19" s="115"/>
      <c r="F19" s="115"/>
      <c r="G19" s="115"/>
      <c r="H19" s="115"/>
    </row>
    <row r="20" spans="1:8" ht="24.9" customHeight="1" x14ac:dyDescent="0.3">
      <c r="A20" s="16" t="s">
        <v>48</v>
      </c>
      <c r="B20" s="124" t="s">
        <v>50</v>
      </c>
      <c r="C20" s="115"/>
      <c r="D20" s="115"/>
      <c r="E20" s="115"/>
      <c r="F20" s="115"/>
      <c r="G20" s="115"/>
      <c r="H20" s="115"/>
    </row>
    <row r="21" spans="1:8" ht="24.9" customHeight="1" x14ac:dyDescent="0.3">
      <c r="A21" s="16" t="s">
        <v>48</v>
      </c>
      <c r="B21" s="124" t="s">
        <v>51</v>
      </c>
      <c r="C21" s="115"/>
      <c r="D21" s="115"/>
      <c r="E21" s="115"/>
      <c r="F21" s="115"/>
      <c r="G21" s="115"/>
      <c r="H21" s="115"/>
    </row>
    <row r="22" spans="1:8" ht="24.9" customHeight="1" x14ac:dyDescent="0.3">
      <c r="A22" s="16" t="s">
        <v>48</v>
      </c>
      <c r="B22" s="124" t="s">
        <v>52</v>
      </c>
      <c r="C22" s="115"/>
      <c r="D22" s="115"/>
      <c r="E22" s="115"/>
      <c r="F22" s="115"/>
      <c r="G22" s="115"/>
      <c r="H22" s="115"/>
    </row>
    <row r="23" spans="1:8" ht="24.9" customHeight="1" x14ac:dyDescent="0.3">
      <c r="A23" s="16" t="s">
        <v>48</v>
      </c>
      <c r="B23" s="124" t="s">
        <v>53</v>
      </c>
      <c r="C23" s="115"/>
      <c r="D23" s="115"/>
      <c r="E23" s="115"/>
      <c r="F23" s="115"/>
      <c r="G23" s="115"/>
      <c r="H23" s="115"/>
    </row>
    <row r="24" spans="1:8" ht="24.9" customHeight="1" x14ac:dyDescent="0.3">
      <c r="A24" s="16" t="s">
        <v>48</v>
      </c>
      <c r="B24" s="124" t="s">
        <v>54</v>
      </c>
      <c r="C24" s="115"/>
      <c r="D24" s="115"/>
      <c r="E24" s="115"/>
      <c r="F24" s="115"/>
      <c r="G24" s="115"/>
      <c r="H24" s="115"/>
    </row>
    <row r="26" spans="1:8" ht="29.95" customHeight="1" x14ac:dyDescent="0.3">
      <c r="A26" s="17" t="s">
        <v>55</v>
      </c>
      <c r="B26" s="17" t="s">
        <v>56</v>
      </c>
      <c r="C26" s="17" t="s">
        <v>57</v>
      </c>
      <c r="D26" s="17" t="s">
        <v>58</v>
      </c>
      <c r="E26" s="17" t="s">
        <v>59</v>
      </c>
      <c r="F26" s="17" t="s">
        <v>60</v>
      </c>
      <c r="G26" s="17" t="s">
        <v>59</v>
      </c>
      <c r="H26" s="17" t="s">
        <v>61</v>
      </c>
    </row>
    <row r="27" spans="1:8" ht="45" customHeight="1" x14ac:dyDescent="0.3">
      <c r="A27" s="18" t="s">
        <v>62</v>
      </c>
      <c r="B27" s="19" t="s">
        <v>14</v>
      </c>
      <c r="C27" s="20" t="s">
        <v>63</v>
      </c>
      <c r="D27" s="21"/>
      <c r="E27" s="21"/>
      <c r="F27" s="21"/>
      <c r="G27" s="21"/>
      <c r="H27" s="22" t="str">
        <f>HYPERLINK("#'A-1'!A1","VER A-1 ►")</f>
        <v>VER A-1 ►</v>
      </c>
    </row>
    <row r="28" spans="1:8" ht="45" customHeight="1" x14ac:dyDescent="0.3">
      <c r="A28" s="18" t="s">
        <v>64</v>
      </c>
      <c r="B28" s="19" t="s">
        <v>16</v>
      </c>
      <c r="C28" s="20" t="s">
        <v>65</v>
      </c>
      <c r="D28" s="21"/>
      <c r="E28" s="21"/>
      <c r="F28" s="21"/>
      <c r="G28" s="21"/>
      <c r="H28" s="22" t="str">
        <f>HYPERLINK("#'A-1.1'!A1","VER A-1.1 ►")</f>
        <v>VER A-1.1 ►</v>
      </c>
    </row>
    <row r="29" spans="1:8" ht="45" customHeight="1" x14ac:dyDescent="0.3">
      <c r="A29" s="18" t="s">
        <v>66</v>
      </c>
      <c r="B29" s="19" t="s">
        <v>18</v>
      </c>
      <c r="C29" s="20" t="s">
        <v>67</v>
      </c>
      <c r="D29" s="21"/>
      <c r="E29" s="21"/>
      <c r="F29" s="21"/>
      <c r="G29" s="21"/>
      <c r="H29" s="22" t="str">
        <f>HYPERLINK("#'A-1.2'!A1","VER A-1.2 ►")</f>
        <v>VER A-1.2 ►</v>
      </c>
    </row>
    <row r="30" spans="1:8" ht="45" customHeight="1" x14ac:dyDescent="0.3">
      <c r="A30" s="18" t="s">
        <v>68</v>
      </c>
      <c r="B30" s="19" t="s">
        <v>20</v>
      </c>
      <c r="C30" s="20" t="s">
        <v>69</v>
      </c>
      <c r="D30" s="21"/>
      <c r="E30" s="21"/>
      <c r="F30" s="21"/>
      <c r="G30" s="21"/>
      <c r="H30" s="22" t="str">
        <f>HYPERLINK("#'A-2'!A1","VER A-2 ►")</f>
        <v>VER A-2 ►</v>
      </c>
    </row>
    <row r="31" spans="1:8" ht="45" customHeight="1" x14ac:dyDescent="0.3">
      <c r="A31" s="18" t="s">
        <v>70</v>
      </c>
      <c r="B31" s="19" t="s">
        <v>22</v>
      </c>
      <c r="C31" s="20" t="s">
        <v>71</v>
      </c>
      <c r="D31" s="21"/>
      <c r="E31" s="21"/>
      <c r="F31" s="21"/>
      <c r="G31" s="21"/>
      <c r="H31" s="22" t="str">
        <f>HYPERLINK("#'A-2.1'!A1","VER A-2.1 ►")</f>
        <v>VER A-2.1 ►</v>
      </c>
    </row>
    <row r="32" spans="1:8" ht="45" customHeight="1" x14ac:dyDescent="0.3">
      <c r="A32" s="18" t="s">
        <v>72</v>
      </c>
      <c r="B32" s="19" t="s">
        <v>24</v>
      </c>
      <c r="C32" s="20" t="s">
        <v>73</v>
      </c>
      <c r="D32" s="21"/>
      <c r="E32" s="21"/>
      <c r="F32" s="21"/>
      <c r="G32" s="21"/>
      <c r="H32" s="22" t="str">
        <f>HYPERLINK("#'A-3'!A1","VER A-3 ►")</f>
        <v>VER A-3 ►</v>
      </c>
    </row>
    <row r="33" spans="1:8" ht="45" customHeight="1" x14ac:dyDescent="0.3">
      <c r="A33" s="18" t="s">
        <v>74</v>
      </c>
      <c r="B33" s="19" t="s">
        <v>26</v>
      </c>
      <c r="C33" s="20" t="s">
        <v>75</v>
      </c>
      <c r="D33" s="21"/>
      <c r="E33" s="21"/>
      <c r="F33" s="21"/>
      <c r="G33" s="21"/>
      <c r="H33" s="22" t="str">
        <f>HYPERLINK("#'A-4'!A1","VER A-4 ►")</f>
        <v>VER A-4 ►</v>
      </c>
    </row>
    <row r="34" spans="1:8" ht="45" customHeight="1" x14ac:dyDescent="0.3">
      <c r="A34" s="18" t="s">
        <v>76</v>
      </c>
      <c r="B34" s="19" t="s">
        <v>28</v>
      </c>
      <c r="C34" s="20" t="s">
        <v>77</v>
      </c>
      <c r="D34" s="21"/>
      <c r="E34" s="21"/>
      <c r="F34" s="21"/>
      <c r="G34" s="21"/>
      <c r="H34" s="22" t="str">
        <f>HYPERLINK("#'A-5'!A1","VER A-5 ►")</f>
        <v>VER A-5 ►</v>
      </c>
    </row>
    <row r="35" spans="1:8" ht="45" customHeight="1" x14ac:dyDescent="0.3">
      <c r="A35" s="18" t="s">
        <v>78</v>
      </c>
      <c r="B35" s="19" t="s">
        <v>12</v>
      </c>
      <c r="C35" s="20" t="s">
        <v>79</v>
      </c>
      <c r="D35" s="21"/>
      <c r="E35" s="21"/>
      <c r="F35" s="21"/>
      <c r="G35" s="21"/>
      <c r="H35" s="22" t="str">
        <f>HYPERLINK("#'A-SUM'!A1","VER A-SUM ►")</f>
        <v>VER A-SUM ►</v>
      </c>
    </row>
    <row r="36" spans="1:8" ht="45" customHeight="1" x14ac:dyDescent="0.3">
      <c r="A36" s="18" t="s">
        <v>80</v>
      </c>
      <c r="B36" s="19" t="s">
        <v>8</v>
      </c>
      <c r="C36" s="20" t="s">
        <v>81</v>
      </c>
      <c r="D36" s="21"/>
      <c r="E36" s="21"/>
      <c r="F36" s="21"/>
      <c r="G36" s="21"/>
      <c r="H36" s="22" t="str">
        <f>HYPERLINK("#'A'!A1","VER LEAD ►")</f>
        <v>VER LEAD ►</v>
      </c>
    </row>
    <row r="38" spans="1:8" x14ac:dyDescent="0.3">
      <c r="A38" s="118" t="s">
        <v>82</v>
      </c>
      <c r="B38" s="115"/>
      <c r="C38" s="115"/>
      <c r="D38" s="115"/>
      <c r="E38" s="115"/>
      <c r="F38" s="115"/>
      <c r="G38" s="115"/>
      <c r="H38" s="115"/>
    </row>
    <row r="39" spans="1:8" x14ac:dyDescent="0.3">
      <c r="A39" s="126" t="s">
        <v>83</v>
      </c>
      <c r="B39" s="127"/>
      <c r="C39" s="127"/>
      <c r="D39" s="127"/>
      <c r="E39" s="127"/>
      <c r="F39" s="127"/>
      <c r="G39" s="127"/>
      <c r="H39" s="128"/>
    </row>
    <row r="40" spans="1:8" x14ac:dyDescent="0.3">
      <c r="A40" s="129"/>
      <c r="B40" s="115"/>
      <c r="C40" s="115"/>
      <c r="D40" s="115"/>
      <c r="E40" s="115"/>
      <c r="F40" s="115"/>
      <c r="G40" s="115"/>
      <c r="H40" s="130"/>
    </row>
    <row r="41" spans="1:8" x14ac:dyDescent="0.3">
      <c r="A41" s="131"/>
      <c r="B41" s="132"/>
      <c r="C41" s="132"/>
      <c r="D41" s="132"/>
      <c r="E41" s="132"/>
      <c r="F41" s="132"/>
      <c r="G41" s="132"/>
      <c r="H41" s="133"/>
    </row>
    <row r="43" spans="1:8" x14ac:dyDescent="0.3">
      <c r="B43" s="125" t="s">
        <v>84</v>
      </c>
      <c r="C43" s="115"/>
      <c r="D43" s="115"/>
      <c r="F43" s="125" t="s">
        <v>85</v>
      </c>
      <c r="G43" s="115"/>
      <c r="H43" s="115"/>
    </row>
    <row r="44" spans="1:8" x14ac:dyDescent="0.3">
      <c r="B44" s="136"/>
      <c r="C44" s="136"/>
      <c r="D44" s="136"/>
      <c r="F44" s="136"/>
      <c r="G44" s="136"/>
      <c r="H44" s="136"/>
    </row>
    <row r="45" spans="1:8" x14ac:dyDescent="0.3">
      <c r="B45" s="123" t="s">
        <v>86</v>
      </c>
      <c r="C45" s="115"/>
      <c r="D45" s="115"/>
      <c r="F45" s="123" t="s">
        <v>86</v>
      </c>
      <c r="G45" s="115"/>
      <c r="H45" s="115"/>
    </row>
    <row r="54" spans="1:1" x14ac:dyDescent="0.3">
      <c r="A54" s="24" t="str">
        <f>HYPERLINK("#'INDICE'!A4","&lt;&lt; Volver al Indice")</f>
        <v>&lt;&lt; Volver al Indice</v>
      </c>
    </row>
  </sheetData>
  <mergeCells count="28">
    <mergeCell ref="A3:H3"/>
    <mergeCell ref="B20:H20"/>
    <mergeCell ref="B43:D43"/>
    <mergeCell ref="B23:H23"/>
    <mergeCell ref="A39:H41"/>
    <mergeCell ref="A16:H16"/>
    <mergeCell ref="A5:H5"/>
    <mergeCell ref="A4:H4"/>
    <mergeCell ref="B19:H19"/>
    <mergeCell ref="A12:B12"/>
    <mergeCell ref="A15:H15"/>
    <mergeCell ref="C12:H12"/>
    <mergeCell ref="A13:B13"/>
    <mergeCell ref="C11:H11"/>
    <mergeCell ref="F43:H43"/>
    <mergeCell ref="A38:H38"/>
    <mergeCell ref="A6:H6"/>
    <mergeCell ref="A9:H9"/>
    <mergeCell ref="A18:H18"/>
    <mergeCell ref="F45:H45"/>
    <mergeCell ref="B24:H24"/>
    <mergeCell ref="B45:D45"/>
    <mergeCell ref="B44:D44"/>
    <mergeCell ref="F44:H44"/>
    <mergeCell ref="B22:H22"/>
    <mergeCell ref="C13:H13"/>
    <mergeCell ref="A11:B11"/>
    <mergeCell ref="B21:H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106"/>
  <sheetViews>
    <sheetView workbookViewId="0">
      <selection activeCell="E5" sqref="E5:E8"/>
    </sheetView>
  </sheetViews>
  <sheetFormatPr baseColWidth="10" defaultColWidth="9.109375" defaultRowHeight="15.05" x14ac:dyDescent="0.3"/>
  <cols>
    <col min="2" max="2" width="22.44140625" customWidth="1"/>
    <col min="8" max="8" width="15" customWidth="1"/>
    <col min="13" max="13" width="17" customWidth="1"/>
    <col min="14" max="14" width="14.6640625" customWidth="1"/>
  </cols>
  <sheetData>
    <row r="2" spans="1:14" x14ac:dyDescent="0.3">
      <c r="H2" s="13" t="str">
        <f>HYPERLINK("#INDICE!A1","◄ ÍNDICE")</f>
        <v>◄ ÍNDICE</v>
      </c>
    </row>
    <row r="3" spans="1:14" x14ac:dyDescent="0.3">
      <c r="E3" s="25"/>
    </row>
    <row r="4" spans="1:14" ht="24.75" customHeight="1" x14ac:dyDescent="0.3">
      <c r="N4" s="14" t="s">
        <v>8</v>
      </c>
    </row>
    <row r="5" spans="1:14" x14ac:dyDescent="0.3">
      <c r="E5" s="113" t="s">
        <v>383</v>
      </c>
    </row>
    <row r="6" spans="1:14" x14ac:dyDescent="0.3">
      <c r="E6" s="113" t="s">
        <v>162</v>
      </c>
      <c r="M6" s="15" t="s">
        <v>35</v>
      </c>
      <c r="N6" s="15"/>
    </row>
    <row r="7" spans="1:14" x14ac:dyDescent="0.3">
      <c r="E7" s="113" t="s">
        <v>384</v>
      </c>
      <c r="M7" s="15" t="s">
        <v>36</v>
      </c>
      <c r="N7" s="15"/>
    </row>
    <row r="8" spans="1:14" x14ac:dyDescent="0.3">
      <c r="E8" s="113" t="s">
        <v>385</v>
      </c>
      <c r="M8" s="15" t="s">
        <v>38</v>
      </c>
      <c r="N8" s="15"/>
    </row>
    <row r="9" spans="1:14" x14ac:dyDescent="0.3">
      <c r="M9" s="15" t="s">
        <v>39</v>
      </c>
      <c r="N9" s="15"/>
    </row>
    <row r="10" spans="1:14" ht="29.95" customHeight="1" x14ac:dyDescent="0.3">
      <c r="A10" s="139" t="s">
        <v>87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</row>
    <row r="12" spans="1:14" x14ac:dyDescent="0.3">
      <c r="A12" s="138" t="s">
        <v>88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4" ht="24.05" customHeight="1" x14ac:dyDescent="0.3">
      <c r="A13" s="27" t="s">
        <v>89</v>
      </c>
      <c r="B13" s="27" t="s">
        <v>90</v>
      </c>
      <c r="C13" s="27" t="s">
        <v>91</v>
      </c>
      <c r="D13" s="27" t="s">
        <v>92</v>
      </c>
      <c r="E13" s="27" t="s">
        <v>93</v>
      </c>
      <c r="F13" s="27" t="s">
        <v>94</v>
      </c>
      <c r="G13" s="27" t="s">
        <v>95</v>
      </c>
      <c r="H13" s="27" t="s">
        <v>96</v>
      </c>
      <c r="I13" s="27" t="s">
        <v>97</v>
      </c>
      <c r="J13" s="27" t="s">
        <v>98</v>
      </c>
      <c r="K13" s="27" t="s">
        <v>99</v>
      </c>
    </row>
    <row r="14" spans="1:14" x14ac:dyDescent="0.3">
      <c r="A14" s="44" t="str">
        <f>HYPERLINK("#'A-1'!A1","A-1")</f>
        <v>A-1</v>
      </c>
      <c r="B14" s="6" t="s">
        <v>15</v>
      </c>
      <c r="C14" s="28">
        <v>81</v>
      </c>
      <c r="D14" s="28">
        <v>50</v>
      </c>
      <c r="E14" s="28">
        <v>5</v>
      </c>
      <c r="F14" s="29">
        <f t="shared" ref="F14:F21" si="0">C14+D14-E14</f>
        <v>126</v>
      </c>
      <c r="G14" s="28"/>
      <c r="H14" s="29">
        <f t="shared" ref="H14:H21" si="1">F14+G14</f>
        <v>126</v>
      </c>
      <c r="I14" s="28"/>
      <c r="J14" s="29">
        <f t="shared" ref="J14:J21" si="2">I14-H14</f>
        <v>-126</v>
      </c>
      <c r="K14" s="90">
        <f t="shared" ref="K14:K21" si="3">IF(F$22=0,0,F14/F$22*100)</f>
        <v>94.73684210526315</v>
      </c>
      <c r="M14" s="30"/>
    </row>
    <row r="15" spans="1:14" x14ac:dyDescent="0.3">
      <c r="A15" s="44" t="str">
        <f>HYPERLINK("#'A-1.1'!A1","A-1.1")</f>
        <v>A-1.1</v>
      </c>
      <c r="B15" s="6" t="s">
        <v>17</v>
      </c>
      <c r="C15" s="28"/>
      <c r="D15" s="28"/>
      <c r="E15" s="28"/>
      <c r="F15" s="29">
        <f t="shared" si="0"/>
        <v>0</v>
      </c>
      <c r="G15" s="28"/>
      <c r="H15" s="29">
        <f t="shared" si="1"/>
        <v>0</v>
      </c>
      <c r="I15" s="28"/>
      <c r="J15" s="29">
        <f t="shared" si="2"/>
        <v>0</v>
      </c>
      <c r="K15" s="90">
        <f t="shared" si="3"/>
        <v>0</v>
      </c>
      <c r="M15" s="30"/>
    </row>
    <row r="16" spans="1:14" x14ac:dyDescent="0.3">
      <c r="A16" s="44" t="str">
        <f>HYPERLINK("#'A-1.2'!A1","A-1.2")</f>
        <v>A-1.2</v>
      </c>
      <c r="B16" s="6" t="s">
        <v>19</v>
      </c>
      <c r="C16" s="28"/>
      <c r="D16" s="28"/>
      <c r="E16" s="28"/>
      <c r="F16" s="29">
        <f t="shared" si="0"/>
        <v>0</v>
      </c>
      <c r="G16" s="28"/>
      <c r="H16" s="29">
        <f t="shared" si="1"/>
        <v>0</v>
      </c>
      <c r="I16" s="28"/>
      <c r="J16" s="29">
        <f t="shared" si="2"/>
        <v>0</v>
      </c>
      <c r="K16" s="90">
        <f t="shared" si="3"/>
        <v>0</v>
      </c>
      <c r="M16" s="30"/>
    </row>
    <row r="17" spans="1:13" x14ac:dyDescent="0.3">
      <c r="A17" s="44" t="str">
        <f>HYPERLINK("#'A-2'!A1","A-2")</f>
        <v>A-2</v>
      </c>
      <c r="B17" s="6" t="s">
        <v>21</v>
      </c>
      <c r="C17" s="28"/>
      <c r="D17" s="28"/>
      <c r="E17" s="28"/>
      <c r="F17" s="29">
        <f t="shared" si="0"/>
        <v>0</v>
      </c>
      <c r="G17" s="28"/>
      <c r="H17" s="29">
        <f t="shared" si="1"/>
        <v>0</v>
      </c>
      <c r="I17" s="28"/>
      <c r="J17" s="29">
        <f t="shared" si="2"/>
        <v>0</v>
      </c>
      <c r="K17" s="90">
        <f t="shared" si="3"/>
        <v>0</v>
      </c>
      <c r="M17" s="30"/>
    </row>
    <row r="18" spans="1:13" ht="24.9" x14ac:dyDescent="0.3">
      <c r="A18" s="44" t="s">
        <v>22</v>
      </c>
      <c r="B18" s="6" t="s">
        <v>23</v>
      </c>
      <c r="C18" s="28"/>
      <c r="D18" s="28"/>
      <c r="E18" s="28"/>
      <c r="F18" s="29">
        <f t="shared" si="0"/>
        <v>0</v>
      </c>
      <c r="G18" s="28"/>
      <c r="H18" s="29">
        <f t="shared" si="1"/>
        <v>0</v>
      </c>
      <c r="I18" s="28"/>
      <c r="J18" s="29">
        <f t="shared" si="2"/>
        <v>0</v>
      </c>
      <c r="K18" s="90">
        <f t="shared" si="3"/>
        <v>0</v>
      </c>
      <c r="M18" s="30"/>
    </row>
    <row r="19" spans="1:13" x14ac:dyDescent="0.3">
      <c r="A19" s="44" t="s">
        <v>24</v>
      </c>
      <c r="B19" s="6" t="s">
        <v>25</v>
      </c>
      <c r="C19" s="28"/>
      <c r="D19" s="28"/>
      <c r="E19" s="28"/>
      <c r="F19" s="29">
        <f t="shared" si="0"/>
        <v>0</v>
      </c>
      <c r="G19" s="28"/>
      <c r="H19" s="29">
        <f t="shared" si="1"/>
        <v>0</v>
      </c>
      <c r="I19" s="28"/>
      <c r="J19" s="29">
        <f t="shared" si="2"/>
        <v>0</v>
      </c>
      <c r="K19" s="90">
        <f t="shared" si="3"/>
        <v>0</v>
      </c>
    </row>
    <row r="20" spans="1:13" ht="24.9" x14ac:dyDescent="0.3">
      <c r="A20" s="44" t="s">
        <v>26</v>
      </c>
      <c r="B20" s="6" t="s">
        <v>27</v>
      </c>
      <c r="C20" s="28"/>
      <c r="D20" s="28"/>
      <c r="E20" s="28"/>
      <c r="F20" s="29">
        <f t="shared" si="0"/>
        <v>0</v>
      </c>
      <c r="G20" s="28"/>
      <c r="H20" s="29">
        <f t="shared" si="1"/>
        <v>0</v>
      </c>
      <c r="I20" s="28"/>
      <c r="J20" s="29">
        <f t="shared" si="2"/>
        <v>0</v>
      </c>
      <c r="K20" s="90">
        <f t="shared" si="3"/>
        <v>0</v>
      </c>
    </row>
    <row r="21" spans="1:13" ht="24.9" x14ac:dyDescent="0.3">
      <c r="A21" s="44" t="s">
        <v>28</v>
      </c>
      <c r="B21" s="6" t="s">
        <v>29</v>
      </c>
      <c r="C21" s="28">
        <v>7</v>
      </c>
      <c r="D21" s="28"/>
      <c r="E21" s="28"/>
      <c r="F21" s="29">
        <f t="shared" si="0"/>
        <v>7</v>
      </c>
      <c r="G21" s="28"/>
      <c r="H21" s="29">
        <f t="shared" si="1"/>
        <v>7</v>
      </c>
      <c r="I21" s="28"/>
      <c r="J21" s="29">
        <f t="shared" si="2"/>
        <v>-7</v>
      </c>
      <c r="K21" s="90">
        <f t="shared" si="3"/>
        <v>5.2631578947368416</v>
      </c>
    </row>
    <row r="22" spans="1:13" x14ac:dyDescent="0.3">
      <c r="A22" s="31" t="s">
        <v>100</v>
      </c>
      <c r="B22" s="32" t="s">
        <v>101</v>
      </c>
      <c r="C22" s="33">
        <f t="shared" ref="C22:J22" si="4">SUM(C14:C21)</f>
        <v>88</v>
      </c>
      <c r="D22" s="33">
        <f t="shared" si="4"/>
        <v>50</v>
      </c>
      <c r="E22" s="33">
        <f t="shared" si="4"/>
        <v>5</v>
      </c>
      <c r="F22" s="33">
        <f t="shared" si="4"/>
        <v>133</v>
      </c>
      <c r="G22" s="33">
        <f t="shared" si="4"/>
        <v>0</v>
      </c>
      <c r="H22" s="33">
        <f t="shared" si="4"/>
        <v>133</v>
      </c>
      <c r="I22" s="33">
        <f t="shared" si="4"/>
        <v>0</v>
      </c>
      <c r="J22" s="33">
        <f t="shared" si="4"/>
        <v>-133</v>
      </c>
      <c r="K22" s="91">
        <v>1</v>
      </c>
    </row>
    <row r="24" spans="1:13" x14ac:dyDescent="0.3">
      <c r="A24" s="138" t="s">
        <v>102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</row>
    <row r="25" spans="1:13" x14ac:dyDescent="0.3">
      <c r="A25" s="149" t="s">
        <v>103</v>
      </c>
      <c r="B25" s="150"/>
      <c r="C25" s="150"/>
      <c r="D25" s="150"/>
      <c r="E25" s="150"/>
      <c r="F25" s="150"/>
      <c r="G25" s="151"/>
      <c r="H25" s="144" t="s">
        <v>104</v>
      </c>
      <c r="I25" s="142"/>
      <c r="J25" s="144" t="s">
        <v>105</v>
      </c>
      <c r="K25" s="142"/>
    </row>
    <row r="26" spans="1:13" x14ac:dyDescent="0.3">
      <c r="A26" s="140" t="s">
        <v>106</v>
      </c>
      <c r="B26" s="141"/>
      <c r="C26" s="141"/>
      <c r="D26" s="141"/>
      <c r="E26" s="141"/>
      <c r="F26" s="141"/>
      <c r="G26" s="142"/>
      <c r="H26" s="146"/>
      <c r="I26" s="142"/>
      <c r="J26" s="147"/>
      <c r="K26" s="142"/>
    </row>
    <row r="27" spans="1:13" x14ac:dyDescent="0.3">
      <c r="A27" s="152" t="s">
        <v>107</v>
      </c>
      <c r="B27" s="141"/>
      <c r="C27" s="141"/>
      <c r="D27" s="141"/>
      <c r="E27" s="141"/>
      <c r="F27" s="141"/>
      <c r="G27" s="142"/>
      <c r="H27" s="145">
        <f>IF(H26=0,0,I22/H26)</f>
        <v>0</v>
      </c>
      <c r="I27" s="142"/>
      <c r="J27" s="148"/>
      <c r="K27" s="142"/>
    </row>
    <row r="28" spans="1:13" x14ac:dyDescent="0.3">
      <c r="A28" s="140" t="s">
        <v>108</v>
      </c>
      <c r="B28" s="141"/>
      <c r="C28" s="141"/>
      <c r="D28" s="141"/>
      <c r="E28" s="141"/>
      <c r="F28" s="141"/>
      <c r="G28" s="142"/>
      <c r="H28" s="158">
        <f>IF(H26=0,0,I22/H26*100)</f>
        <v>0</v>
      </c>
      <c r="I28" s="142"/>
      <c r="J28" s="148"/>
      <c r="K28" s="142"/>
    </row>
    <row r="30" spans="1:13" x14ac:dyDescent="0.3">
      <c r="A30" s="138" t="s">
        <v>109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</row>
    <row r="31" spans="1:13" x14ac:dyDescent="0.3">
      <c r="A31" s="35" t="s">
        <v>55</v>
      </c>
      <c r="B31" s="144" t="s">
        <v>110</v>
      </c>
      <c r="C31" s="141"/>
      <c r="D31" s="141"/>
      <c r="E31" s="141"/>
      <c r="F31" s="142"/>
      <c r="G31" s="144" t="s">
        <v>111</v>
      </c>
      <c r="H31" s="142"/>
      <c r="I31" s="34" t="s">
        <v>112</v>
      </c>
      <c r="J31" s="144" t="s">
        <v>113</v>
      </c>
      <c r="K31" s="142"/>
    </row>
    <row r="32" spans="1:13" x14ac:dyDescent="0.3">
      <c r="A32" s="37">
        <v>1</v>
      </c>
      <c r="B32" s="140" t="s">
        <v>114</v>
      </c>
      <c r="C32" s="141"/>
      <c r="D32" s="141"/>
      <c r="E32" s="141"/>
      <c r="F32" s="142"/>
      <c r="G32" s="143"/>
      <c r="H32" s="142"/>
      <c r="I32" s="38"/>
      <c r="J32" s="148"/>
      <c r="K32" s="142"/>
    </row>
    <row r="33" spans="1:11" x14ac:dyDescent="0.3">
      <c r="A33" s="37">
        <v>2</v>
      </c>
      <c r="B33" s="140" t="s">
        <v>115</v>
      </c>
      <c r="C33" s="141"/>
      <c r="D33" s="141"/>
      <c r="E33" s="141"/>
      <c r="F33" s="142"/>
      <c r="G33" s="143"/>
      <c r="H33" s="142"/>
      <c r="I33" s="38"/>
      <c r="J33" s="148"/>
      <c r="K33" s="142"/>
    </row>
    <row r="34" spans="1:11" x14ac:dyDescent="0.3">
      <c r="A34" s="37">
        <v>3</v>
      </c>
      <c r="B34" s="140" t="s">
        <v>21</v>
      </c>
      <c r="C34" s="141"/>
      <c r="D34" s="141"/>
      <c r="E34" s="141"/>
      <c r="F34" s="142"/>
      <c r="G34" s="143"/>
      <c r="H34" s="142"/>
      <c r="I34" s="38"/>
      <c r="J34" s="148"/>
      <c r="K34" s="142"/>
    </row>
    <row r="35" spans="1:11" x14ac:dyDescent="0.3">
      <c r="A35" s="37">
        <v>4</v>
      </c>
      <c r="B35" s="140" t="s">
        <v>116</v>
      </c>
      <c r="C35" s="141"/>
      <c r="D35" s="141"/>
      <c r="E35" s="141"/>
      <c r="F35" s="142"/>
      <c r="G35" s="143"/>
      <c r="H35" s="142"/>
      <c r="I35" s="38"/>
      <c r="J35" s="148"/>
      <c r="K35" s="142"/>
    </row>
    <row r="36" spans="1:11" x14ac:dyDescent="0.3">
      <c r="A36" s="37">
        <v>5</v>
      </c>
      <c r="B36" s="140" t="s">
        <v>117</v>
      </c>
      <c r="C36" s="141"/>
      <c r="D36" s="141"/>
      <c r="E36" s="141"/>
      <c r="F36" s="142"/>
      <c r="G36" s="143"/>
      <c r="H36" s="142"/>
      <c r="I36" s="38"/>
      <c r="J36" s="148"/>
      <c r="K36" s="142"/>
    </row>
    <row r="37" spans="1:11" x14ac:dyDescent="0.3">
      <c r="A37" s="37">
        <v>6</v>
      </c>
      <c r="B37" s="140" t="s">
        <v>118</v>
      </c>
      <c r="C37" s="141"/>
      <c r="D37" s="141"/>
      <c r="E37" s="141"/>
      <c r="F37" s="142"/>
      <c r="G37" s="143"/>
      <c r="H37" s="142"/>
      <c r="I37" s="38"/>
      <c r="J37" s="148"/>
      <c r="K37" s="142"/>
    </row>
    <row r="38" spans="1:11" x14ac:dyDescent="0.3">
      <c r="A38" s="37">
        <v>7</v>
      </c>
      <c r="B38" s="140" t="s">
        <v>119</v>
      </c>
      <c r="C38" s="141"/>
      <c r="D38" s="141"/>
      <c r="E38" s="141"/>
      <c r="F38" s="142"/>
      <c r="G38" s="143"/>
      <c r="H38" s="142"/>
      <c r="I38" s="38"/>
      <c r="J38" s="148"/>
      <c r="K38" s="142"/>
    </row>
    <row r="39" spans="1:11" x14ac:dyDescent="0.3">
      <c r="A39" s="37">
        <v>8</v>
      </c>
      <c r="B39" s="140" t="s">
        <v>120</v>
      </c>
      <c r="C39" s="141"/>
      <c r="D39" s="141"/>
      <c r="E39" s="141"/>
      <c r="F39" s="142"/>
      <c r="G39" s="143"/>
      <c r="H39" s="142"/>
      <c r="I39" s="38"/>
      <c r="J39" s="148"/>
      <c r="K39" s="142"/>
    </row>
    <row r="41" spans="1:11" x14ac:dyDescent="0.3">
      <c r="A41" s="138" t="s">
        <v>121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</row>
    <row r="42" spans="1:11" x14ac:dyDescent="0.3">
      <c r="A42" s="153"/>
      <c r="B42" s="150"/>
      <c r="C42" s="150"/>
      <c r="D42" s="150"/>
      <c r="E42" s="150"/>
      <c r="F42" s="150"/>
      <c r="G42" s="150"/>
      <c r="H42" s="150"/>
      <c r="I42" s="150"/>
      <c r="J42" s="150"/>
      <c r="K42" s="151"/>
    </row>
    <row r="43" spans="1:11" x14ac:dyDescent="0.3">
      <c r="A43" s="154"/>
      <c r="B43" s="115"/>
      <c r="C43" s="115"/>
      <c r="D43" s="115"/>
      <c r="E43" s="115"/>
      <c r="F43" s="115"/>
      <c r="G43" s="115"/>
      <c r="H43" s="115"/>
      <c r="I43" s="115"/>
      <c r="J43" s="115"/>
      <c r="K43" s="155"/>
    </row>
    <row r="44" spans="1:11" x14ac:dyDescent="0.3">
      <c r="A44" s="154"/>
      <c r="B44" s="115"/>
      <c r="C44" s="115"/>
      <c r="D44" s="115"/>
      <c r="E44" s="115"/>
      <c r="F44" s="115"/>
      <c r="G44" s="115"/>
      <c r="H44" s="115"/>
      <c r="I44" s="115"/>
      <c r="J44" s="115"/>
      <c r="K44" s="155"/>
    </row>
    <row r="45" spans="1:11" x14ac:dyDescent="0.3">
      <c r="A45" s="154"/>
      <c r="B45" s="115"/>
      <c r="C45" s="115"/>
      <c r="D45" s="115"/>
      <c r="E45" s="115"/>
      <c r="F45" s="115"/>
      <c r="G45" s="115"/>
      <c r="H45" s="115"/>
      <c r="I45" s="115"/>
      <c r="J45" s="115"/>
      <c r="K45" s="155"/>
    </row>
    <row r="46" spans="1:11" x14ac:dyDescent="0.3">
      <c r="A46" s="156"/>
      <c r="B46" s="136"/>
      <c r="C46" s="136"/>
      <c r="D46" s="136"/>
      <c r="E46" s="136"/>
      <c r="F46" s="136"/>
      <c r="G46" s="136"/>
      <c r="H46" s="136"/>
      <c r="I46" s="136"/>
      <c r="J46" s="136"/>
      <c r="K46" s="157"/>
    </row>
    <row r="49" spans="1:11" x14ac:dyDescent="0.3">
      <c r="A49" s="39" t="s">
        <v>122</v>
      </c>
    </row>
    <row r="57" spans="1:11" x14ac:dyDescent="0.3">
      <c r="A57" s="40" t="s">
        <v>123</v>
      </c>
      <c r="B57" s="23"/>
      <c r="C57" s="23"/>
      <c r="H57" s="40" t="s">
        <v>124</v>
      </c>
      <c r="I57" s="23"/>
      <c r="J57" s="23"/>
      <c r="K57" s="23"/>
    </row>
    <row r="58" spans="1:11" x14ac:dyDescent="0.3">
      <c r="A58" s="41" t="s">
        <v>125</v>
      </c>
      <c r="H58" s="41" t="s">
        <v>125</v>
      </c>
    </row>
    <row r="71" spans="1:1" x14ac:dyDescent="0.3">
      <c r="A71" s="24" t="str">
        <f>HYPERLINK("#'INDICE'!A4","&lt;&lt; Volver al Indice")</f>
        <v>&lt;&lt; Volver al Indice</v>
      </c>
    </row>
    <row r="106" spans="1:1" x14ac:dyDescent="0.3">
      <c r="A106" s="24" t="str">
        <f>HYPERLINK("#'BGA'!A1","&lt;&lt; Volver a BGA")</f>
        <v>&lt;&lt; Volver a BGA</v>
      </c>
    </row>
  </sheetData>
  <mergeCells count="45">
    <mergeCell ref="A42:K46"/>
    <mergeCell ref="J37:K37"/>
    <mergeCell ref="H28:I28"/>
    <mergeCell ref="J36:K36"/>
    <mergeCell ref="G35:H35"/>
    <mergeCell ref="A28:G28"/>
    <mergeCell ref="A41:K41"/>
    <mergeCell ref="J39:K39"/>
    <mergeCell ref="B39:F39"/>
    <mergeCell ref="G38:H38"/>
    <mergeCell ref="B38:F38"/>
    <mergeCell ref="J33:K33"/>
    <mergeCell ref="G37:H37"/>
    <mergeCell ref="J38:K38"/>
    <mergeCell ref="G36:H36"/>
    <mergeCell ref="J26:K26"/>
    <mergeCell ref="J35:K35"/>
    <mergeCell ref="J25:K25"/>
    <mergeCell ref="J34:K34"/>
    <mergeCell ref="G33:H33"/>
    <mergeCell ref="J32:K32"/>
    <mergeCell ref="J27:K27"/>
    <mergeCell ref="G31:H31"/>
    <mergeCell ref="H25:I25"/>
    <mergeCell ref="A25:G25"/>
    <mergeCell ref="A26:G26"/>
    <mergeCell ref="A27:G27"/>
    <mergeCell ref="J28:K28"/>
    <mergeCell ref="B32:F32"/>
    <mergeCell ref="A24:K24"/>
    <mergeCell ref="A10:K10"/>
    <mergeCell ref="B35:F35"/>
    <mergeCell ref="G39:H39"/>
    <mergeCell ref="A30:K30"/>
    <mergeCell ref="A12:K12"/>
    <mergeCell ref="B37:F37"/>
    <mergeCell ref="B31:F31"/>
    <mergeCell ref="B33:F33"/>
    <mergeCell ref="B34:F34"/>
    <mergeCell ref="G32:H32"/>
    <mergeCell ref="J31:K31"/>
    <mergeCell ref="B36:F36"/>
    <mergeCell ref="H27:I27"/>
    <mergeCell ref="H26:I26"/>
    <mergeCell ref="G34:H34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59"/>
  <sheetViews>
    <sheetView tabSelected="1" topLeftCell="A4" workbookViewId="0">
      <selection activeCell="E25" sqref="E25"/>
    </sheetView>
  </sheetViews>
  <sheetFormatPr baseColWidth="10" defaultColWidth="9.109375" defaultRowHeight="15.05" x14ac:dyDescent="0.3"/>
  <cols>
    <col min="2" max="2" width="32.88671875" customWidth="1"/>
    <col min="3" max="3" width="11.5546875" customWidth="1"/>
    <col min="4" max="4" width="14.44140625" customWidth="1"/>
    <col min="5" max="5" width="13.109375" customWidth="1"/>
    <col min="6" max="6" width="17.109375" customWidth="1"/>
    <col min="7" max="7" width="15" customWidth="1"/>
    <col min="8" max="8" width="14.33203125" customWidth="1"/>
    <col min="9" max="9" width="32.44140625" customWidth="1"/>
    <col min="10" max="10" width="16.5546875" customWidth="1"/>
    <col min="11" max="11" width="12.44140625" customWidth="1"/>
  </cols>
  <sheetData>
    <row r="2" spans="1:11" x14ac:dyDescent="0.3">
      <c r="G2" s="42" t="str">
        <f>HYPERLINK("#'PA-1'!A1","☰ PROGRAMA")</f>
        <v>☰ PROGRAMA</v>
      </c>
      <c r="H2" s="13" t="str">
        <f>HYPERLINK("#INDICE!A1","◄ ÍNDICE")</f>
        <v>◄ ÍNDICE</v>
      </c>
    </row>
    <row r="3" spans="1:11" x14ac:dyDescent="0.3">
      <c r="E3" s="25"/>
    </row>
    <row r="4" spans="1:11" ht="26.2" customHeight="1" x14ac:dyDescent="0.3">
      <c r="K4" s="43" t="s">
        <v>12</v>
      </c>
    </row>
    <row r="5" spans="1:11" x14ac:dyDescent="0.3">
      <c r="E5" s="113" t="s">
        <v>383</v>
      </c>
    </row>
    <row r="6" spans="1:11" x14ac:dyDescent="0.3">
      <c r="E6" s="113" t="s">
        <v>162</v>
      </c>
      <c r="J6" s="15" t="s">
        <v>35</v>
      </c>
      <c r="K6" s="15"/>
    </row>
    <row r="7" spans="1:11" x14ac:dyDescent="0.3">
      <c r="E7" s="113" t="s">
        <v>384</v>
      </c>
      <c r="J7" s="15" t="s">
        <v>36</v>
      </c>
      <c r="K7" s="15"/>
    </row>
    <row r="8" spans="1:11" x14ac:dyDescent="0.3">
      <c r="E8" s="113" t="s">
        <v>385</v>
      </c>
      <c r="J8" s="15" t="s">
        <v>38</v>
      </c>
      <c r="K8" s="15"/>
    </row>
    <row r="9" spans="1:11" x14ac:dyDescent="0.3">
      <c r="J9" s="15" t="s">
        <v>39</v>
      </c>
      <c r="K9" s="15"/>
    </row>
    <row r="11" spans="1:11" ht="29.95" customHeight="1" x14ac:dyDescent="0.3">
      <c r="A11" s="139" t="s">
        <v>126</v>
      </c>
      <c r="B11" s="115"/>
      <c r="C11" s="115"/>
      <c r="D11" s="115"/>
      <c r="E11" s="115"/>
      <c r="F11" s="115"/>
      <c r="G11" s="115"/>
      <c r="H11" s="115"/>
      <c r="I11" s="115"/>
    </row>
    <row r="12" spans="1:11" ht="39.950000000000003" x14ac:dyDescent="0.3">
      <c r="A12" s="93"/>
      <c r="B12" s="93"/>
      <c r="C12" s="94"/>
      <c r="D12" s="95" t="s">
        <v>371</v>
      </c>
      <c r="E12" s="95" t="s">
        <v>371</v>
      </c>
      <c r="F12" s="95" t="s">
        <v>371</v>
      </c>
      <c r="G12" s="159" t="s">
        <v>372</v>
      </c>
      <c r="H12" s="159"/>
      <c r="I12" s="95" t="s">
        <v>373</v>
      </c>
    </row>
    <row r="13" spans="1:11" ht="24.05" customHeight="1" x14ac:dyDescent="0.3">
      <c r="A13" s="104" t="s">
        <v>374</v>
      </c>
      <c r="B13" s="105" t="s">
        <v>382</v>
      </c>
      <c r="C13" s="105" t="s">
        <v>375</v>
      </c>
      <c r="D13" s="105"/>
      <c r="E13" s="105"/>
      <c r="F13" s="105"/>
      <c r="G13" s="105" t="s">
        <v>376</v>
      </c>
      <c r="H13" s="105" t="s">
        <v>377</v>
      </c>
      <c r="I13" s="106"/>
    </row>
    <row r="14" spans="1:11" x14ac:dyDescent="0.3">
      <c r="A14" s="107"/>
      <c r="B14" s="108"/>
      <c r="C14" s="109"/>
      <c r="D14" s="110"/>
      <c r="E14" s="110"/>
      <c r="F14" s="110"/>
      <c r="G14" s="110"/>
      <c r="H14" s="110"/>
      <c r="I14" s="110"/>
    </row>
    <row r="15" spans="1:11" x14ac:dyDescent="0.3">
      <c r="A15" s="107"/>
      <c r="B15" s="108"/>
      <c r="C15" s="111"/>
      <c r="D15" s="110"/>
      <c r="E15" s="110"/>
      <c r="F15" s="110"/>
      <c r="G15" s="110"/>
      <c r="H15" s="110"/>
      <c r="I15" s="110"/>
    </row>
    <row r="16" spans="1:11" x14ac:dyDescent="0.3">
      <c r="A16" s="107"/>
      <c r="B16" s="108"/>
      <c r="C16" s="111"/>
      <c r="D16" s="110"/>
      <c r="E16" s="110"/>
      <c r="F16" s="110"/>
      <c r="G16" s="110"/>
      <c r="H16" s="110"/>
      <c r="I16" s="110"/>
    </row>
    <row r="17" spans="1:9" x14ac:dyDescent="0.3">
      <c r="A17" s="107"/>
      <c r="C17" s="109"/>
    </row>
    <row r="18" spans="1:9" x14ac:dyDescent="0.3">
      <c r="A18" s="107"/>
      <c r="C18" s="109"/>
    </row>
    <row r="19" spans="1:9" x14ac:dyDescent="0.3">
      <c r="A19" s="107"/>
      <c r="C19" s="109"/>
    </row>
    <row r="20" spans="1:9" x14ac:dyDescent="0.3">
      <c r="A20" s="107"/>
      <c r="C20" s="109"/>
    </row>
    <row r="21" spans="1:9" x14ac:dyDescent="0.3">
      <c r="A21" s="107"/>
      <c r="C21" s="109"/>
    </row>
    <row r="22" spans="1:9" x14ac:dyDescent="0.3">
      <c r="A22" s="107"/>
      <c r="C22" s="109"/>
    </row>
    <row r="23" spans="1:9" x14ac:dyDescent="0.3">
      <c r="A23" s="107"/>
      <c r="C23" s="109"/>
    </row>
    <row r="24" spans="1:9" x14ac:dyDescent="0.3">
      <c r="A24" s="107"/>
      <c r="C24" s="109"/>
    </row>
    <row r="25" spans="1:9" x14ac:dyDescent="0.3">
      <c r="A25" s="107"/>
      <c r="C25" s="109"/>
    </row>
    <row r="26" spans="1:9" x14ac:dyDescent="0.3">
      <c r="A26" s="107"/>
      <c r="C26" s="109"/>
    </row>
    <row r="27" spans="1:9" x14ac:dyDescent="0.3">
      <c r="A27" s="96"/>
      <c r="B27" s="97" t="s">
        <v>381</v>
      </c>
      <c r="C27" s="98"/>
      <c r="D27" s="180">
        <f ca="1">SUM(D14:INDIRECT("D" &amp; ROW()-1))</f>
        <v>0</v>
      </c>
      <c r="E27" s="180">
        <f ca="1">SUM(E14:INDIRECT("E" &amp; ROW()-1))</f>
        <v>0</v>
      </c>
      <c r="F27" s="180">
        <f ca="1">SUM(F14:INDIRECT("F" &amp; ROW()-1))</f>
        <v>0</v>
      </c>
      <c r="G27" s="180">
        <f ca="1">SUM(G14:INDIRECT("G" &amp; ROW()-1))</f>
        <v>0</v>
      </c>
      <c r="H27" s="180">
        <f ca="1">SUM(H14:INDIRECT("H" &amp; ROW()-1))</f>
        <v>0</v>
      </c>
      <c r="I27" s="180">
        <f ca="1">SUM(I14:INDIRECT("I" &amp; ROW()-1))</f>
        <v>0</v>
      </c>
    </row>
    <row r="28" spans="1:9" x14ac:dyDescent="0.3">
      <c r="A28" s="99" t="s">
        <v>378</v>
      </c>
      <c r="B28" s="100"/>
      <c r="C28" s="101"/>
      <c r="D28" s="100"/>
      <c r="E28" s="100"/>
      <c r="F28" s="100"/>
      <c r="G28" s="100"/>
      <c r="H28" s="100"/>
      <c r="I28" s="100"/>
    </row>
    <row r="29" spans="1:9" x14ac:dyDescent="0.3">
      <c r="A29" s="99"/>
      <c r="B29" s="100"/>
      <c r="C29" s="101"/>
      <c r="D29" s="100"/>
      <c r="E29" s="100"/>
      <c r="F29" s="100"/>
      <c r="G29" s="100"/>
      <c r="H29" s="100"/>
      <c r="I29" s="100"/>
    </row>
    <row r="30" spans="1:9" x14ac:dyDescent="0.3">
      <c r="A30" s="99" t="s">
        <v>379</v>
      </c>
      <c r="B30" s="100"/>
      <c r="C30" s="100"/>
      <c r="D30" s="100"/>
      <c r="E30" s="100"/>
      <c r="F30" s="100"/>
      <c r="G30" s="100"/>
      <c r="H30" s="100"/>
      <c r="I30" s="102"/>
    </row>
    <row r="31" spans="1:9" x14ac:dyDescent="0.3">
      <c r="A31" s="99"/>
      <c r="B31" s="100"/>
      <c r="C31" s="100"/>
      <c r="D31" s="100"/>
      <c r="E31" s="100"/>
      <c r="F31" s="100"/>
      <c r="G31" s="100"/>
      <c r="H31" s="100"/>
      <c r="I31" s="102"/>
    </row>
    <row r="32" spans="1:9" x14ac:dyDescent="0.3">
      <c r="A32" s="99" t="s">
        <v>380</v>
      </c>
      <c r="B32" s="100"/>
      <c r="C32" s="103"/>
      <c r="D32" s="103"/>
      <c r="E32" s="103"/>
      <c r="F32" s="103"/>
      <c r="G32" s="100"/>
      <c r="H32" s="100"/>
      <c r="I32" s="102"/>
    </row>
    <row r="41" spans="1:8" x14ac:dyDescent="0.3">
      <c r="A41" s="40" t="s">
        <v>123</v>
      </c>
      <c r="B41" s="23"/>
      <c r="C41" s="23"/>
      <c r="F41" s="40" t="s">
        <v>124</v>
      </c>
      <c r="G41" s="23"/>
      <c r="H41" s="23"/>
    </row>
    <row r="42" spans="1:8" x14ac:dyDescent="0.3">
      <c r="A42" s="41" t="s">
        <v>125</v>
      </c>
      <c r="F42" s="41" t="s">
        <v>125</v>
      </c>
    </row>
    <row r="59" spans="1:1" x14ac:dyDescent="0.3">
      <c r="A59" s="24" t="str">
        <f>HYPERLINK("#'INDICE'!A4","&lt;&lt; Volver al Indice")</f>
        <v>&lt;&lt; Volver al Indice</v>
      </c>
    </row>
  </sheetData>
  <mergeCells count="2">
    <mergeCell ref="A11:I11"/>
    <mergeCell ref="G12:H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66"/>
  <sheetViews>
    <sheetView workbookViewId="0">
      <selection activeCell="C5" sqref="C5:C8"/>
    </sheetView>
  </sheetViews>
  <sheetFormatPr baseColWidth="10" defaultColWidth="9.109375" defaultRowHeight="15.05" x14ac:dyDescent="0.3"/>
  <cols>
    <col min="1" max="1" width="23.109375" customWidth="1"/>
    <col min="3" max="3" width="12.109375" customWidth="1"/>
    <col min="4" max="4" width="17.88671875" customWidth="1"/>
    <col min="6" max="6" width="16.33203125" customWidth="1"/>
    <col min="7" max="7" width="17" customWidth="1"/>
    <col min="8" max="8" width="15" customWidth="1"/>
  </cols>
  <sheetData>
    <row r="2" spans="1:8" x14ac:dyDescent="0.3">
      <c r="G2" s="42" t="str">
        <f>HYPERLINK("#'PA-1'!A1","☰ PROGRAMA")</f>
        <v>☰ PROGRAMA</v>
      </c>
      <c r="H2" s="13" t="str">
        <f>HYPERLINK("#INDICE!A1","◄ ÍNDICE")</f>
        <v>◄ ÍNDICE</v>
      </c>
    </row>
    <row r="3" spans="1:8" x14ac:dyDescent="0.3">
      <c r="C3" s="25"/>
    </row>
    <row r="4" spans="1:8" ht="23.25" customHeight="1" x14ac:dyDescent="0.3">
      <c r="H4" s="46" t="s">
        <v>14</v>
      </c>
    </row>
    <row r="5" spans="1:8" x14ac:dyDescent="0.3">
      <c r="A5" s="47"/>
      <c r="B5" s="47"/>
      <c r="C5" s="113" t="s">
        <v>383</v>
      </c>
      <c r="D5" s="47"/>
    </row>
    <row r="6" spans="1:8" x14ac:dyDescent="0.3">
      <c r="A6" s="47"/>
      <c r="B6" s="47"/>
      <c r="C6" s="113" t="s">
        <v>162</v>
      </c>
      <c r="D6" s="47"/>
      <c r="G6" s="15" t="s">
        <v>35</v>
      </c>
      <c r="H6" s="48"/>
    </row>
    <row r="7" spans="1:8" x14ac:dyDescent="0.3">
      <c r="A7" s="47"/>
      <c r="B7" s="47"/>
      <c r="C7" s="113" t="s">
        <v>384</v>
      </c>
      <c r="D7" s="47"/>
      <c r="G7" s="15" t="s">
        <v>36</v>
      </c>
      <c r="H7" s="48"/>
    </row>
    <row r="8" spans="1:8" x14ac:dyDescent="0.3">
      <c r="A8" s="47"/>
      <c r="B8" s="47"/>
      <c r="C8" s="113" t="s">
        <v>385</v>
      </c>
      <c r="D8" s="47"/>
      <c r="G8" s="15" t="s">
        <v>38</v>
      </c>
      <c r="H8" s="48"/>
    </row>
    <row r="9" spans="1:8" x14ac:dyDescent="0.3">
      <c r="G9" s="15" t="s">
        <v>39</v>
      </c>
      <c r="H9" s="48"/>
    </row>
    <row r="11" spans="1:8" ht="18.850000000000001" customHeight="1" x14ac:dyDescent="0.3">
      <c r="A11" s="166" t="s">
        <v>127</v>
      </c>
      <c r="B11" s="115"/>
      <c r="C11" s="115"/>
      <c r="D11" s="115"/>
      <c r="E11" s="115"/>
      <c r="F11" s="115"/>
    </row>
    <row r="12" spans="1:8" x14ac:dyDescent="0.3">
      <c r="A12" t="s">
        <v>128</v>
      </c>
      <c r="B12" s="162"/>
      <c r="C12" s="115"/>
      <c r="D12" t="s">
        <v>129</v>
      </c>
      <c r="E12" s="162"/>
      <c r="F12" s="115"/>
    </row>
    <row r="13" spans="1:8" x14ac:dyDescent="0.3">
      <c r="A13" t="s">
        <v>130</v>
      </c>
      <c r="B13" s="162"/>
      <c r="C13" s="115"/>
      <c r="D13" t="s">
        <v>131</v>
      </c>
      <c r="E13" s="162"/>
      <c r="F13" s="115"/>
    </row>
    <row r="15" spans="1:8" x14ac:dyDescent="0.3">
      <c r="A15" s="164" t="s">
        <v>132</v>
      </c>
      <c r="B15" s="115"/>
      <c r="C15" s="115"/>
      <c r="D15" s="115"/>
      <c r="E15" s="115"/>
      <c r="F15" s="115"/>
    </row>
    <row r="16" spans="1:8" x14ac:dyDescent="0.3">
      <c r="A16" s="49" t="s">
        <v>133</v>
      </c>
      <c r="B16" s="49" t="s">
        <v>134</v>
      </c>
      <c r="C16" s="49" t="s">
        <v>135</v>
      </c>
      <c r="D16" s="49" t="s">
        <v>133</v>
      </c>
      <c r="E16" s="49" t="s">
        <v>134</v>
      </c>
      <c r="F16" s="49" t="s">
        <v>135</v>
      </c>
    </row>
    <row r="17" spans="1:6" x14ac:dyDescent="0.3">
      <c r="A17" s="50">
        <v>100000</v>
      </c>
      <c r="B17" s="51">
        <v>10</v>
      </c>
      <c r="C17" s="52">
        <f t="shared" ref="C17:C22" si="0">A17*B17</f>
        <v>1000000</v>
      </c>
      <c r="D17" s="53">
        <v>1</v>
      </c>
      <c r="E17" s="51">
        <v>5</v>
      </c>
      <c r="F17" s="52">
        <f t="shared" ref="F17:F22" si="1">D17*E17</f>
        <v>5</v>
      </c>
    </row>
    <row r="18" spans="1:6" x14ac:dyDescent="0.3">
      <c r="A18" s="50">
        <v>50000</v>
      </c>
      <c r="B18" s="51"/>
      <c r="C18" s="52">
        <f t="shared" si="0"/>
        <v>0</v>
      </c>
      <c r="D18" s="53">
        <v>20000</v>
      </c>
      <c r="E18" s="51"/>
      <c r="F18" s="52">
        <f t="shared" si="1"/>
        <v>0</v>
      </c>
    </row>
    <row r="19" spans="1:6" x14ac:dyDescent="0.3">
      <c r="A19" s="50">
        <v>20000</v>
      </c>
      <c r="B19" s="51"/>
      <c r="C19" s="52">
        <f t="shared" si="0"/>
        <v>0</v>
      </c>
      <c r="D19" s="53">
        <v>10000</v>
      </c>
      <c r="E19" s="51"/>
      <c r="F19" s="52">
        <f t="shared" si="1"/>
        <v>0</v>
      </c>
    </row>
    <row r="20" spans="1:6" x14ac:dyDescent="0.3">
      <c r="A20" s="50">
        <v>10000</v>
      </c>
      <c r="B20" s="51"/>
      <c r="C20" s="52">
        <f t="shared" si="0"/>
        <v>0</v>
      </c>
      <c r="D20" s="53">
        <v>5000</v>
      </c>
      <c r="E20" s="51"/>
      <c r="F20" s="52">
        <f t="shared" si="1"/>
        <v>0</v>
      </c>
    </row>
    <row r="21" spans="1:6" x14ac:dyDescent="0.3">
      <c r="A21" s="50">
        <v>5000</v>
      </c>
      <c r="B21" s="51"/>
      <c r="C21" s="52">
        <f t="shared" si="0"/>
        <v>0</v>
      </c>
      <c r="D21" s="53">
        <v>2000</v>
      </c>
      <c r="E21" s="51"/>
      <c r="F21" s="52">
        <f t="shared" si="1"/>
        <v>0</v>
      </c>
    </row>
    <row r="22" spans="1:6" x14ac:dyDescent="0.3">
      <c r="A22" s="50">
        <v>2000</v>
      </c>
      <c r="B22" s="51"/>
      <c r="C22" s="52">
        <f t="shared" si="0"/>
        <v>0</v>
      </c>
      <c r="D22" s="53">
        <v>1000</v>
      </c>
      <c r="E22" s="51"/>
      <c r="F22" s="52">
        <f t="shared" si="1"/>
        <v>0</v>
      </c>
    </row>
    <row r="23" spans="1:6" x14ac:dyDescent="0.3">
      <c r="A23" s="54" t="s">
        <v>136</v>
      </c>
      <c r="B23" s="161">
        <f>SUM(C17:C22,F17:F22)</f>
        <v>1000005</v>
      </c>
      <c r="C23" s="142"/>
    </row>
    <row r="25" spans="1:6" x14ac:dyDescent="0.3">
      <c r="A25" s="164" t="s">
        <v>137</v>
      </c>
      <c r="B25" s="115"/>
      <c r="C25" s="115"/>
      <c r="D25" s="115"/>
      <c r="E25" s="115"/>
      <c r="F25" s="115"/>
    </row>
    <row r="26" spans="1:6" x14ac:dyDescent="0.3">
      <c r="A26" s="49" t="s">
        <v>133</v>
      </c>
      <c r="B26" s="49" t="s">
        <v>134</v>
      </c>
      <c r="C26" s="49" t="s">
        <v>135</v>
      </c>
      <c r="D26" s="49" t="s">
        <v>133</v>
      </c>
      <c r="E26" s="49" t="s">
        <v>134</v>
      </c>
      <c r="F26" s="49" t="s">
        <v>135</v>
      </c>
    </row>
    <row r="27" spans="1:6" x14ac:dyDescent="0.3">
      <c r="A27" s="50">
        <v>1000</v>
      </c>
      <c r="B27" s="51">
        <v>8</v>
      </c>
      <c r="C27" s="52">
        <f>A27*B27</f>
        <v>8000</v>
      </c>
      <c r="D27" s="53">
        <v>500</v>
      </c>
      <c r="E27" s="51">
        <v>1</v>
      </c>
      <c r="F27" s="52">
        <f>D27*E27</f>
        <v>500</v>
      </c>
    </row>
    <row r="28" spans="1:6" x14ac:dyDescent="0.3">
      <c r="A28" s="50">
        <v>500</v>
      </c>
      <c r="B28" s="51"/>
      <c r="C28" s="52">
        <f>A28*B28</f>
        <v>0</v>
      </c>
      <c r="D28" s="53">
        <v>200</v>
      </c>
      <c r="E28" s="51"/>
      <c r="F28" s="52">
        <f>D28*E28</f>
        <v>0</v>
      </c>
    </row>
    <row r="29" spans="1:6" x14ac:dyDescent="0.3">
      <c r="A29" s="50">
        <v>200</v>
      </c>
      <c r="B29" s="51"/>
      <c r="C29" s="52">
        <f>A29*B29</f>
        <v>0</v>
      </c>
      <c r="D29" s="53">
        <v>100</v>
      </c>
      <c r="E29" s="51"/>
      <c r="F29" s="52">
        <f>D29*E29</f>
        <v>0</v>
      </c>
    </row>
    <row r="30" spans="1:6" x14ac:dyDescent="0.3">
      <c r="A30" s="50">
        <v>100</v>
      </c>
      <c r="B30" s="51"/>
      <c r="C30" s="52">
        <f>A30*B30</f>
        <v>0</v>
      </c>
      <c r="D30" s="53">
        <v>50</v>
      </c>
      <c r="E30" s="51"/>
      <c r="F30" s="52">
        <f>D30*E30</f>
        <v>0</v>
      </c>
    </row>
    <row r="31" spans="1:6" x14ac:dyDescent="0.3">
      <c r="A31" s="54" t="s">
        <v>138</v>
      </c>
      <c r="B31" s="161">
        <f>SUM(C27:C30,F27:F30)</f>
        <v>8500</v>
      </c>
      <c r="C31" s="142"/>
    </row>
    <row r="33" spans="1:6" x14ac:dyDescent="0.3">
      <c r="A33" s="164" t="s">
        <v>139</v>
      </c>
      <c r="B33" s="115"/>
      <c r="C33" s="115"/>
      <c r="D33" s="115"/>
      <c r="E33" s="115"/>
      <c r="F33" s="115"/>
    </row>
    <row r="34" spans="1:6" x14ac:dyDescent="0.3">
      <c r="A34" s="167" t="s">
        <v>140</v>
      </c>
      <c r="B34" s="141"/>
      <c r="C34" s="141"/>
      <c r="D34" s="141"/>
      <c r="E34" s="142"/>
      <c r="F34" s="49" t="s">
        <v>104</v>
      </c>
    </row>
    <row r="35" spans="1:6" x14ac:dyDescent="0.3">
      <c r="A35" s="160" t="s">
        <v>141</v>
      </c>
      <c r="B35" s="141"/>
      <c r="C35" s="141"/>
      <c r="D35" s="141"/>
      <c r="E35" s="142"/>
      <c r="F35" s="55">
        <f>B23+B31</f>
        <v>1008505</v>
      </c>
    </row>
    <row r="36" spans="1:6" x14ac:dyDescent="0.3">
      <c r="A36" s="147" t="s">
        <v>142</v>
      </c>
      <c r="B36" s="141"/>
      <c r="C36" s="141"/>
      <c r="D36" s="141"/>
      <c r="E36" s="142"/>
      <c r="F36" s="56"/>
    </row>
    <row r="37" spans="1:6" x14ac:dyDescent="0.3">
      <c r="A37" s="160" t="s">
        <v>143</v>
      </c>
      <c r="B37" s="141"/>
      <c r="C37" s="141"/>
      <c r="D37" s="141"/>
      <c r="E37" s="142"/>
      <c r="F37" s="55">
        <f>F35-F36</f>
        <v>1008505</v>
      </c>
    </row>
    <row r="39" spans="1:6" x14ac:dyDescent="0.3">
      <c r="A39" s="164" t="s">
        <v>144</v>
      </c>
      <c r="B39" s="115"/>
      <c r="C39" s="115"/>
      <c r="D39" s="115"/>
      <c r="E39" s="115"/>
      <c r="F39" s="115"/>
    </row>
    <row r="40" spans="1:6" x14ac:dyDescent="0.3">
      <c r="A40" s="165"/>
      <c r="B40" s="150"/>
      <c r="C40" s="150"/>
      <c r="D40" s="150"/>
      <c r="E40" s="150"/>
      <c r="F40" s="151"/>
    </row>
    <row r="41" spans="1:6" x14ac:dyDescent="0.3">
      <c r="A41" s="154"/>
      <c r="B41" s="115"/>
      <c r="C41" s="115"/>
      <c r="D41" s="115"/>
      <c r="E41" s="115"/>
      <c r="F41" s="155"/>
    </row>
    <row r="42" spans="1:6" x14ac:dyDescent="0.3">
      <c r="A42" s="154"/>
      <c r="B42" s="115"/>
      <c r="C42" s="115"/>
      <c r="D42" s="115"/>
      <c r="E42" s="115"/>
      <c r="F42" s="155"/>
    </row>
    <row r="43" spans="1:6" x14ac:dyDescent="0.3">
      <c r="A43" s="154"/>
      <c r="B43" s="115"/>
      <c r="C43" s="115"/>
      <c r="D43" s="115"/>
      <c r="E43" s="115"/>
      <c r="F43" s="155"/>
    </row>
    <row r="44" spans="1:6" x14ac:dyDescent="0.3">
      <c r="A44" s="154"/>
      <c r="B44" s="115"/>
      <c r="C44" s="115"/>
      <c r="D44" s="115"/>
      <c r="E44" s="115"/>
      <c r="F44" s="155"/>
    </row>
    <row r="45" spans="1:6" x14ac:dyDescent="0.3">
      <c r="A45" s="156"/>
      <c r="B45" s="136"/>
      <c r="C45" s="136"/>
      <c r="D45" s="136"/>
      <c r="E45" s="136"/>
      <c r="F45" s="157"/>
    </row>
    <row r="52" spans="1:6" x14ac:dyDescent="0.3">
      <c r="A52" s="163"/>
      <c r="B52" s="136"/>
      <c r="C52" s="136"/>
      <c r="D52" s="163"/>
      <c r="E52" s="136"/>
      <c r="F52" s="136"/>
    </row>
    <row r="53" spans="1:6" x14ac:dyDescent="0.3">
      <c r="A53" s="92" t="s">
        <v>370</v>
      </c>
      <c r="B53" s="57"/>
      <c r="C53" s="57"/>
      <c r="D53" s="57"/>
      <c r="E53" s="92" t="s">
        <v>146</v>
      </c>
      <c r="F53" s="57"/>
    </row>
    <row r="56" spans="1:6" x14ac:dyDescent="0.3">
      <c r="A56" s="47" t="s">
        <v>147</v>
      </c>
    </row>
    <row r="66" spans="1:1" x14ac:dyDescent="0.3">
      <c r="A66" s="24" t="str">
        <f>HYPERLINK("#'INDICE'!A4","&lt;&lt; Volver al Indice")</f>
        <v>&lt;&lt; Volver al Indice</v>
      </c>
    </row>
  </sheetData>
  <mergeCells count="18">
    <mergeCell ref="E12:F12"/>
    <mergeCell ref="A11:F11"/>
    <mergeCell ref="A35:E35"/>
    <mergeCell ref="A33:F33"/>
    <mergeCell ref="A34:E34"/>
    <mergeCell ref="B23:C23"/>
    <mergeCell ref="B12:C12"/>
    <mergeCell ref="E13:F13"/>
    <mergeCell ref="A37:E37"/>
    <mergeCell ref="B31:C31"/>
    <mergeCell ref="A36:E36"/>
    <mergeCell ref="B13:C13"/>
    <mergeCell ref="D52:F52"/>
    <mergeCell ref="A39:F39"/>
    <mergeCell ref="A15:F15"/>
    <mergeCell ref="A52:C52"/>
    <mergeCell ref="A25:F25"/>
    <mergeCell ref="A40:F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60"/>
  <sheetViews>
    <sheetView workbookViewId="0">
      <selection activeCell="D5" sqref="D5:D8"/>
    </sheetView>
  </sheetViews>
  <sheetFormatPr baseColWidth="10" defaultColWidth="9.109375" defaultRowHeight="15.05" x14ac:dyDescent="0.3"/>
  <cols>
    <col min="2" max="2" width="25.5546875" customWidth="1"/>
    <col min="3" max="3" width="19.109375" customWidth="1"/>
    <col min="4" max="4" width="18.44140625" customWidth="1"/>
    <col min="5" max="5" width="13.6640625" customWidth="1"/>
    <col min="6" max="6" width="16.5546875" customWidth="1"/>
    <col min="7" max="7" width="27" customWidth="1"/>
    <col min="8" max="8" width="17.6640625" customWidth="1"/>
    <col min="9" max="9" width="16.109375" customWidth="1"/>
  </cols>
  <sheetData>
    <row r="2" spans="1:9" x14ac:dyDescent="0.3">
      <c r="G2" s="42" t="str">
        <f>HYPERLINK("#'PA-1'!A1","☰ PROGRAMA")</f>
        <v>☰ PROGRAMA</v>
      </c>
      <c r="H2" s="13" t="str">
        <f>HYPERLINK("#INDICE!A1","◄ ÍNDICE")</f>
        <v>◄ ÍNDICE</v>
      </c>
    </row>
    <row r="3" spans="1:9" x14ac:dyDescent="0.3">
      <c r="D3" s="25"/>
    </row>
    <row r="4" spans="1:9" ht="27" customHeight="1" x14ac:dyDescent="0.3">
      <c r="I4" s="58" t="s">
        <v>16</v>
      </c>
    </row>
    <row r="5" spans="1:9" x14ac:dyDescent="0.3">
      <c r="D5" s="113" t="s">
        <v>383</v>
      </c>
    </row>
    <row r="6" spans="1:9" x14ac:dyDescent="0.3">
      <c r="D6" s="113" t="s">
        <v>162</v>
      </c>
      <c r="H6" s="15" t="s">
        <v>35</v>
      </c>
      <c r="I6" s="15"/>
    </row>
    <row r="7" spans="1:9" x14ac:dyDescent="0.3">
      <c r="D7" s="113" t="s">
        <v>384</v>
      </c>
      <c r="H7" s="15" t="s">
        <v>36</v>
      </c>
      <c r="I7" s="15"/>
    </row>
    <row r="8" spans="1:9" x14ac:dyDescent="0.3">
      <c r="D8" s="113" t="s">
        <v>385</v>
      </c>
      <c r="H8" s="15" t="s">
        <v>38</v>
      </c>
      <c r="I8" s="15"/>
    </row>
    <row r="9" spans="1:9" x14ac:dyDescent="0.3">
      <c r="H9" s="15" t="s">
        <v>39</v>
      </c>
      <c r="I9" s="15"/>
    </row>
    <row r="11" spans="1:9" ht="29.95" customHeight="1" x14ac:dyDescent="0.3">
      <c r="A11" s="139" t="s">
        <v>148</v>
      </c>
      <c r="B11" s="115"/>
      <c r="C11" s="115"/>
      <c r="D11" s="115"/>
      <c r="E11" s="115"/>
      <c r="F11" s="115"/>
      <c r="G11" s="115"/>
    </row>
    <row r="12" spans="1:9" x14ac:dyDescent="0.3">
      <c r="A12" s="59" t="s">
        <v>128</v>
      </c>
      <c r="B12" s="148"/>
      <c r="C12" s="141"/>
      <c r="D12" s="142"/>
      <c r="E12" s="59" t="s">
        <v>149</v>
      </c>
      <c r="F12" s="169">
        <f ca="1">TODAY()</f>
        <v>45998</v>
      </c>
      <c r="G12" s="142"/>
    </row>
    <row r="14" spans="1:9" x14ac:dyDescent="0.3">
      <c r="A14" s="138" t="s">
        <v>150</v>
      </c>
      <c r="B14" s="115"/>
      <c r="C14" s="115"/>
      <c r="D14" s="115"/>
      <c r="E14" s="115"/>
      <c r="F14" s="115"/>
      <c r="G14" s="115"/>
    </row>
    <row r="15" spans="1:9" ht="36" customHeight="1" x14ac:dyDescent="0.3">
      <c r="A15" s="27" t="s">
        <v>151</v>
      </c>
      <c r="B15" s="27" t="s">
        <v>152</v>
      </c>
      <c r="C15" s="27" t="s">
        <v>140</v>
      </c>
      <c r="D15" s="27" t="s">
        <v>153</v>
      </c>
      <c r="E15" s="27" t="s">
        <v>104</v>
      </c>
      <c r="F15" s="27" t="s">
        <v>154</v>
      </c>
      <c r="G15" s="27" t="s">
        <v>155</v>
      </c>
    </row>
    <row r="16" spans="1:9" x14ac:dyDescent="0.3">
      <c r="A16" s="61"/>
      <c r="B16" s="36"/>
      <c r="C16" s="36"/>
      <c r="D16" s="36"/>
      <c r="E16" s="28">
        <v>10</v>
      </c>
      <c r="F16" s="38"/>
      <c r="G16" s="38"/>
    </row>
    <row r="17" spans="1:7" x14ac:dyDescent="0.3">
      <c r="A17" s="61"/>
      <c r="B17" s="36"/>
      <c r="C17" s="36"/>
      <c r="D17" s="36"/>
      <c r="E17" s="28"/>
      <c r="F17" s="38"/>
      <c r="G17" s="38"/>
    </row>
    <row r="18" spans="1:7" x14ac:dyDescent="0.3">
      <c r="A18" s="61"/>
      <c r="B18" s="36"/>
      <c r="C18" s="36"/>
      <c r="D18" s="36"/>
      <c r="E18" s="28"/>
      <c r="F18" s="38"/>
      <c r="G18" s="38"/>
    </row>
    <row r="19" spans="1:7" x14ac:dyDescent="0.3">
      <c r="A19" s="61"/>
      <c r="B19" s="36"/>
      <c r="C19" s="36"/>
      <c r="D19" s="36"/>
      <c r="E19" s="28"/>
      <c r="F19" s="38"/>
      <c r="G19" s="38"/>
    </row>
    <row r="20" spans="1:7" x14ac:dyDescent="0.3">
      <c r="A20" s="61"/>
      <c r="B20" s="36"/>
      <c r="C20" s="36"/>
      <c r="D20" s="36"/>
      <c r="E20" s="28"/>
      <c r="F20" s="38"/>
      <c r="G20" s="38"/>
    </row>
    <row r="21" spans="1:7" x14ac:dyDescent="0.3">
      <c r="A21" s="61"/>
      <c r="B21" s="36"/>
      <c r="C21" s="36"/>
      <c r="D21" s="36"/>
      <c r="E21" s="28"/>
      <c r="F21" s="38"/>
      <c r="G21" s="38"/>
    </row>
    <row r="22" spans="1:7" x14ac:dyDescent="0.3">
      <c r="A22" s="61"/>
      <c r="B22" s="36"/>
      <c r="C22" s="36"/>
      <c r="D22" s="36"/>
      <c r="E22" s="28"/>
      <c r="F22" s="38"/>
      <c r="G22" s="38"/>
    </row>
    <row r="23" spans="1:7" x14ac:dyDescent="0.3">
      <c r="A23" s="61"/>
      <c r="B23" s="36"/>
      <c r="C23" s="36"/>
      <c r="D23" s="36"/>
      <c r="E23" s="28"/>
      <c r="F23" s="38"/>
      <c r="G23" s="38"/>
    </row>
    <row r="24" spans="1:7" x14ac:dyDescent="0.3">
      <c r="A24" s="61"/>
      <c r="B24" s="36"/>
      <c r="C24" s="36"/>
      <c r="D24" s="36"/>
      <c r="E24" s="28"/>
      <c r="F24" s="38"/>
      <c r="G24" s="38"/>
    </row>
    <row r="25" spans="1:7" x14ac:dyDescent="0.3">
      <c r="A25" s="61"/>
      <c r="B25" s="36"/>
      <c r="C25" s="36"/>
      <c r="D25" s="36"/>
      <c r="E25" s="28"/>
      <c r="F25" s="38"/>
      <c r="G25" s="38"/>
    </row>
    <row r="26" spans="1:7" x14ac:dyDescent="0.3">
      <c r="A26" s="61"/>
      <c r="B26" s="36"/>
      <c r="C26" s="36"/>
      <c r="D26" s="36"/>
      <c r="E26" s="28"/>
      <c r="F26" s="38"/>
      <c r="G26" s="38"/>
    </row>
    <row r="27" spans="1:7" x14ac:dyDescent="0.3">
      <c r="A27" s="61"/>
      <c r="B27" s="36"/>
      <c r="C27" s="36"/>
      <c r="D27" s="36"/>
      <c r="E27" s="28"/>
      <c r="F27" s="38"/>
      <c r="G27" s="38"/>
    </row>
    <row r="28" spans="1:7" x14ac:dyDescent="0.3">
      <c r="A28" s="61"/>
      <c r="B28" s="36"/>
      <c r="C28" s="36"/>
      <c r="D28" s="36"/>
      <c r="E28" s="28"/>
      <c r="F28" s="38"/>
      <c r="G28" s="38"/>
    </row>
    <row r="29" spans="1:7" x14ac:dyDescent="0.3">
      <c r="A29" s="61"/>
      <c r="B29" s="36"/>
      <c r="C29" s="36"/>
      <c r="D29" s="36"/>
      <c r="E29" s="28"/>
      <c r="F29" s="38"/>
      <c r="G29" s="38"/>
    </row>
    <row r="30" spans="1:7" x14ac:dyDescent="0.3">
      <c r="A30" s="61"/>
      <c r="B30" s="36"/>
      <c r="C30" s="36"/>
      <c r="D30" s="36"/>
      <c r="E30" s="28"/>
      <c r="F30" s="38"/>
      <c r="G30" s="38"/>
    </row>
    <row r="31" spans="1:7" x14ac:dyDescent="0.3">
      <c r="A31" s="170" t="s">
        <v>156</v>
      </c>
      <c r="B31" s="141"/>
      <c r="C31" s="141"/>
      <c r="D31" s="142"/>
      <c r="E31" s="62">
        <f>SUM(E16:E30)</f>
        <v>10</v>
      </c>
    </row>
    <row r="33" spans="1:7" x14ac:dyDescent="0.3">
      <c r="A33" s="138" t="s">
        <v>157</v>
      </c>
      <c r="B33" s="115"/>
      <c r="C33" s="115"/>
      <c r="D33" s="115"/>
      <c r="E33" s="115"/>
      <c r="F33" s="115"/>
      <c r="G33" s="115"/>
    </row>
    <row r="34" spans="1:7" x14ac:dyDescent="0.3">
      <c r="A34" s="144" t="s">
        <v>140</v>
      </c>
      <c r="B34" s="141"/>
      <c r="C34" s="141"/>
      <c r="D34" s="141"/>
      <c r="E34" s="142"/>
      <c r="F34" s="144" t="s">
        <v>104</v>
      </c>
      <c r="G34" s="142"/>
    </row>
    <row r="35" spans="1:7" x14ac:dyDescent="0.3">
      <c r="A35" s="140" t="s">
        <v>158</v>
      </c>
      <c r="B35" s="141"/>
      <c r="C35" s="141"/>
      <c r="D35" s="141"/>
      <c r="E35" s="142"/>
      <c r="F35" s="146"/>
      <c r="G35" s="142"/>
    </row>
    <row r="36" spans="1:7" x14ac:dyDescent="0.3">
      <c r="A36" s="140" t="s">
        <v>159</v>
      </c>
      <c r="B36" s="141"/>
      <c r="C36" s="141"/>
      <c r="D36" s="141"/>
      <c r="E36" s="142"/>
      <c r="F36" s="171">
        <f>E31</f>
        <v>10</v>
      </c>
      <c r="G36" s="142"/>
    </row>
    <row r="37" spans="1:7" x14ac:dyDescent="0.3">
      <c r="A37" s="140" t="s">
        <v>160</v>
      </c>
      <c r="B37" s="141"/>
      <c r="C37" s="141"/>
      <c r="D37" s="141"/>
      <c r="E37" s="142"/>
      <c r="F37" s="146"/>
      <c r="G37" s="142"/>
    </row>
    <row r="38" spans="1:7" x14ac:dyDescent="0.3">
      <c r="A38" s="170" t="s">
        <v>161</v>
      </c>
      <c r="B38" s="141"/>
      <c r="C38" s="141"/>
      <c r="D38" s="141"/>
      <c r="E38" s="142"/>
      <c r="F38" s="173">
        <f>F36+F37</f>
        <v>10</v>
      </c>
      <c r="G38" s="142"/>
    </row>
    <row r="39" spans="1:7" x14ac:dyDescent="0.3">
      <c r="A39" s="172" t="s">
        <v>143</v>
      </c>
      <c r="B39" s="141"/>
      <c r="C39" s="141"/>
      <c r="D39" s="141"/>
      <c r="E39" s="142"/>
      <c r="F39" s="174">
        <f>F38-F35</f>
        <v>10</v>
      </c>
      <c r="G39" s="142"/>
    </row>
    <row r="45" spans="1:7" x14ac:dyDescent="0.3">
      <c r="A45" s="168"/>
      <c r="B45" s="136"/>
      <c r="C45" s="136"/>
      <c r="E45" s="40" t="s">
        <v>123</v>
      </c>
      <c r="F45" s="23"/>
      <c r="G45" s="23"/>
    </row>
    <row r="46" spans="1:7" x14ac:dyDescent="0.3">
      <c r="B46" s="25" t="s">
        <v>145</v>
      </c>
      <c r="E46" s="41" t="s">
        <v>125</v>
      </c>
    </row>
    <row r="60" spans="1:1" x14ac:dyDescent="0.3">
      <c r="A60" s="24" t="str">
        <f>HYPERLINK("#'A-SUM'!A1","&lt;&lt; Volver a A-SUM")</f>
        <v>&lt;&lt; Volver a A-SUM</v>
      </c>
    </row>
  </sheetData>
  <mergeCells count="19">
    <mergeCell ref="A11:G11"/>
    <mergeCell ref="F35:G35"/>
    <mergeCell ref="F37:G37"/>
    <mergeCell ref="A35:E35"/>
    <mergeCell ref="A39:E39"/>
    <mergeCell ref="A34:E34"/>
    <mergeCell ref="A14:G14"/>
    <mergeCell ref="F34:G34"/>
    <mergeCell ref="A36:E36"/>
    <mergeCell ref="F38:G38"/>
    <mergeCell ref="F39:G39"/>
    <mergeCell ref="A38:E38"/>
    <mergeCell ref="A45:C45"/>
    <mergeCell ref="B12:D12"/>
    <mergeCell ref="A33:G33"/>
    <mergeCell ref="F12:G12"/>
    <mergeCell ref="A31:D31"/>
    <mergeCell ref="F36:G36"/>
    <mergeCell ref="A37:E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06"/>
  <sheetViews>
    <sheetView workbookViewId="0">
      <selection activeCell="D5" sqref="D5:D8"/>
    </sheetView>
  </sheetViews>
  <sheetFormatPr baseColWidth="10" defaultColWidth="9.109375" defaultRowHeight="15.05" x14ac:dyDescent="0.3"/>
  <cols>
    <col min="1" max="1" width="17.44140625" customWidth="1"/>
    <col min="2" max="2" width="12.88671875" customWidth="1"/>
    <col min="3" max="3" width="15.88671875" customWidth="1"/>
    <col min="4" max="4" width="24.33203125" customWidth="1"/>
    <col min="5" max="5" width="13.44140625" customWidth="1"/>
    <col min="6" max="6" width="14" customWidth="1"/>
    <col min="7" max="7" width="15" customWidth="1"/>
    <col min="8" max="8" width="12.44140625" customWidth="1"/>
    <col min="9" max="9" width="17" customWidth="1"/>
    <col min="10" max="10" width="12.33203125" customWidth="1"/>
  </cols>
  <sheetData>
    <row r="2" spans="1:10" x14ac:dyDescent="0.3">
      <c r="G2" s="42" t="str">
        <f>HYPERLINK("#'PA-1'!A1","☰ PROGRAMA")</f>
        <v>☰ PROGRAMA</v>
      </c>
      <c r="H2" s="13" t="str">
        <f>HYPERLINK("#INDICE!A1","◄ ÍNDICE")</f>
        <v>◄ ÍNDICE</v>
      </c>
    </row>
    <row r="3" spans="1:10" x14ac:dyDescent="0.3">
      <c r="C3" s="25"/>
    </row>
    <row r="4" spans="1:10" ht="20.3" customHeight="1" x14ac:dyDescent="0.35">
      <c r="J4" s="63" t="s">
        <v>18</v>
      </c>
    </row>
    <row r="5" spans="1:10" x14ac:dyDescent="0.3">
      <c r="D5" s="113" t="s">
        <v>383</v>
      </c>
    </row>
    <row r="6" spans="1:10" x14ac:dyDescent="0.3">
      <c r="D6" s="113" t="s">
        <v>162</v>
      </c>
      <c r="I6" s="15" t="s">
        <v>35</v>
      </c>
      <c r="J6" s="15"/>
    </row>
    <row r="7" spans="1:10" x14ac:dyDescent="0.3">
      <c r="A7" s="59"/>
      <c r="D7" s="113" t="s">
        <v>384</v>
      </c>
      <c r="I7" s="15" t="s">
        <v>36</v>
      </c>
      <c r="J7" s="15"/>
    </row>
    <row r="8" spans="1:10" x14ac:dyDescent="0.3">
      <c r="D8" s="113" t="s">
        <v>385</v>
      </c>
      <c r="I8" s="15" t="s">
        <v>38</v>
      </c>
      <c r="J8" s="15"/>
    </row>
    <row r="9" spans="1:10" x14ac:dyDescent="0.3">
      <c r="I9" s="15" t="s">
        <v>39</v>
      </c>
      <c r="J9" s="15"/>
    </row>
    <row r="10" spans="1:10" ht="18.850000000000001" customHeight="1" x14ac:dyDescent="0.3">
      <c r="A10" s="166" t="s">
        <v>163</v>
      </c>
      <c r="B10" s="115"/>
      <c r="C10" s="115"/>
      <c r="D10" s="115"/>
      <c r="E10" s="115"/>
      <c r="F10" s="115"/>
      <c r="G10" s="115"/>
    </row>
    <row r="11" spans="1:10" x14ac:dyDescent="0.3">
      <c r="A11" t="s">
        <v>128</v>
      </c>
      <c r="B11" s="162" t="s">
        <v>164</v>
      </c>
      <c r="C11" s="115"/>
      <c r="D11" t="s">
        <v>129</v>
      </c>
      <c r="E11" s="162" t="s">
        <v>165</v>
      </c>
      <c r="F11" s="115"/>
    </row>
    <row r="12" spans="1:10" x14ac:dyDescent="0.3">
      <c r="A12" t="s">
        <v>166</v>
      </c>
      <c r="B12" s="162" t="s">
        <v>167</v>
      </c>
      <c r="C12" s="115"/>
      <c r="D12" t="s">
        <v>131</v>
      </c>
      <c r="E12" s="162" t="s">
        <v>168</v>
      </c>
      <c r="F12" s="115"/>
    </row>
    <row r="13" spans="1:10" x14ac:dyDescent="0.3">
      <c r="A13" t="s">
        <v>169</v>
      </c>
      <c r="B13" s="162" t="s">
        <v>170</v>
      </c>
      <c r="C13" s="115"/>
      <c r="D13" t="s">
        <v>171</v>
      </c>
      <c r="E13" s="176">
        <v>500000</v>
      </c>
      <c r="F13" s="115"/>
    </row>
    <row r="15" spans="1:10" x14ac:dyDescent="0.3">
      <c r="A15" s="164" t="s">
        <v>172</v>
      </c>
      <c r="B15" s="115"/>
      <c r="C15" s="115"/>
      <c r="D15" s="115"/>
      <c r="E15" s="115"/>
      <c r="F15" s="115"/>
      <c r="G15" s="115"/>
    </row>
    <row r="16" spans="1:10" x14ac:dyDescent="0.3">
      <c r="A16" s="49" t="s">
        <v>133</v>
      </c>
      <c r="B16" s="49" t="s">
        <v>134</v>
      </c>
      <c r="C16" s="49" t="s">
        <v>135</v>
      </c>
    </row>
    <row r="17" spans="1:7" x14ac:dyDescent="0.3">
      <c r="A17" s="53">
        <v>100000</v>
      </c>
      <c r="B17" s="51">
        <v>8</v>
      </c>
      <c r="C17" s="52">
        <f t="shared" ref="C17:C27" si="0">A17*B17</f>
        <v>800000</v>
      </c>
    </row>
    <row r="18" spans="1:7" x14ac:dyDescent="0.3">
      <c r="A18" s="53">
        <v>50000</v>
      </c>
      <c r="B18" s="51">
        <v>5</v>
      </c>
      <c r="C18" s="52">
        <f t="shared" si="0"/>
        <v>250000</v>
      </c>
    </row>
    <row r="19" spans="1:7" x14ac:dyDescent="0.3">
      <c r="A19" s="53">
        <v>20000</v>
      </c>
      <c r="B19" s="51">
        <v>1</v>
      </c>
      <c r="C19" s="52">
        <f t="shared" si="0"/>
        <v>20000</v>
      </c>
    </row>
    <row r="20" spans="1:7" x14ac:dyDescent="0.3">
      <c r="A20" s="53">
        <v>10000</v>
      </c>
      <c r="B20" s="51">
        <v>2</v>
      </c>
      <c r="C20" s="52">
        <f t="shared" si="0"/>
        <v>20000</v>
      </c>
    </row>
    <row r="21" spans="1:7" x14ac:dyDescent="0.3">
      <c r="A21" s="53">
        <v>5000</v>
      </c>
      <c r="B21" s="51">
        <v>2</v>
      </c>
      <c r="C21" s="52">
        <f t="shared" si="0"/>
        <v>10000</v>
      </c>
    </row>
    <row r="22" spans="1:7" x14ac:dyDescent="0.3">
      <c r="A22" s="53">
        <v>2000</v>
      </c>
      <c r="B22" s="51">
        <v>5</v>
      </c>
      <c r="C22" s="52">
        <f t="shared" si="0"/>
        <v>10000</v>
      </c>
    </row>
    <row r="23" spans="1:7" x14ac:dyDescent="0.3">
      <c r="A23" s="53">
        <v>1000</v>
      </c>
      <c r="B23" s="51">
        <v>3</v>
      </c>
      <c r="C23" s="52">
        <f t="shared" si="0"/>
        <v>3000</v>
      </c>
    </row>
    <row r="24" spans="1:7" x14ac:dyDescent="0.3">
      <c r="A24" s="53">
        <v>500</v>
      </c>
      <c r="B24" s="51">
        <v>6</v>
      </c>
      <c r="C24" s="52">
        <f t="shared" si="0"/>
        <v>3000</v>
      </c>
    </row>
    <row r="25" spans="1:7" x14ac:dyDescent="0.3">
      <c r="A25" s="53">
        <v>200</v>
      </c>
      <c r="B25" s="51">
        <v>5</v>
      </c>
      <c r="C25" s="52">
        <f t="shared" si="0"/>
        <v>1000</v>
      </c>
    </row>
    <row r="26" spans="1:7" x14ac:dyDescent="0.3">
      <c r="A26" s="53">
        <v>100</v>
      </c>
      <c r="B26" s="51">
        <v>5</v>
      </c>
      <c r="C26" s="52">
        <f t="shared" si="0"/>
        <v>500</v>
      </c>
    </row>
    <row r="27" spans="1:7" x14ac:dyDescent="0.3">
      <c r="A27" s="53">
        <v>50</v>
      </c>
      <c r="B27" s="51">
        <v>10</v>
      </c>
      <c r="C27" s="52">
        <f t="shared" si="0"/>
        <v>500</v>
      </c>
    </row>
    <row r="28" spans="1:7" x14ac:dyDescent="0.3">
      <c r="A28" s="160" t="s">
        <v>173</v>
      </c>
      <c r="B28" s="142"/>
      <c r="C28" s="55">
        <f>SUM(C17:C27)</f>
        <v>1118000</v>
      </c>
    </row>
    <row r="30" spans="1:7" x14ac:dyDescent="0.3">
      <c r="A30" s="164" t="s">
        <v>174</v>
      </c>
      <c r="B30" s="115"/>
      <c r="C30" s="115"/>
      <c r="D30" s="115"/>
      <c r="E30" s="115"/>
      <c r="F30" s="115"/>
      <c r="G30" s="115"/>
    </row>
    <row r="31" spans="1:7" ht="22.6" customHeight="1" x14ac:dyDescent="0.3">
      <c r="A31" s="49" t="s">
        <v>175</v>
      </c>
      <c r="B31" s="49" t="s">
        <v>151</v>
      </c>
      <c r="C31" s="49" t="s">
        <v>140</v>
      </c>
      <c r="D31" s="49" t="s">
        <v>153</v>
      </c>
      <c r="E31" s="49" t="s">
        <v>176</v>
      </c>
      <c r="F31" s="49" t="s">
        <v>177</v>
      </c>
      <c r="G31" s="49" t="s">
        <v>178</v>
      </c>
    </row>
    <row r="32" spans="1:7" x14ac:dyDescent="0.3">
      <c r="A32" s="64">
        <v>1</v>
      </c>
      <c r="B32" s="65"/>
      <c r="C32" s="66"/>
      <c r="D32" s="66"/>
      <c r="E32" s="65"/>
      <c r="F32" s="65"/>
      <c r="G32" s="67"/>
    </row>
    <row r="33" spans="1:7" x14ac:dyDescent="0.3">
      <c r="A33" s="64">
        <v>2</v>
      </c>
      <c r="B33" s="65" t="s">
        <v>179</v>
      </c>
      <c r="C33" s="66" t="s">
        <v>180</v>
      </c>
      <c r="D33" s="66" t="s">
        <v>181</v>
      </c>
      <c r="E33" s="65" t="s">
        <v>182</v>
      </c>
      <c r="F33" s="65" t="s">
        <v>183</v>
      </c>
      <c r="G33" s="67">
        <v>8</v>
      </c>
    </row>
    <row r="34" spans="1:7" x14ac:dyDescent="0.3">
      <c r="A34" s="64">
        <v>3</v>
      </c>
      <c r="B34" s="65" t="s">
        <v>184</v>
      </c>
      <c r="C34" s="66" t="s">
        <v>185</v>
      </c>
      <c r="D34" s="66" t="s">
        <v>186</v>
      </c>
      <c r="E34" s="65" t="s">
        <v>187</v>
      </c>
      <c r="F34" s="65" t="s">
        <v>183</v>
      </c>
      <c r="G34" s="67">
        <v>45000</v>
      </c>
    </row>
    <row r="35" spans="1:7" x14ac:dyDescent="0.3">
      <c r="A35" s="64">
        <v>4</v>
      </c>
      <c r="B35" s="65" t="s">
        <v>188</v>
      </c>
      <c r="C35" s="66" t="s">
        <v>189</v>
      </c>
      <c r="D35" s="66" t="s">
        <v>190</v>
      </c>
      <c r="E35" s="65" t="s">
        <v>191</v>
      </c>
      <c r="F35" s="65" t="s">
        <v>183</v>
      </c>
      <c r="G35" s="67">
        <v>8000</v>
      </c>
    </row>
    <row r="36" spans="1:7" x14ac:dyDescent="0.3">
      <c r="A36" s="64">
        <v>5</v>
      </c>
      <c r="B36" s="65" t="s">
        <v>192</v>
      </c>
      <c r="C36" s="66" t="s">
        <v>193</v>
      </c>
      <c r="D36" s="66" t="s">
        <v>194</v>
      </c>
      <c r="E36" s="65" t="s">
        <v>195</v>
      </c>
      <c r="F36" s="65" t="s">
        <v>183</v>
      </c>
      <c r="G36" s="67">
        <v>22000</v>
      </c>
    </row>
    <row r="37" spans="1:7" x14ac:dyDescent="0.3">
      <c r="A37" s="64">
        <v>6</v>
      </c>
      <c r="B37" s="65" t="s">
        <v>196</v>
      </c>
      <c r="C37" s="66" t="s">
        <v>197</v>
      </c>
      <c r="D37" s="66" t="s">
        <v>198</v>
      </c>
      <c r="E37" s="65" t="s">
        <v>199</v>
      </c>
      <c r="F37" s="65" t="s">
        <v>183</v>
      </c>
      <c r="G37" s="67">
        <v>12000</v>
      </c>
    </row>
    <row r="38" spans="1:7" x14ac:dyDescent="0.3">
      <c r="A38" s="64">
        <v>7</v>
      </c>
      <c r="B38" s="65" t="s">
        <v>200</v>
      </c>
      <c r="C38" s="66" t="s">
        <v>201</v>
      </c>
      <c r="D38" s="66" t="s">
        <v>202</v>
      </c>
      <c r="E38" s="65" t="s">
        <v>203</v>
      </c>
      <c r="F38" s="65" t="s">
        <v>183</v>
      </c>
      <c r="G38" s="67">
        <v>18000</v>
      </c>
    </row>
    <row r="39" spans="1:7" x14ac:dyDescent="0.3">
      <c r="A39" s="64">
        <v>8</v>
      </c>
      <c r="B39" s="65" t="s">
        <v>200</v>
      </c>
      <c r="C39" s="66" t="s">
        <v>204</v>
      </c>
      <c r="D39" s="66" t="s">
        <v>205</v>
      </c>
      <c r="E39" s="65" t="s">
        <v>206</v>
      </c>
      <c r="F39" s="65" t="s">
        <v>183</v>
      </c>
      <c r="G39" s="67">
        <v>8</v>
      </c>
    </row>
    <row r="40" spans="1:7" x14ac:dyDescent="0.3">
      <c r="A40" s="64">
        <v>9</v>
      </c>
      <c r="B40" s="65" t="s">
        <v>207</v>
      </c>
      <c r="C40" s="66" t="s">
        <v>208</v>
      </c>
      <c r="D40" s="66" t="s">
        <v>209</v>
      </c>
      <c r="E40" s="65" t="s">
        <v>210</v>
      </c>
      <c r="F40" s="65" t="s">
        <v>183</v>
      </c>
      <c r="G40" s="67">
        <v>15000</v>
      </c>
    </row>
    <row r="41" spans="1:7" x14ac:dyDescent="0.3">
      <c r="A41" s="64">
        <v>10</v>
      </c>
      <c r="B41" s="65"/>
      <c r="C41" s="66"/>
      <c r="D41" s="66"/>
      <c r="E41" s="65"/>
      <c r="F41" s="65"/>
      <c r="G41" s="67"/>
    </row>
    <row r="42" spans="1:7" x14ac:dyDescent="0.3">
      <c r="A42" s="64">
        <v>11</v>
      </c>
      <c r="B42" s="65"/>
      <c r="C42" s="66"/>
      <c r="D42" s="66"/>
      <c r="E42" s="65"/>
      <c r="F42" s="65"/>
      <c r="G42" s="67"/>
    </row>
    <row r="43" spans="1:7" x14ac:dyDescent="0.3">
      <c r="A43" s="64">
        <v>12</v>
      </c>
      <c r="B43" s="65"/>
      <c r="C43" s="66"/>
      <c r="D43" s="66"/>
      <c r="E43" s="65"/>
      <c r="F43" s="65"/>
      <c r="G43" s="67"/>
    </row>
    <row r="44" spans="1:7" x14ac:dyDescent="0.3">
      <c r="A44" s="64">
        <v>13</v>
      </c>
      <c r="B44" s="65"/>
      <c r="C44" s="66"/>
      <c r="D44" s="66"/>
      <c r="E44" s="65"/>
      <c r="F44" s="65"/>
      <c r="G44" s="67"/>
    </row>
    <row r="45" spans="1:7" x14ac:dyDescent="0.3">
      <c r="A45" s="64">
        <v>14</v>
      </c>
      <c r="B45" s="65"/>
      <c r="C45" s="66"/>
      <c r="D45" s="66"/>
      <c r="E45" s="65"/>
      <c r="F45" s="65"/>
      <c r="G45" s="67"/>
    </row>
    <row r="46" spans="1:7" x14ac:dyDescent="0.3">
      <c r="A46" s="64">
        <v>15</v>
      </c>
      <c r="B46" s="65"/>
      <c r="C46" s="66"/>
      <c r="D46" s="66"/>
      <c r="E46" s="65"/>
      <c r="F46" s="65"/>
      <c r="G46" s="67"/>
    </row>
    <row r="47" spans="1:7" x14ac:dyDescent="0.3">
      <c r="A47" s="160" t="s">
        <v>211</v>
      </c>
      <c r="B47" s="141"/>
      <c r="C47" s="141"/>
      <c r="D47" s="141"/>
      <c r="E47" s="141"/>
      <c r="F47" s="142"/>
      <c r="G47" s="55">
        <f>SUM(G32:G46)</f>
        <v>120016</v>
      </c>
    </row>
    <row r="49" spans="1:7" x14ac:dyDescent="0.3">
      <c r="A49" s="164" t="s">
        <v>212</v>
      </c>
      <c r="B49" s="115"/>
      <c r="C49" s="115"/>
      <c r="D49" s="115"/>
      <c r="E49" s="115"/>
      <c r="F49" s="115"/>
      <c r="G49" s="115"/>
    </row>
    <row r="50" spans="1:7" x14ac:dyDescent="0.3">
      <c r="A50" s="49" t="s">
        <v>175</v>
      </c>
      <c r="B50" s="49" t="s">
        <v>151</v>
      </c>
      <c r="C50" s="49" t="s">
        <v>213</v>
      </c>
      <c r="D50" s="49" t="s">
        <v>140</v>
      </c>
      <c r="E50" s="49" t="s">
        <v>214</v>
      </c>
      <c r="F50" s="49" t="s">
        <v>215</v>
      </c>
      <c r="G50" s="49" t="s">
        <v>178</v>
      </c>
    </row>
    <row r="51" spans="1:7" x14ac:dyDescent="0.3">
      <c r="A51" s="64">
        <v>1</v>
      </c>
      <c r="B51" s="66" t="s">
        <v>196</v>
      </c>
      <c r="C51" s="66" t="s">
        <v>216</v>
      </c>
      <c r="D51" s="66" t="s">
        <v>217</v>
      </c>
      <c r="E51" s="65" t="s">
        <v>183</v>
      </c>
      <c r="F51" s="66" t="s">
        <v>218</v>
      </c>
      <c r="G51" s="67">
        <v>100</v>
      </c>
    </row>
    <row r="52" spans="1:7" x14ac:dyDescent="0.3">
      <c r="A52" s="64">
        <v>2</v>
      </c>
      <c r="B52" s="66" t="s">
        <v>200</v>
      </c>
      <c r="C52" s="66" t="s">
        <v>219</v>
      </c>
      <c r="D52" s="66" t="s">
        <v>220</v>
      </c>
      <c r="E52" s="65" t="s">
        <v>183</v>
      </c>
      <c r="F52" s="66" t="s">
        <v>218</v>
      </c>
      <c r="G52" s="67">
        <v>30000</v>
      </c>
    </row>
    <row r="53" spans="1:7" x14ac:dyDescent="0.3">
      <c r="A53" s="64">
        <v>3</v>
      </c>
      <c r="B53" s="66" t="s">
        <v>207</v>
      </c>
      <c r="C53" s="66" t="s">
        <v>221</v>
      </c>
      <c r="D53" s="66" t="s">
        <v>222</v>
      </c>
      <c r="E53" s="65" t="s">
        <v>183</v>
      </c>
      <c r="F53" s="66" t="s">
        <v>218</v>
      </c>
      <c r="G53" s="67">
        <v>53000</v>
      </c>
    </row>
    <row r="54" spans="1:7" x14ac:dyDescent="0.3">
      <c r="A54" s="64">
        <v>4</v>
      </c>
      <c r="B54" s="66"/>
      <c r="C54" s="66"/>
      <c r="D54" s="66"/>
      <c r="E54" s="66"/>
      <c r="F54" s="66"/>
      <c r="G54" s="67"/>
    </row>
    <row r="55" spans="1:7" x14ac:dyDescent="0.3">
      <c r="A55" s="64">
        <v>5</v>
      </c>
      <c r="B55" s="66"/>
      <c r="C55" s="66"/>
      <c r="D55" s="66"/>
      <c r="E55" s="66"/>
      <c r="F55" s="66"/>
      <c r="G55" s="67"/>
    </row>
    <row r="56" spans="1:7" x14ac:dyDescent="0.3">
      <c r="A56" s="64">
        <v>6</v>
      </c>
      <c r="B56" s="66"/>
      <c r="C56" s="66"/>
      <c r="D56" s="66"/>
      <c r="E56" s="66"/>
      <c r="F56" s="66"/>
      <c r="G56" s="67"/>
    </row>
    <row r="57" spans="1:7" x14ac:dyDescent="0.3">
      <c r="A57" s="64">
        <v>7</v>
      </c>
      <c r="B57" s="66"/>
      <c r="C57" s="66"/>
      <c r="D57" s="66"/>
      <c r="E57" s="66"/>
      <c r="F57" s="66"/>
      <c r="G57" s="67"/>
    </row>
    <row r="58" spans="1:7" x14ac:dyDescent="0.3">
      <c r="A58" s="64">
        <v>8</v>
      </c>
      <c r="B58" s="66"/>
      <c r="C58" s="66"/>
      <c r="D58" s="66"/>
      <c r="E58" s="66"/>
      <c r="F58" s="66"/>
      <c r="G58" s="67"/>
    </row>
    <row r="59" spans="1:7" x14ac:dyDescent="0.3">
      <c r="A59" s="64">
        <v>9</v>
      </c>
      <c r="B59" s="66"/>
      <c r="C59" s="66"/>
      <c r="D59" s="66"/>
      <c r="E59" s="66"/>
      <c r="F59" s="66"/>
      <c r="G59" s="67"/>
    </row>
    <row r="60" spans="1:7" x14ac:dyDescent="0.3">
      <c r="A60" s="64">
        <v>10</v>
      </c>
      <c r="B60" s="66"/>
      <c r="C60" s="66"/>
      <c r="D60" s="66"/>
      <c r="E60" s="66"/>
      <c r="F60" s="66"/>
      <c r="G60" s="67"/>
    </row>
    <row r="61" spans="1:7" x14ac:dyDescent="0.3">
      <c r="A61" s="160" t="s">
        <v>223</v>
      </c>
      <c r="B61" s="141"/>
      <c r="C61" s="141"/>
      <c r="D61" s="141"/>
      <c r="E61" s="141"/>
      <c r="F61" s="142"/>
      <c r="G61" s="55">
        <f>SUM(G51:G60)</f>
        <v>83100</v>
      </c>
    </row>
    <row r="63" spans="1:7" x14ac:dyDescent="0.3">
      <c r="A63" s="164" t="s">
        <v>224</v>
      </c>
      <c r="B63" s="115"/>
      <c r="C63" s="115"/>
      <c r="D63" s="115"/>
      <c r="E63" s="115"/>
      <c r="F63" s="115"/>
      <c r="G63" s="115"/>
    </row>
    <row r="64" spans="1:7" x14ac:dyDescent="0.3">
      <c r="A64" s="167" t="s">
        <v>140</v>
      </c>
      <c r="B64" s="141"/>
      <c r="C64" s="141"/>
      <c r="D64" s="141"/>
      <c r="E64" s="141"/>
      <c r="F64" s="142"/>
      <c r="G64" s="49" t="s">
        <v>104</v>
      </c>
    </row>
    <row r="65" spans="1:7" x14ac:dyDescent="0.3">
      <c r="A65" s="147" t="s">
        <v>225</v>
      </c>
      <c r="B65" s="141"/>
      <c r="C65" s="141"/>
      <c r="D65" s="141"/>
      <c r="E65" s="141"/>
      <c r="F65" s="142"/>
      <c r="G65" s="52">
        <f>C28</f>
        <v>1118000</v>
      </c>
    </row>
    <row r="66" spans="1:7" x14ac:dyDescent="0.3">
      <c r="A66" s="147" t="s">
        <v>226</v>
      </c>
      <c r="B66" s="141"/>
      <c r="C66" s="141"/>
      <c r="D66" s="141"/>
      <c r="E66" s="141"/>
      <c r="F66" s="142"/>
      <c r="G66" s="52">
        <f>G47</f>
        <v>120016</v>
      </c>
    </row>
    <row r="67" spans="1:7" x14ac:dyDescent="0.3">
      <c r="A67" s="147" t="s">
        <v>227</v>
      </c>
      <c r="B67" s="141"/>
      <c r="C67" s="141"/>
      <c r="D67" s="141"/>
      <c r="E67" s="141"/>
      <c r="F67" s="142"/>
      <c r="G67" s="52">
        <f>G61</f>
        <v>83100</v>
      </c>
    </row>
    <row r="68" spans="1:7" x14ac:dyDescent="0.3">
      <c r="A68" s="160" t="s">
        <v>228</v>
      </c>
      <c r="B68" s="141"/>
      <c r="C68" s="141"/>
      <c r="D68" s="141"/>
      <c r="E68" s="141"/>
      <c r="F68" s="142"/>
      <c r="G68" s="55">
        <f>SUM(G65:G67)</f>
        <v>1321116</v>
      </c>
    </row>
    <row r="69" spans="1:7" x14ac:dyDescent="0.3">
      <c r="A69" s="147" t="s">
        <v>229</v>
      </c>
      <c r="B69" s="141"/>
      <c r="C69" s="141"/>
      <c r="D69" s="141"/>
      <c r="E69" s="141"/>
      <c r="F69" s="142"/>
      <c r="G69" s="52">
        <f>E13</f>
        <v>500000</v>
      </c>
    </row>
    <row r="70" spans="1:7" x14ac:dyDescent="0.3">
      <c r="A70" s="160" t="s">
        <v>230</v>
      </c>
      <c r="B70" s="141"/>
      <c r="C70" s="141"/>
      <c r="D70" s="141"/>
      <c r="E70" s="141"/>
      <c r="F70" s="142"/>
      <c r="G70" s="68">
        <f>G68-G69</f>
        <v>821116</v>
      </c>
    </row>
    <row r="72" spans="1:7" x14ac:dyDescent="0.3">
      <c r="A72" s="164" t="s">
        <v>231</v>
      </c>
      <c r="B72" s="115"/>
      <c r="C72" s="115"/>
      <c r="D72" s="115"/>
      <c r="E72" s="115"/>
      <c r="F72" s="115"/>
      <c r="G72" s="115"/>
    </row>
    <row r="73" spans="1:7" x14ac:dyDescent="0.3">
      <c r="A73" s="165"/>
      <c r="B73" s="150"/>
      <c r="C73" s="150"/>
      <c r="D73" s="150"/>
      <c r="E73" s="150"/>
      <c r="F73" s="150"/>
      <c r="G73" s="151"/>
    </row>
    <row r="74" spans="1:7" x14ac:dyDescent="0.3">
      <c r="A74" s="154"/>
      <c r="B74" s="115"/>
      <c r="C74" s="115"/>
      <c r="D74" s="115"/>
      <c r="E74" s="115"/>
      <c r="F74" s="115"/>
      <c r="G74" s="155"/>
    </row>
    <row r="75" spans="1:7" x14ac:dyDescent="0.3">
      <c r="A75" s="154"/>
      <c r="B75" s="115"/>
      <c r="C75" s="115"/>
      <c r="D75" s="115"/>
      <c r="E75" s="115"/>
      <c r="F75" s="115"/>
      <c r="G75" s="155"/>
    </row>
    <row r="76" spans="1:7" x14ac:dyDescent="0.3">
      <c r="A76" s="154"/>
      <c r="B76" s="115"/>
      <c r="C76" s="115"/>
      <c r="D76" s="115"/>
      <c r="E76" s="115"/>
      <c r="F76" s="115"/>
      <c r="G76" s="155"/>
    </row>
    <row r="77" spans="1:7" x14ac:dyDescent="0.3">
      <c r="A77" s="154"/>
      <c r="B77" s="115"/>
      <c r="C77" s="115"/>
      <c r="D77" s="115"/>
      <c r="E77" s="115"/>
      <c r="F77" s="115"/>
      <c r="G77" s="155"/>
    </row>
    <row r="78" spans="1:7" x14ac:dyDescent="0.3">
      <c r="A78" s="156"/>
      <c r="B78" s="136"/>
      <c r="C78" s="136"/>
      <c r="D78" s="136"/>
      <c r="E78" s="136"/>
      <c r="F78" s="136"/>
      <c r="G78" s="157"/>
    </row>
    <row r="80" spans="1:7" x14ac:dyDescent="0.3">
      <c r="E80" s="175"/>
      <c r="F80" s="115"/>
      <c r="G80" s="115"/>
    </row>
    <row r="88" spans="1:7" x14ac:dyDescent="0.3">
      <c r="A88" s="168"/>
      <c r="B88" s="136"/>
      <c r="C88" s="136"/>
      <c r="E88" s="40" t="s">
        <v>123</v>
      </c>
      <c r="F88" s="23"/>
      <c r="G88" s="23"/>
    </row>
    <row r="89" spans="1:7" x14ac:dyDescent="0.3">
      <c r="A89" s="25" t="s">
        <v>232</v>
      </c>
      <c r="E89" s="41" t="s">
        <v>125</v>
      </c>
    </row>
    <row r="106" spans="1:1" x14ac:dyDescent="0.3">
      <c r="A106" s="24" t="str">
        <f>HYPERLINK("#'INDICE'!A9","&lt;&lt; Volver al Indice")</f>
        <v>&lt;&lt; Volver al Indice</v>
      </c>
    </row>
  </sheetData>
  <mergeCells count="25">
    <mergeCell ref="A10:G10"/>
    <mergeCell ref="B12:C12"/>
    <mergeCell ref="A47:F47"/>
    <mergeCell ref="E80:G80"/>
    <mergeCell ref="B11:C11"/>
    <mergeCell ref="A30:G30"/>
    <mergeCell ref="E13:F13"/>
    <mergeCell ref="A15:G15"/>
    <mergeCell ref="A49:G49"/>
    <mergeCell ref="B13:C13"/>
    <mergeCell ref="A68:F68"/>
    <mergeCell ref="E11:F11"/>
    <mergeCell ref="A67:F67"/>
    <mergeCell ref="A64:F64"/>
    <mergeCell ref="A70:F70"/>
    <mergeCell ref="E12:F12"/>
    <mergeCell ref="A88:C88"/>
    <mergeCell ref="A28:B28"/>
    <mergeCell ref="A61:F61"/>
    <mergeCell ref="A69:F69"/>
    <mergeCell ref="A65:F65"/>
    <mergeCell ref="A66:F66"/>
    <mergeCell ref="A72:G72"/>
    <mergeCell ref="A73:G78"/>
    <mergeCell ref="A63:G6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70"/>
  <sheetViews>
    <sheetView workbookViewId="0">
      <selection activeCell="D5" sqref="D5:D8"/>
    </sheetView>
  </sheetViews>
  <sheetFormatPr baseColWidth="10" defaultColWidth="9.109375" defaultRowHeight="15.05" x14ac:dyDescent="0.3"/>
  <cols>
    <col min="3" max="3" width="22.33203125" customWidth="1"/>
    <col min="4" max="4" width="13.33203125" customWidth="1"/>
    <col min="7" max="7" width="15" customWidth="1"/>
    <col min="8" max="8" width="15.109375" customWidth="1"/>
    <col min="9" max="9" width="17" customWidth="1"/>
    <col min="10" max="10" width="14.109375" customWidth="1"/>
  </cols>
  <sheetData>
    <row r="2" spans="1:10" x14ac:dyDescent="0.3">
      <c r="G2" s="42" t="str">
        <f>HYPERLINK("#'PA-1'!A1","☰ PROGRAMA")</f>
        <v>☰ PROGRAMA</v>
      </c>
      <c r="H2" s="13" t="str">
        <f>HYPERLINK("#INDICE!A1","◄ ÍNDICE")</f>
        <v>◄ ÍNDICE</v>
      </c>
    </row>
    <row r="3" spans="1:10" x14ac:dyDescent="0.3">
      <c r="D3" s="25"/>
    </row>
    <row r="4" spans="1:10" ht="27" customHeight="1" x14ac:dyDescent="0.3">
      <c r="J4" s="58" t="s">
        <v>20</v>
      </c>
    </row>
    <row r="5" spans="1:10" x14ac:dyDescent="0.3">
      <c r="D5" s="113" t="s">
        <v>383</v>
      </c>
    </row>
    <row r="6" spans="1:10" x14ac:dyDescent="0.3">
      <c r="D6" s="113" t="s">
        <v>162</v>
      </c>
      <c r="I6" s="15" t="s">
        <v>35</v>
      </c>
      <c r="J6" s="15"/>
    </row>
    <row r="7" spans="1:10" x14ac:dyDescent="0.3">
      <c r="D7" s="113" t="s">
        <v>384</v>
      </c>
      <c r="I7" s="15" t="s">
        <v>36</v>
      </c>
      <c r="J7" s="15"/>
    </row>
    <row r="8" spans="1:10" x14ac:dyDescent="0.3">
      <c r="D8" s="113" t="s">
        <v>385</v>
      </c>
      <c r="I8" s="15" t="s">
        <v>38</v>
      </c>
      <c r="J8" s="15"/>
    </row>
    <row r="9" spans="1:10" x14ac:dyDescent="0.3">
      <c r="I9" s="15" t="s">
        <v>39</v>
      </c>
      <c r="J9" s="15"/>
    </row>
    <row r="11" spans="1:10" ht="29.95" customHeight="1" x14ac:dyDescent="0.3">
      <c r="A11" s="139" t="s">
        <v>233</v>
      </c>
      <c r="B11" s="115"/>
      <c r="C11" s="115"/>
      <c r="D11" s="115"/>
      <c r="E11" s="115"/>
      <c r="F11" s="115"/>
      <c r="G11" s="115"/>
      <c r="H11" s="115"/>
    </row>
    <row r="12" spans="1:10" x14ac:dyDescent="0.3">
      <c r="A12" s="59" t="s">
        <v>128</v>
      </c>
      <c r="B12" s="148"/>
      <c r="C12" s="142"/>
      <c r="D12" s="59" t="s">
        <v>234</v>
      </c>
      <c r="E12" s="148"/>
      <c r="F12" s="142"/>
      <c r="G12" s="59" t="s">
        <v>235</v>
      </c>
      <c r="H12" s="36"/>
    </row>
    <row r="13" spans="1:10" x14ac:dyDescent="0.3">
      <c r="A13" s="59" t="s">
        <v>236</v>
      </c>
      <c r="B13" s="148"/>
      <c r="C13" s="142"/>
      <c r="D13" s="59" t="s">
        <v>237</v>
      </c>
      <c r="E13" s="148"/>
      <c r="F13" s="142"/>
      <c r="G13" s="59" t="s">
        <v>149</v>
      </c>
      <c r="H13" s="60">
        <f ca="1">TODAY()</f>
        <v>45998</v>
      </c>
    </row>
    <row r="15" spans="1:10" x14ac:dyDescent="0.3">
      <c r="A15" s="138" t="s">
        <v>238</v>
      </c>
      <c r="B15" s="115"/>
      <c r="C15" s="115"/>
      <c r="D15" s="115"/>
      <c r="E15" s="115"/>
      <c r="F15" s="115"/>
      <c r="G15" s="115"/>
      <c r="H15" s="115"/>
    </row>
    <row r="16" spans="1:10" x14ac:dyDescent="0.3">
      <c r="A16" s="152" t="s">
        <v>239</v>
      </c>
      <c r="B16" s="141"/>
      <c r="C16" s="141"/>
      <c r="D16" s="141"/>
      <c r="E16" s="142"/>
      <c r="F16" s="146"/>
      <c r="G16" s="141"/>
      <c r="H16" s="142"/>
    </row>
    <row r="17" spans="1:9" x14ac:dyDescent="0.3">
      <c r="A17" s="152" t="s">
        <v>240</v>
      </c>
      <c r="B17" s="141"/>
      <c r="C17" s="141"/>
      <c r="D17" s="141"/>
      <c r="E17" s="142"/>
      <c r="F17" s="146"/>
      <c r="G17" s="141"/>
      <c r="H17" s="142"/>
    </row>
    <row r="19" spans="1:9" x14ac:dyDescent="0.3">
      <c r="A19" s="138" t="s">
        <v>241</v>
      </c>
      <c r="B19" s="115"/>
      <c r="C19" s="115"/>
      <c r="D19" s="115"/>
      <c r="E19" s="115"/>
      <c r="F19" s="115"/>
      <c r="G19" s="115"/>
      <c r="H19" s="115"/>
    </row>
    <row r="20" spans="1:9" x14ac:dyDescent="0.3">
      <c r="A20" s="69" t="s">
        <v>151</v>
      </c>
      <c r="B20" s="69" t="s">
        <v>242</v>
      </c>
      <c r="C20" s="69" t="s">
        <v>140</v>
      </c>
      <c r="D20" s="69" t="s">
        <v>104</v>
      </c>
      <c r="F20" s="69"/>
      <c r="G20" s="69"/>
      <c r="H20" s="69"/>
      <c r="I20" s="69"/>
    </row>
    <row r="21" spans="1:9" x14ac:dyDescent="0.3">
      <c r="A21" s="36"/>
      <c r="B21" s="36"/>
      <c r="C21" s="36"/>
      <c r="D21" s="28">
        <v>100</v>
      </c>
      <c r="E21" s="15"/>
      <c r="F21" s="36"/>
      <c r="G21" s="36"/>
      <c r="H21" s="36"/>
    </row>
    <row r="22" spans="1:9" x14ac:dyDescent="0.3">
      <c r="A22" s="36"/>
      <c r="B22" s="36"/>
      <c r="C22" s="36"/>
      <c r="D22" s="28"/>
      <c r="E22" s="15"/>
      <c r="F22" s="36"/>
      <c r="G22" s="36"/>
      <c r="H22" s="36"/>
    </row>
    <row r="23" spans="1:9" x14ac:dyDescent="0.3">
      <c r="A23" s="36"/>
      <c r="B23" s="36"/>
      <c r="C23" s="36"/>
      <c r="D23" s="28"/>
      <c r="E23" s="15"/>
      <c r="F23" s="36"/>
      <c r="G23" s="36"/>
      <c r="H23" s="36"/>
    </row>
    <row r="24" spans="1:9" x14ac:dyDescent="0.3">
      <c r="A24" s="36"/>
      <c r="B24" s="36"/>
      <c r="C24" s="36"/>
      <c r="D24" s="28"/>
      <c r="E24" s="15"/>
      <c r="F24" s="36"/>
      <c r="G24" s="36"/>
      <c r="H24" s="36"/>
    </row>
    <row r="25" spans="1:9" x14ac:dyDescent="0.3">
      <c r="A25" s="36"/>
      <c r="B25" s="36"/>
      <c r="C25" s="36"/>
      <c r="D25" s="28"/>
      <c r="E25" s="15"/>
      <c r="F25" s="36"/>
      <c r="G25" s="36"/>
      <c r="H25" s="36"/>
    </row>
    <row r="26" spans="1:9" x14ac:dyDescent="0.3">
      <c r="A26" s="170" t="s">
        <v>243</v>
      </c>
      <c r="B26" s="141"/>
      <c r="C26" s="142"/>
      <c r="D26" s="62">
        <f>SUM(D21:D25)</f>
        <v>100</v>
      </c>
    </row>
    <row r="28" spans="1:9" x14ac:dyDescent="0.3">
      <c r="A28" s="138" t="s">
        <v>244</v>
      </c>
      <c r="B28" s="115"/>
      <c r="C28" s="115"/>
      <c r="D28" s="115"/>
      <c r="E28" s="115"/>
      <c r="F28" s="115"/>
      <c r="G28" s="115"/>
      <c r="H28" s="115"/>
    </row>
    <row r="29" spans="1:9" x14ac:dyDescent="0.3">
      <c r="A29" s="69" t="s">
        <v>151</v>
      </c>
      <c r="B29" s="69" t="s">
        <v>242</v>
      </c>
      <c r="C29" s="69" t="s">
        <v>140</v>
      </c>
      <c r="D29" s="69" t="s">
        <v>104</v>
      </c>
    </row>
    <row r="30" spans="1:9" x14ac:dyDescent="0.3">
      <c r="A30" s="36"/>
      <c r="B30" s="36"/>
      <c r="C30" s="36"/>
      <c r="D30" s="28">
        <v>8</v>
      </c>
    </row>
    <row r="31" spans="1:9" x14ac:dyDescent="0.3">
      <c r="A31" s="36"/>
      <c r="B31" s="36"/>
      <c r="C31" s="36"/>
      <c r="D31" s="28"/>
    </row>
    <row r="32" spans="1:9" x14ac:dyDescent="0.3">
      <c r="A32" s="36"/>
      <c r="B32" s="36"/>
      <c r="C32" s="36"/>
      <c r="D32" s="28"/>
    </row>
    <row r="33" spans="1:8" x14ac:dyDescent="0.3">
      <c r="A33" s="36"/>
      <c r="B33" s="36"/>
      <c r="C33" s="36"/>
      <c r="D33" s="28"/>
    </row>
    <row r="34" spans="1:8" x14ac:dyDescent="0.3">
      <c r="A34" s="36"/>
      <c r="B34" s="36"/>
      <c r="C34" s="36"/>
      <c r="D34" s="28"/>
    </row>
    <row r="35" spans="1:8" x14ac:dyDescent="0.3">
      <c r="A35" s="170" t="s">
        <v>245</v>
      </c>
      <c r="B35" s="141"/>
      <c r="C35" s="142"/>
      <c r="D35" s="62">
        <f>SUM(D30:D34)</f>
        <v>8</v>
      </c>
    </row>
    <row r="37" spans="1:8" x14ac:dyDescent="0.3">
      <c r="A37" s="138" t="s">
        <v>246</v>
      </c>
      <c r="B37" s="115"/>
      <c r="C37" s="115"/>
      <c r="D37" s="115"/>
      <c r="E37" s="115"/>
      <c r="F37" s="115"/>
      <c r="G37" s="115"/>
      <c r="H37" s="115"/>
    </row>
    <row r="38" spans="1:8" x14ac:dyDescent="0.3">
      <c r="A38" s="140" t="s">
        <v>247</v>
      </c>
      <c r="B38" s="141"/>
      <c r="C38" s="141"/>
      <c r="D38" s="141"/>
      <c r="E38" s="142"/>
      <c r="F38" s="171">
        <f>F16</f>
        <v>0</v>
      </c>
      <c r="G38" s="141"/>
      <c r="H38" s="142"/>
    </row>
    <row r="39" spans="1:8" x14ac:dyDescent="0.3">
      <c r="A39" s="140" t="s">
        <v>248</v>
      </c>
      <c r="B39" s="141"/>
      <c r="C39" s="141"/>
      <c r="D39" s="141"/>
      <c r="E39" s="142"/>
      <c r="F39" s="171">
        <f>D26</f>
        <v>100</v>
      </c>
      <c r="G39" s="141"/>
      <c r="H39" s="142"/>
    </row>
    <row r="40" spans="1:8" x14ac:dyDescent="0.3">
      <c r="A40" s="140" t="s">
        <v>249</v>
      </c>
      <c r="B40" s="141"/>
      <c r="C40" s="141"/>
      <c r="D40" s="141"/>
      <c r="E40" s="142"/>
      <c r="F40" s="171">
        <f>D35</f>
        <v>8</v>
      </c>
      <c r="G40" s="141"/>
      <c r="H40" s="142"/>
    </row>
    <row r="41" spans="1:8" x14ac:dyDescent="0.3">
      <c r="A41" s="178" t="s">
        <v>250</v>
      </c>
      <c r="B41" s="141"/>
      <c r="C41" s="141"/>
      <c r="D41" s="141"/>
      <c r="E41" s="142"/>
      <c r="F41" s="177">
        <f>F16+D26-D35</f>
        <v>92</v>
      </c>
      <c r="G41" s="141"/>
      <c r="H41" s="142"/>
    </row>
    <row r="42" spans="1:8" x14ac:dyDescent="0.3">
      <c r="A42" s="140" t="s">
        <v>251</v>
      </c>
      <c r="B42" s="141"/>
      <c r="C42" s="141"/>
      <c r="D42" s="141"/>
      <c r="E42" s="142"/>
      <c r="F42" s="171">
        <f>F17</f>
        <v>0</v>
      </c>
      <c r="G42" s="141"/>
      <c r="H42" s="142"/>
    </row>
    <row r="43" spans="1:8" x14ac:dyDescent="0.3">
      <c r="A43" s="172" t="s">
        <v>252</v>
      </c>
      <c r="B43" s="141"/>
      <c r="C43" s="141"/>
      <c r="D43" s="141"/>
      <c r="E43" s="142"/>
      <c r="F43" s="174">
        <f>F41-F17</f>
        <v>92</v>
      </c>
      <c r="G43" s="141"/>
      <c r="H43" s="142"/>
    </row>
    <row r="53" spans="1:9" x14ac:dyDescent="0.3">
      <c r="A53" s="40" t="s">
        <v>123</v>
      </c>
      <c r="B53" s="23"/>
      <c r="C53" s="23"/>
      <c r="G53" s="40" t="s">
        <v>124</v>
      </c>
      <c r="H53" s="23"/>
      <c r="I53" s="23"/>
    </row>
    <row r="54" spans="1:9" x14ac:dyDescent="0.3">
      <c r="A54" s="41" t="s">
        <v>125</v>
      </c>
      <c r="G54" s="41" t="s">
        <v>125</v>
      </c>
    </row>
    <row r="61" spans="1:9" x14ac:dyDescent="0.3">
      <c r="A61" s="24"/>
    </row>
    <row r="70" spans="1:1" x14ac:dyDescent="0.3">
      <c r="A70" s="24" t="str">
        <f>HYPERLINK("#'A-SUM'!A1","&lt;&lt; Volver a A-SUM")</f>
        <v>&lt;&lt; Volver a A-SUM</v>
      </c>
    </row>
  </sheetData>
  <mergeCells count="27">
    <mergeCell ref="F42:H42"/>
    <mergeCell ref="A15:H15"/>
    <mergeCell ref="F41:H41"/>
    <mergeCell ref="A41:E41"/>
    <mergeCell ref="A11:H11"/>
    <mergeCell ref="F17:H17"/>
    <mergeCell ref="A26:C26"/>
    <mergeCell ref="B12:C12"/>
    <mergeCell ref="F38:H38"/>
    <mergeCell ref="A16:E16"/>
    <mergeCell ref="E12:F12"/>
    <mergeCell ref="F43:H43"/>
    <mergeCell ref="E13:F13"/>
    <mergeCell ref="A35:C35"/>
    <mergeCell ref="A37:H37"/>
    <mergeCell ref="F39:H39"/>
    <mergeCell ref="B13:C13"/>
    <mergeCell ref="A42:E42"/>
    <mergeCell ref="A17:E17"/>
    <mergeCell ref="F16:H16"/>
    <mergeCell ref="A43:E43"/>
    <mergeCell ref="A38:E38"/>
    <mergeCell ref="A28:H28"/>
    <mergeCell ref="F40:H40"/>
    <mergeCell ref="A19:H19"/>
    <mergeCell ref="A40:E40"/>
    <mergeCell ref="A39:E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K109"/>
  <sheetViews>
    <sheetView workbookViewId="0">
      <selection activeCell="E5" sqref="E5:E8"/>
    </sheetView>
  </sheetViews>
  <sheetFormatPr baseColWidth="10" defaultColWidth="9.109375" defaultRowHeight="15.05" x14ac:dyDescent="0.3"/>
  <cols>
    <col min="1" max="1" width="19.88671875" customWidth="1"/>
    <col min="3" max="3" width="24.109375" customWidth="1"/>
    <col min="4" max="4" width="15.109375" customWidth="1"/>
    <col min="5" max="5" width="20.44140625" customWidth="1"/>
    <col min="6" max="6" width="14.5546875" customWidth="1"/>
    <col min="7" max="7" width="15" customWidth="1"/>
    <col min="8" max="8" width="15.6640625" customWidth="1"/>
    <col min="9" max="9" width="13" customWidth="1"/>
    <col min="10" max="10" width="18" customWidth="1"/>
    <col min="11" max="11" width="14.109375" customWidth="1"/>
  </cols>
  <sheetData>
    <row r="2" spans="1:11" x14ac:dyDescent="0.3">
      <c r="G2" s="42" t="str">
        <f>HYPERLINK("#'PA-1'!A1","☰ PROGRAMA")</f>
        <v>☰ PROGRAMA</v>
      </c>
      <c r="H2" s="13" t="str">
        <f>HYPERLINK("#INDICE!A1","◄ ÍNDICE")</f>
        <v>◄ ÍNDICE</v>
      </c>
    </row>
    <row r="3" spans="1:11" x14ac:dyDescent="0.3">
      <c r="D3" s="25"/>
    </row>
    <row r="4" spans="1:11" ht="25.55" customHeight="1" x14ac:dyDescent="0.3">
      <c r="K4" s="58" t="s">
        <v>22</v>
      </c>
    </row>
    <row r="5" spans="1:11" x14ac:dyDescent="0.3">
      <c r="E5" s="113" t="s">
        <v>383</v>
      </c>
    </row>
    <row r="6" spans="1:11" x14ac:dyDescent="0.3">
      <c r="E6" s="113" t="s">
        <v>162</v>
      </c>
      <c r="J6" s="15" t="s">
        <v>35</v>
      </c>
      <c r="K6" s="15"/>
    </row>
    <row r="7" spans="1:11" x14ac:dyDescent="0.3">
      <c r="E7" s="113" t="s">
        <v>384</v>
      </c>
      <c r="J7" s="15" t="s">
        <v>36</v>
      </c>
      <c r="K7" s="15"/>
    </row>
    <row r="8" spans="1:11" x14ac:dyDescent="0.3">
      <c r="E8" s="113" t="s">
        <v>385</v>
      </c>
      <c r="J8" s="15" t="s">
        <v>38</v>
      </c>
      <c r="K8" s="15"/>
    </row>
    <row r="9" spans="1:11" x14ac:dyDescent="0.3">
      <c r="J9" s="15" t="s">
        <v>39</v>
      </c>
      <c r="K9" s="15"/>
    </row>
    <row r="10" spans="1:11" ht="32.25" customHeight="1" x14ac:dyDescent="0.3">
      <c r="A10" s="166" t="s">
        <v>253</v>
      </c>
      <c r="B10" s="115"/>
      <c r="C10" s="115"/>
      <c r="D10" s="115"/>
      <c r="E10" s="115"/>
      <c r="F10" s="115"/>
      <c r="G10" s="115"/>
      <c r="H10" s="115"/>
      <c r="I10" s="115"/>
    </row>
    <row r="11" spans="1:11" x14ac:dyDescent="0.3">
      <c r="A11" t="s">
        <v>128</v>
      </c>
      <c r="B11" s="162"/>
      <c r="C11" s="115"/>
      <c r="D11" s="115"/>
      <c r="E11" t="s">
        <v>254</v>
      </c>
      <c r="F11" s="162"/>
      <c r="G11" s="115"/>
    </row>
    <row r="12" spans="1:11" x14ac:dyDescent="0.3">
      <c r="A12" t="s">
        <v>255</v>
      </c>
      <c r="B12" s="162"/>
      <c r="C12" s="115"/>
      <c r="D12" s="115"/>
      <c r="E12" t="s">
        <v>131</v>
      </c>
      <c r="F12" s="162"/>
      <c r="G12" s="115"/>
      <c r="H12" t="s">
        <v>149</v>
      </c>
      <c r="I12" s="45"/>
    </row>
    <row r="14" spans="1:11" x14ac:dyDescent="0.3">
      <c r="A14" s="164" t="s">
        <v>256</v>
      </c>
      <c r="B14" s="115"/>
      <c r="C14" s="115"/>
      <c r="D14" s="115"/>
      <c r="E14" s="115"/>
      <c r="F14" s="115"/>
      <c r="G14" s="115"/>
      <c r="H14" s="115"/>
      <c r="I14" s="115"/>
    </row>
    <row r="15" spans="1:11" ht="45" customHeight="1" x14ac:dyDescent="0.3">
      <c r="A15" s="70" t="s">
        <v>175</v>
      </c>
      <c r="B15" s="70" t="s">
        <v>257</v>
      </c>
      <c r="C15" s="70" t="s">
        <v>140</v>
      </c>
      <c r="D15" s="70" t="s">
        <v>178</v>
      </c>
      <c r="E15" s="70" t="s">
        <v>258</v>
      </c>
      <c r="F15" s="70" t="s">
        <v>259</v>
      </c>
      <c r="G15" s="70" t="s">
        <v>260</v>
      </c>
      <c r="H15" s="70" t="s">
        <v>113</v>
      </c>
    </row>
    <row r="16" spans="1:11" x14ac:dyDescent="0.3">
      <c r="A16" s="64">
        <v>1</v>
      </c>
      <c r="B16" s="65"/>
      <c r="C16" s="66"/>
      <c r="D16" s="71">
        <v>8</v>
      </c>
      <c r="E16" s="72">
        <v>7</v>
      </c>
      <c r="F16" s="65"/>
      <c r="G16" s="65"/>
      <c r="H16" s="66"/>
    </row>
    <row r="17" spans="1:8" x14ac:dyDescent="0.3">
      <c r="A17" s="64">
        <v>2</v>
      </c>
      <c r="B17" s="65"/>
      <c r="C17" s="66"/>
      <c r="D17" s="71"/>
      <c r="E17" s="72" t="str">
        <f>IF(B17="","",I12-B17)</f>
        <v/>
      </c>
      <c r="F17" s="65"/>
      <c r="G17" s="65"/>
      <c r="H17" s="66"/>
    </row>
    <row r="18" spans="1:8" x14ac:dyDescent="0.3">
      <c r="A18" s="64">
        <v>3</v>
      </c>
      <c r="B18" s="65"/>
      <c r="C18" s="66"/>
      <c r="D18" s="71"/>
      <c r="E18" s="72" t="str">
        <f>IF(B18="","",I12-B18)</f>
        <v/>
      </c>
      <c r="F18" s="65"/>
      <c r="G18" s="65"/>
      <c r="H18" s="66"/>
    </row>
    <row r="19" spans="1:8" x14ac:dyDescent="0.3">
      <c r="A19" s="64">
        <v>4</v>
      </c>
      <c r="B19" s="65"/>
      <c r="C19" s="66"/>
      <c r="D19" s="71"/>
      <c r="E19" s="72" t="str">
        <f>IF(B19="","",I12-B19)</f>
        <v/>
      </c>
      <c r="F19" s="65"/>
      <c r="G19" s="65"/>
      <c r="H19" s="66"/>
    </row>
    <row r="20" spans="1:8" x14ac:dyDescent="0.3">
      <c r="A20" s="64">
        <v>5</v>
      </c>
      <c r="B20" s="65"/>
      <c r="C20" s="66"/>
      <c r="D20" s="71"/>
      <c r="E20" s="72" t="str">
        <f>IF(B20="","",I12-B20)</f>
        <v/>
      </c>
      <c r="F20" s="65"/>
      <c r="G20" s="65"/>
      <c r="H20" s="66"/>
    </row>
    <row r="21" spans="1:8" x14ac:dyDescent="0.3">
      <c r="A21" s="64">
        <v>6</v>
      </c>
      <c r="B21" s="65"/>
      <c r="C21" s="66"/>
      <c r="D21" s="71"/>
      <c r="E21" s="72" t="str">
        <f>IF(B21="","",I12-B21)</f>
        <v/>
      </c>
      <c r="F21" s="65"/>
      <c r="G21" s="65"/>
      <c r="H21" s="66"/>
    </row>
    <row r="22" spans="1:8" x14ac:dyDescent="0.3">
      <c r="A22" s="64">
        <v>7</v>
      </c>
      <c r="B22" s="65"/>
      <c r="C22" s="66"/>
      <c r="D22" s="71"/>
      <c r="E22" s="72" t="str">
        <f>IF(B22="","",I12-B22)</f>
        <v/>
      </c>
      <c r="F22" s="65"/>
      <c r="G22" s="65"/>
      <c r="H22" s="66"/>
    </row>
    <row r="23" spans="1:8" x14ac:dyDescent="0.3">
      <c r="A23" s="64">
        <v>8</v>
      </c>
      <c r="B23" s="65"/>
      <c r="C23" s="66"/>
      <c r="D23" s="71"/>
      <c r="E23" s="72" t="str">
        <f>IF(B23="","",I12-B23)</f>
        <v/>
      </c>
      <c r="F23" s="65"/>
      <c r="G23" s="65"/>
      <c r="H23" s="66"/>
    </row>
    <row r="24" spans="1:8" x14ac:dyDescent="0.3">
      <c r="A24" s="64">
        <v>9</v>
      </c>
      <c r="B24" s="65"/>
      <c r="C24" s="66"/>
      <c r="D24" s="71"/>
      <c r="E24" s="72" t="str">
        <f>IF(B24="","",I12-B24)</f>
        <v/>
      </c>
      <c r="F24" s="65"/>
      <c r="G24" s="65"/>
      <c r="H24" s="66"/>
    </row>
    <row r="25" spans="1:8" x14ac:dyDescent="0.3">
      <c r="A25" s="64">
        <v>10</v>
      </c>
      <c r="B25" s="65"/>
      <c r="C25" s="66"/>
      <c r="D25" s="71"/>
      <c r="E25" s="72" t="str">
        <f>IF(B25="","",I12-B25)</f>
        <v/>
      </c>
      <c r="F25" s="65"/>
      <c r="G25" s="65"/>
      <c r="H25" s="66"/>
    </row>
    <row r="26" spans="1:8" x14ac:dyDescent="0.3">
      <c r="A26" s="64">
        <v>11</v>
      </c>
      <c r="B26" s="65"/>
      <c r="C26" s="66"/>
      <c r="D26" s="71"/>
      <c r="E26" s="72" t="str">
        <f>IF(B26="","",I12-B26)</f>
        <v/>
      </c>
      <c r="F26" s="65"/>
      <c r="G26" s="65"/>
      <c r="H26" s="66"/>
    </row>
    <row r="27" spans="1:8" x14ac:dyDescent="0.3">
      <c r="A27" s="64">
        <v>12</v>
      </c>
      <c r="B27" s="65"/>
      <c r="C27" s="66"/>
      <c r="D27" s="71"/>
      <c r="E27" s="72" t="str">
        <f>IF(B27="","",I12-B27)</f>
        <v/>
      </c>
      <c r="F27" s="65"/>
      <c r="G27" s="65"/>
      <c r="H27" s="66"/>
    </row>
    <row r="28" spans="1:8" x14ac:dyDescent="0.3">
      <c r="A28" s="64">
        <v>13</v>
      </c>
      <c r="B28" s="65"/>
      <c r="C28" s="66"/>
      <c r="D28" s="71"/>
      <c r="E28" s="72" t="str">
        <f>IF(B28="","",I12-B28)</f>
        <v/>
      </c>
      <c r="F28" s="65"/>
      <c r="G28" s="65"/>
      <c r="H28" s="66"/>
    </row>
    <row r="29" spans="1:8" x14ac:dyDescent="0.3">
      <c r="A29" s="64">
        <v>14</v>
      </c>
      <c r="B29" s="65"/>
      <c r="C29" s="66"/>
      <c r="D29" s="71"/>
      <c r="E29" s="72" t="str">
        <f>IF(B29="","",I12-B29)</f>
        <v/>
      </c>
      <c r="F29" s="65"/>
      <c r="G29" s="65"/>
      <c r="H29" s="66"/>
    </row>
    <row r="30" spans="1:8" x14ac:dyDescent="0.3">
      <c r="A30" s="64">
        <v>15</v>
      </c>
      <c r="B30" s="65"/>
      <c r="C30" s="66"/>
      <c r="D30" s="71"/>
      <c r="E30" s="72" t="str">
        <f>IF(B30="","",I12-B30)</f>
        <v/>
      </c>
      <c r="F30" s="65"/>
      <c r="G30" s="65"/>
      <c r="H30" s="66"/>
    </row>
    <row r="31" spans="1:8" x14ac:dyDescent="0.3">
      <c r="A31" s="160" t="s">
        <v>261</v>
      </c>
      <c r="B31" s="141"/>
      <c r="C31" s="142"/>
      <c r="D31" s="73">
        <f>SUM(D16:D30)</f>
        <v>8</v>
      </c>
    </row>
    <row r="33" spans="1:9" x14ac:dyDescent="0.3">
      <c r="A33" s="164" t="s">
        <v>262</v>
      </c>
      <c r="B33" s="115"/>
      <c r="C33" s="115"/>
      <c r="D33" s="115"/>
      <c r="E33" s="115"/>
      <c r="F33" s="115"/>
      <c r="G33" s="115"/>
      <c r="H33" s="115"/>
      <c r="I33" s="115"/>
    </row>
    <row r="34" spans="1:9" ht="29.95" customHeight="1" x14ac:dyDescent="0.3">
      <c r="A34" s="74" t="s">
        <v>175</v>
      </c>
      <c r="B34" s="74" t="s">
        <v>263</v>
      </c>
      <c r="C34" s="74" t="s">
        <v>264</v>
      </c>
      <c r="D34" s="74" t="s">
        <v>153</v>
      </c>
      <c r="E34" s="74" t="s">
        <v>178</v>
      </c>
      <c r="F34" s="74" t="s">
        <v>258</v>
      </c>
      <c r="G34" s="74" t="s">
        <v>265</v>
      </c>
      <c r="H34" s="74" t="s">
        <v>266</v>
      </c>
      <c r="I34" s="74" t="s">
        <v>113</v>
      </c>
    </row>
    <row r="35" spans="1:9" x14ac:dyDescent="0.3">
      <c r="A35" s="64">
        <v>1</v>
      </c>
      <c r="B35" s="65"/>
      <c r="C35" s="65"/>
      <c r="D35" s="66"/>
      <c r="E35" s="71">
        <v>800</v>
      </c>
      <c r="F35" s="72" t="str">
        <f>IF(C35="","",I12-C35)</f>
        <v/>
      </c>
      <c r="G35" s="65"/>
      <c r="H35" s="65"/>
      <c r="I35" s="66"/>
    </row>
    <row r="36" spans="1:9" x14ac:dyDescent="0.3">
      <c r="A36" s="64">
        <v>2</v>
      </c>
      <c r="B36" s="65"/>
      <c r="C36" s="65"/>
      <c r="D36" s="66"/>
      <c r="E36" s="71"/>
      <c r="F36" s="72" t="str">
        <f>IF(C36="","",I12-C36)</f>
        <v/>
      </c>
      <c r="G36" s="65"/>
      <c r="H36" s="65"/>
      <c r="I36" s="66"/>
    </row>
    <row r="37" spans="1:9" x14ac:dyDescent="0.3">
      <c r="A37" s="64">
        <v>3</v>
      </c>
      <c r="B37" s="65"/>
      <c r="C37" s="65"/>
      <c r="D37" s="66"/>
      <c r="E37" s="71"/>
      <c r="F37" s="72" t="str">
        <f>IF(C37="","",I12-C37)</f>
        <v/>
      </c>
      <c r="G37" s="65"/>
      <c r="H37" s="65"/>
      <c r="I37" s="66"/>
    </row>
    <row r="38" spans="1:9" x14ac:dyDescent="0.3">
      <c r="A38" s="64">
        <v>4</v>
      </c>
      <c r="B38" s="65"/>
      <c r="C38" s="65"/>
      <c r="D38" s="66"/>
      <c r="E38" s="71"/>
      <c r="F38" s="72" t="str">
        <f>IF(C38="","",I12-C38)</f>
        <v/>
      </c>
      <c r="G38" s="65"/>
      <c r="H38" s="65"/>
      <c r="I38" s="66"/>
    </row>
    <row r="39" spans="1:9" x14ac:dyDescent="0.3">
      <c r="A39" s="64">
        <v>5</v>
      </c>
      <c r="B39" s="65"/>
      <c r="C39" s="65"/>
      <c r="D39" s="66"/>
      <c r="E39" s="71"/>
      <c r="F39" s="72" t="str">
        <f>IF(C39="","",I12-C39)</f>
        <v/>
      </c>
      <c r="G39" s="65"/>
      <c r="H39" s="65"/>
      <c r="I39" s="66"/>
    </row>
    <row r="40" spans="1:9" x14ac:dyDescent="0.3">
      <c r="A40" s="64">
        <v>6</v>
      </c>
      <c r="B40" s="65"/>
      <c r="C40" s="65"/>
      <c r="D40" s="66"/>
      <c r="E40" s="71"/>
      <c r="F40" s="72" t="str">
        <f>IF(C40="","",I12-C40)</f>
        <v/>
      </c>
      <c r="G40" s="65"/>
      <c r="H40" s="65"/>
      <c r="I40" s="66"/>
    </row>
    <row r="41" spans="1:9" x14ac:dyDescent="0.3">
      <c r="A41" s="64">
        <v>7</v>
      </c>
      <c r="B41" s="65"/>
      <c r="C41" s="65"/>
      <c r="D41" s="66"/>
      <c r="E41" s="71"/>
      <c r="F41" s="72" t="str">
        <f>IF(C41="","",I12-C41)</f>
        <v/>
      </c>
      <c r="G41" s="65"/>
      <c r="H41" s="65"/>
      <c r="I41" s="66"/>
    </row>
    <row r="42" spans="1:9" x14ac:dyDescent="0.3">
      <c r="A42" s="64">
        <v>8</v>
      </c>
      <c r="B42" s="65"/>
      <c r="C42" s="65"/>
      <c r="D42" s="66"/>
      <c r="E42" s="71"/>
      <c r="F42" s="72" t="str">
        <f>IF(C42="","",I12-C42)</f>
        <v/>
      </c>
      <c r="G42" s="65"/>
      <c r="H42" s="65"/>
      <c r="I42" s="66"/>
    </row>
    <row r="43" spans="1:9" x14ac:dyDescent="0.3">
      <c r="A43" s="64">
        <v>9</v>
      </c>
      <c r="B43" s="65"/>
      <c r="C43" s="65"/>
      <c r="D43" s="66"/>
      <c r="E43" s="71"/>
      <c r="F43" s="72" t="str">
        <f>IF(C43="","",I12-C43)</f>
        <v/>
      </c>
      <c r="G43" s="65"/>
      <c r="H43" s="65"/>
      <c r="I43" s="66"/>
    </row>
    <row r="44" spans="1:9" x14ac:dyDescent="0.3">
      <c r="A44" s="64">
        <v>10</v>
      </c>
      <c r="B44" s="65"/>
      <c r="C44" s="65"/>
      <c r="D44" s="66"/>
      <c r="E44" s="71"/>
      <c r="F44" s="72" t="str">
        <f>IF(C44="","",I12-C44)</f>
        <v/>
      </c>
      <c r="G44" s="65"/>
      <c r="H44" s="65"/>
      <c r="I44" s="66"/>
    </row>
    <row r="45" spans="1:9" x14ac:dyDescent="0.3">
      <c r="A45" s="64">
        <v>11</v>
      </c>
      <c r="B45" s="65"/>
      <c r="C45" s="65"/>
      <c r="D45" s="66"/>
      <c r="E45" s="71"/>
      <c r="F45" s="72" t="str">
        <f>IF(C45="","",I12-C45)</f>
        <v/>
      </c>
      <c r="G45" s="65"/>
      <c r="H45" s="65"/>
      <c r="I45" s="66"/>
    </row>
    <row r="46" spans="1:9" x14ac:dyDescent="0.3">
      <c r="A46" s="64">
        <v>12</v>
      </c>
      <c r="B46" s="65"/>
      <c r="C46" s="65"/>
      <c r="D46" s="66"/>
      <c r="E46" s="71"/>
      <c r="F46" s="72" t="str">
        <f>IF(C46="","",I12-C46)</f>
        <v/>
      </c>
      <c r="G46" s="65"/>
      <c r="H46" s="65"/>
      <c r="I46" s="66"/>
    </row>
    <row r="47" spans="1:9" x14ac:dyDescent="0.3">
      <c r="A47" s="64">
        <v>13</v>
      </c>
      <c r="B47" s="65"/>
      <c r="C47" s="65"/>
      <c r="D47" s="66"/>
      <c r="E47" s="71"/>
      <c r="F47" s="72" t="str">
        <f>IF(C47="","",I12-C47)</f>
        <v/>
      </c>
      <c r="G47" s="65"/>
      <c r="H47" s="65"/>
      <c r="I47" s="66"/>
    </row>
    <row r="48" spans="1:9" x14ac:dyDescent="0.3">
      <c r="A48" s="64">
        <v>14</v>
      </c>
      <c r="B48" s="65"/>
      <c r="C48" s="65"/>
      <c r="D48" s="66"/>
      <c r="E48" s="71"/>
      <c r="F48" s="72" t="str">
        <f>IF(C48="","",I12-C48)</f>
        <v/>
      </c>
      <c r="G48" s="65"/>
      <c r="H48" s="65"/>
      <c r="I48" s="66"/>
    </row>
    <row r="49" spans="1:9" x14ac:dyDescent="0.3">
      <c r="A49" s="64">
        <v>15</v>
      </c>
      <c r="B49" s="65"/>
      <c r="C49" s="65"/>
      <c r="D49" s="66"/>
      <c r="E49" s="71"/>
      <c r="F49" s="72" t="str">
        <f>IF(C49="","",I12-C49)</f>
        <v/>
      </c>
      <c r="G49" s="65"/>
      <c r="H49" s="65"/>
      <c r="I49" s="66"/>
    </row>
    <row r="50" spans="1:9" x14ac:dyDescent="0.3">
      <c r="A50" s="64">
        <v>16</v>
      </c>
      <c r="B50" s="65"/>
      <c r="C50" s="65"/>
      <c r="D50" s="66"/>
      <c r="E50" s="71"/>
      <c r="F50" s="72" t="str">
        <f>IF(C50="","",I12-C50)</f>
        <v/>
      </c>
      <c r="G50" s="65"/>
      <c r="H50" s="65"/>
      <c r="I50" s="66"/>
    </row>
    <row r="51" spans="1:9" x14ac:dyDescent="0.3">
      <c r="A51" s="64">
        <v>17</v>
      </c>
      <c r="B51" s="65"/>
      <c r="C51" s="65"/>
      <c r="D51" s="66"/>
      <c r="E51" s="71"/>
      <c r="F51" s="72" t="str">
        <f>IF(C51="","",I12-C51)</f>
        <v/>
      </c>
      <c r="G51" s="65"/>
      <c r="H51" s="65"/>
      <c r="I51" s="66"/>
    </row>
    <row r="52" spans="1:9" x14ac:dyDescent="0.3">
      <c r="A52" s="64">
        <v>18</v>
      </c>
      <c r="B52" s="65"/>
      <c r="C52" s="65"/>
      <c r="D52" s="66"/>
      <c r="E52" s="71"/>
      <c r="F52" s="72" t="str">
        <f>IF(C52="","",I12-C52)</f>
        <v/>
      </c>
      <c r="G52" s="65"/>
      <c r="H52" s="65"/>
      <c r="I52" s="66"/>
    </row>
    <row r="53" spans="1:9" x14ac:dyDescent="0.3">
      <c r="A53" s="64">
        <v>19</v>
      </c>
      <c r="B53" s="65"/>
      <c r="C53" s="65"/>
      <c r="D53" s="66"/>
      <c r="E53" s="71"/>
      <c r="F53" s="72" t="str">
        <f>IF(C53="","",I12-C53)</f>
        <v/>
      </c>
      <c r="G53" s="65"/>
      <c r="H53" s="65"/>
      <c r="I53" s="66"/>
    </row>
    <row r="54" spans="1:9" x14ac:dyDescent="0.3">
      <c r="A54" s="64">
        <v>20</v>
      </c>
      <c r="B54" s="65"/>
      <c r="C54" s="65"/>
      <c r="D54" s="66"/>
      <c r="E54" s="71"/>
      <c r="F54" s="72" t="str">
        <f>IF(C54="","",I12-C54)</f>
        <v/>
      </c>
      <c r="G54" s="65"/>
      <c r="H54" s="65"/>
      <c r="I54" s="66"/>
    </row>
    <row r="55" spans="1:9" x14ac:dyDescent="0.3">
      <c r="A55" s="160" t="s">
        <v>267</v>
      </c>
      <c r="B55" s="141"/>
      <c r="C55" s="141"/>
      <c r="D55" s="142"/>
      <c r="E55" s="73">
        <f>SUM(E35:E54)</f>
        <v>800</v>
      </c>
    </row>
    <row r="57" spans="1:9" x14ac:dyDescent="0.3">
      <c r="A57" s="164" t="s">
        <v>268</v>
      </c>
      <c r="B57" s="115"/>
      <c r="C57" s="115"/>
      <c r="D57" s="115"/>
      <c r="E57" s="115"/>
      <c r="F57" s="115"/>
      <c r="G57" s="115"/>
      <c r="H57" s="115"/>
      <c r="I57" s="115"/>
    </row>
    <row r="58" spans="1:9" ht="29.95" customHeight="1" x14ac:dyDescent="0.3">
      <c r="A58" s="74" t="s">
        <v>175</v>
      </c>
      <c r="B58" s="74" t="s">
        <v>269</v>
      </c>
      <c r="C58" s="74" t="s">
        <v>270</v>
      </c>
      <c r="D58" s="74" t="s">
        <v>151</v>
      </c>
      <c r="E58" s="74" t="s">
        <v>140</v>
      </c>
      <c r="F58" s="74" t="s">
        <v>178</v>
      </c>
      <c r="G58" s="74" t="s">
        <v>271</v>
      </c>
      <c r="H58" s="74" t="s">
        <v>272</v>
      </c>
      <c r="I58" s="74" t="s">
        <v>113</v>
      </c>
    </row>
    <row r="59" spans="1:9" x14ac:dyDescent="0.3">
      <c r="A59" s="64">
        <v>1</v>
      </c>
      <c r="B59" s="65"/>
      <c r="C59" s="65"/>
      <c r="D59" s="65"/>
      <c r="E59" s="66"/>
      <c r="F59" s="71"/>
      <c r="G59" s="65"/>
      <c r="H59" s="65"/>
      <c r="I59" s="66"/>
    </row>
    <row r="60" spans="1:9" x14ac:dyDescent="0.3">
      <c r="A60" s="64">
        <v>2</v>
      </c>
      <c r="B60" s="65"/>
      <c r="C60" s="65"/>
      <c r="D60" s="65"/>
      <c r="E60" s="66"/>
      <c r="F60" s="71"/>
      <c r="G60" s="65"/>
      <c r="H60" s="65"/>
      <c r="I60" s="66"/>
    </row>
    <row r="61" spans="1:9" x14ac:dyDescent="0.3">
      <c r="A61" s="64">
        <v>3</v>
      </c>
      <c r="B61" s="65"/>
      <c r="C61" s="65"/>
      <c r="D61" s="65"/>
      <c r="E61" s="66"/>
      <c r="F61" s="71"/>
      <c r="G61" s="65"/>
      <c r="H61" s="65"/>
      <c r="I61" s="66"/>
    </row>
    <row r="62" spans="1:9" x14ac:dyDescent="0.3">
      <c r="A62" s="64">
        <v>4</v>
      </c>
      <c r="B62" s="65"/>
      <c r="C62" s="65"/>
      <c r="D62" s="65"/>
      <c r="E62" s="66"/>
      <c r="F62" s="71"/>
      <c r="G62" s="65"/>
      <c r="H62" s="65"/>
      <c r="I62" s="66"/>
    </row>
    <row r="63" spans="1:9" x14ac:dyDescent="0.3">
      <c r="A63" s="64">
        <v>5</v>
      </c>
      <c r="B63" s="65"/>
      <c r="C63" s="65"/>
      <c r="D63" s="65"/>
      <c r="E63" s="66"/>
      <c r="F63" s="71"/>
      <c r="G63" s="65"/>
      <c r="H63" s="65"/>
      <c r="I63" s="66"/>
    </row>
    <row r="64" spans="1:9" x14ac:dyDescent="0.3">
      <c r="A64" s="64">
        <v>6</v>
      </c>
      <c r="B64" s="65"/>
      <c r="C64" s="65"/>
      <c r="D64" s="65"/>
      <c r="E64" s="66"/>
      <c r="F64" s="71"/>
      <c r="G64" s="65"/>
      <c r="H64" s="65"/>
      <c r="I64" s="66"/>
    </row>
    <row r="65" spans="1:9" x14ac:dyDescent="0.3">
      <c r="A65" s="64">
        <v>7</v>
      </c>
      <c r="B65" s="65"/>
      <c r="C65" s="65"/>
      <c r="D65" s="65"/>
      <c r="E65" s="66"/>
      <c r="F65" s="71"/>
      <c r="G65" s="65"/>
      <c r="H65" s="65"/>
      <c r="I65" s="66"/>
    </row>
    <row r="66" spans="1:9" x14ac:dyDescent="0.3">
      <c r="A66" s="64">
        <v>8</v>
      </c>
      <c r="B66" s="65"/>
      <c r="C66" s="65"/>
      <c r="D66" s="65"/>
      <c r="E66" s="66"/>
      <c r="F66" s="71"/>
      <c r="G66" s="65"/>
      <c r="H66" s="65"/>
      <c r="I66" s="66"/>
    </row>
    <row r="67" spans="1:9" x14ac:dyDescent="0.3">
      <c r="A67" s="64">
        <v>9</v>
      </c>
      <c r="B67" s="65"/>
      <c r="C67" s="65"/>
      <c r="D67" s="65"/>
      <c r="E67" s="66"/>
      <c r="F67" s="71"/>
      <c r="G67" s="65"/>
      <c r="H67" s="65"/>
      <c r="I67" s="66"/>
    </row>
    <row r="68" spans="1:9" x14ac:dyDescent="0.3">
      <c r="A68" s="64">
        <v>10</v>
      </c>
      <c r="B68" s="65"/>
      <c r="C68" s="65"/>
      <c r="D68" s="65"/>
      <c r="E68" s="66"/>
      <c r="F68" s="71"/>
      <c r="G68" s="65"/>
      <c r="H68" s="65"/>
      <c r="I68" s="66"/>
    </row>
    <row r="69" spans="1:9" x14ac:dyDescent="0.3">
      <c r="A69" s="160" t="s">
        <v>273</v>
      </c>
      <c r="B69" s="141"/>
      <c r="C69" s="141"/>
      <c r="D69" s="141"/>
      <c r="E69" s="142"/>
      <c r="F69" s="73">
        <f>SUM(F59:F68)</f>
        <v>0</v>
      </c>
    </row>
    <row r="71" spans="1:9" x14ac:dyDescent="0.3">
      <c r="A71" s="164" t="s">
        <v>274</v>
      </c>
      <c r="B71" s="115"/>
      <c r="C71" s="115"/>
      <c r="D71" s="115"/>
      <c r="E71" s="115"/>
      <c r="F71" s="115"/>
      <c r="G71" s="115"/>
      <c r="H71" s="115"/>
      <c r="I71" s="115"/>
    </row>
    <row r="72" spans="1:9" x14ac:dyDescent="0.3">
      <c r="A72" s="179" t="s">
        <v>140</v>
      </c>
      <c r="B72" s="141"/>
      <c r="C72" s="141"/>
      <c r="D72" s="141"/>
      <c r="E72" s="142"/>
      <c r="F72" s="49" t="s">
        <v>178</v>
      </c>
      <c r="G72" s="49" t="s">
        <v>99</v>
      </c>
    </row>
    <row r="73" spans="1:9" x14ac:dyDescent="0.3">
      <c r="A73" s="147" t="s">
        <v>275</v>
      </c>
      <c r="B73" s="141"/>
      <c r="C73" s="141"/>
      <c r="D73" s="141"/>
      <c r="E73" s="142"/>
      <c r="F73" s="75">
        <f>D31</f>
        <v>8</v>
      </c>
      <c r="G73" s="76">
        <f>IF(F75=0,0,F73/F75)</f>
        <v>9.9009900990099011E-3</v>
      </c>
    </row>
    <row r="74" spans="1:9" x14ac:dyDescent="0.3">
      <c r="A74" s="147" t="s">
        <v>276</v>
      </c>
      <c r="B74" s="141"/>
      <c r="C74" s="141"/>
      <c r="D74" s="141"/>
      <c r="E74" s="142"/>
      <c r="F74" s="75">
        <f>E55</f>
        <v>800</v>
      </c>
      <c r="G74" s="76">
        <f>IF(F75=0,0,F74/F75)</f>
        <v>0.99009900990099009</v>
      </c>
    </row>
    <row r="75" spans="1:9" x14ac:dyDescent="0.3">
      <c r="A75" s="160" t="s">
        <v>277</v>
      </c>
      <c r="B75" s="141"/>
      <c r="C75" s="141"/>
      <c r="D75" s="141"/>
      <c r="E75" s="142"/>
      <c r="F75" s="73">
        <f>F73+F74</f>
        <v>808</v>
      </c>
      <c r="G75" s="77" t="s">
        <v>278</v>
      </c>
    </row>
    <row r="77" spans="1:9" x14ac:dyDescent="0.3">
      <c r="A77" s="164" t="s">
        <v>231</v>
      </c>
      <c r="B77" s="115"/>
      <c r="C77" s="115"/>
      <c r="D77" s="115"/>
      <c r="E77" s="115"/>
      <c r="F77" s="115"/>
      <c r="G77" s="115"/>
      <c r="H77" s="115"/>
      <c r="I77" s="115"/>
    </row>
    <row r="78" spans="1:9" x14ac:dyDescent="0.3">
      <c r="A78" s="165"/>
      <c r="B78" s="150"/>
      <c r="C78" s="150"/>
      <c r="D78" s="150"/>
      <c r="E78" s="150"/>
      <c r="F78" s="150"/>
      <c r="G78" s="150"/>
      <c r="H78" s="150"/>
      <c r="I78" s="151"/>
    </row>
    <row r="79" spans="1:9" x14ac:dyDescent="0.3">
      <c r="A79" s="154"/>
      <c r="B79" s="115"/>
      <c r="C79" s="115"/>
      <c r="D79" s="115"/>
      <c r="E79" s="115"/>
      <c r="F79" s="115"/>
      <c r="G79" s="115"/>
      <c r="H79" s="115"/>
      <c r="I79" s="155"/>
    </row>
    <row r="80" spans="1:9" x14ac:dyDescent="0.3">
      <c r="A80" s="154"/>
      <c r="B80" s="115"/>
      <c r="C80" s="115"/>
      <c r="D80" s="115"/>
      <c r="E80" s="115"/>
      <c r="F80" s="115"/>
      <c r="G80" s="115"/>
      <c r="H80" s="115"/>
      <c r="I80" s="155"/>
    </row>
    <row r="81" spans="1:9" x14ac:dyDescent="0.3">
      <c r="A81" s="154"/>
      <c r="B81" s="115"/>
      <c r="C81" s="115"/>
      <c r="D81" s="115"/>
      <c r="E81" s="115"/>
      <c r="F81" s="115"/>
      <c r="G81" s="115"/>
      <c r="H81" s="115"/>
      <c r="I81" s="155"/>
    </row>
    <row r="82" spans="1:9" x14ac:dyDescent="0.3">
      <c r="A82" s="154"/>
      <c r="B82" s="115"/>
      <c r="C82" s="115"/>
      <c r="D82" s="115"/>
      <c r="E82" s="115"/>
      <c r="F82" s="115"/>
      <c r="G82" s="115"/>
      <c r="H82" s="115"/>
      <c r="I82" s="155"/>
    </row>
    <row r="83" spans="1:9" x14ac:dyDescent="0.3">
      <c r="A83" s="156"/>
      <c r="B83" s="136"/>
      <c r="C83" s="136"/>
      <c r="D83" s="136"/>
      <c r="E83" s="136"/>
      <c r="F83" s="136"/>
      <c r="G83" s="136"/>
      <c r="H83" s="136"/>
      <c r="I83" s="157"/>
    </row>
    <row r="91" spans="1:9" x14ac:dyDescent="0.3">
      <c r="A91" s="40" t="s">
        <v>123</v>
      </c>
      <c r="B91" s="23"/>
      <c r="C91" s="23"/>
      <c r="F91" s="40" t="s">
        <v>124</v>
      </c>
      <c r="G91" s="23"/>
      <c r="H91" s="23"/>
    </row>
    <row r="92" spans="1:9" x14ac:dyDescent="0.3">
      <c r="A92" s="41" t="s">
        <v>125</v>
      </c>
      <c r="F92" s="41" t="s">
        <v>125</v>
      </c>
    </row>
    <row r="109" spans="1:1" x14ac:dyDescent="0.3">
      <c r="A109" s="24" t="str">
        <f>HYPERLINK("#'INDICE'!A11","&lt;&lt; Volver al Indice")</f>
        <v>&lt;&lt; Volver al Indice</v>
      </c>
    </row>
  </sheetData>
  <mergeCells count="18">
    <mergeCell ref="A10:I10"/>
    <mergeCell ref="A72:E72"/>
    <mergeCell ref="A73:E73"/>
    <mergeCell ref="A31:C31"/>
    <mergeCell ref="A14:I14"/>
    <mergeCell ref="A55:D55"/>
    <mergeCell ref="B11:D11"/>
    <mergeCell ref="A69:E69"/>
    <mergeCell ref="A57:I57"/>
    <mergeCell ref="F11:G11"/>
    <mergeCell ref="F12:G12"/>
    <mergeCell ref="A75:E75"/>
    <mergeCell ref="A77:I77"/>
    <mergeCell ref="B12:D12"/>
    <mergeCell ref="A74:E74"/>
    <mergeCell ref="A78:I83"/>
    <mergeCell ref="A71:I71"/>
    <mergeCell ref="A33:I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97"/>
  <sheetViews>
    <sheetView workbookViewId="0">
      <selection activeCell="E5" sqref="E5:E8"/>
    </sheetView>
  </sheetViews>
  <sheetFormatPr baseColWidth="10" defaultColWidth="9.109375" defaultRowHeight="15.05" x14ac:dyDescent="0.3"/>
  <cols>
    <col min="2" max="2" width="21.44140625" customWidth="1"/>
    <col min="3" max="3" width="16.88671875" customWidth="1"/>
    <col min="5" max="5" width="16" customWidth="1"/>
    <col min="6" max="6" width="19" customWidth="1"/>
    <col min="7" max="7" width="15" customWidth="1"/>
    <col min="8" max="8" width="13.6640625" customWidth="1"/>
    <col min="10" max="10" width="16.6640625" customWidth="1"/>
    <col min="11" max="11" width="17" customWidth="1"/>
  </cols>
  <sheetData>
    <row r="2" spans="1:11" x14ac:dyDescent="0.3">
      <c r="G2" s="42" t="str">
        <f>HYPERLINK("#'PA-1'!A1","☰ PROGRAMA")</f>
        <v>☰ PROGRAMA</v>
      </c>
      <c r="H2" s="13" t="str">
        <f>HYPERLINK("#INDICE!A1","◄ ÍNDICE")</f>
        <v>◄ ÍNDICE</v>
      </c>
    </row>
    <row r="3" spans="1:11" ht="15.75" customHeight="1" x14ac:dyDescent="0.3">
      <c r="E3" s="25"/>
      <c r="F3" s="25"/>
    </row>
    <row r="4" spans="1:11" ht="27.85" customHeight="1" x14ac:dyDescent="0.3">
      <c r="K4" s="58" t="s">
        <v>24</v>
      </c>
    </row>
    <row r="5" spans="1:11" x14ac:dyDescent="0.3">
      <c r="E5" s="113" t="s">
        <v>383</v>
      </c>
    </row>
    <row r="6" spans="1:11" x14ac:dyDescent="0.3">
      <c r="E6" s="113" t="s">
        <v>162</v>
      </c>
      <c r="J6" s="15" t="s">
        <v>35</v>
      </c>
      <c r="K6" s="15"/>
    </row>
    <row r="7" spans="1:11" x14ac:dyDescent="0.3">
      <c r="E7" s="113" t="s">
        <v>384</v>
      </c>
      <c r="J7" s="15" t="s">
        <v>36</v>
      </c>
      <c r="K7" s="15"/>
    </row>
    <row r="8" spans="1:11" x14ac:dyDescent="0.3">
      <c r="E8" s="113" t="s">
        <v>385</v>
      </c>
      <c r="J8" s="15" t="s">
        <v>38</v>
      </c>
      <c r="K8" s="15"/>
    </row>
    <row r="9" spans="1:11" x14ac:dyDescent="0.3">
      <c r="J9" s="15" t="s">
        <v>39</v>
      </c>
      <c r="K9" s="15"/>
    </row>
    <row r="10" spans="1:11" ht="18.850000000000001" customHeight="1" x14ac:dyDescent="0.3">
      <c r="A10" s="166" t="s">
        <v>279</v>
      </c>
      <c r="B10" s="115"/>
      <c r="C10" s="115"/>
      <c r="D10" s="115"/>
      <c r="E10" s="115"/>
      <c r="F10" s="115"/>
      <c r="G10" s="115"/>
      <c r="H10" s="115"/>
    </row>
    <row r="11" spans="1:11" x14ac:dyDescent="0.3">
      <c r="A11" t="s">
        <v>128</v>
      </c>
      <c r="B11" s="162"/>
      <c r="C11" s="115"/>
      <c r="D11" s="115"/>
      <c r="E11" t="s">
        <v>254</v>
      </c>
      <c r="F11" s="162"/>
      <c r="G11" s="115"/>
    </row>
    <row r="12" spans="1:11" x14ac:dyDescent="0.3">
      <c r="A12" t="s">
        <v>131</v>
      </c>
      <c r="B12" s="162"/>
      <c r="C12" s="115"/>
      <c r="D12" s="115"/>
      <c r="E12" t="s">
        <v>149</v>
      </c>
      <c r="F12" s="162"/>
      <c r="G12" s="115"/>
    </row>
    <row r="14" spans="1:11" x14ac:dyDescent="0.3">
      <c r="A14" s="164" t="s">
        <v>280</v>
      </c>
      <c r="B14" s="115"/>
      <c r="C14" s="115"/>
      <c r="D14" s="115"/>
      <c r="E14" s="115"/>
      <c r="F14" s="115"/>
      <c r="G14" s="115"/>
      <c r="H14" s="115"/>
    </row>
    <row r="15" spans="1:11" ht="45" customHeight="1" x14ac:dyDescent="0.3">
      <c r="A15" s="74" t="s">
        <v>175</v>
      </c>
      <c r="B15" s="74" t="s">
        <v>281</v>
      </c>
      <c r="C15" s="74" t="s">
        <v>282</v>
      </c>
      <c r="D15" s="74" t="s">
        <v>269</v>
      </c>
      <c r="E15" s="74" t="s">
        <v>283</v>
      </c>
      <c r="F15" s="74" t="s">
        <v>251</v>
      </c>
      <c r="G15" s="74" t="s">
        <v>98</v>
      </c>
      <c r="H15" s="74" t="s">
        <v>284</v>
      </c>
    </row>
    <row r="16" spans="1:11" x14ac:dyDescent="0.3">
      <c r="A16" s="64">
        <v>1</v>
      </c>
      <c r="B16" s="66"/>
      <c r="C16" s="65"/>
      <c r="D16" s="65"/>
      <c r="E16" s="71">
        <v>750</v>
      </c>
      <c r="F16" s="71">
        <v>800</v>
      </c>
      <c r="G16" s="78">
        <f t="shared" ref="G16:G30" si="0">E16-F16</f>
        <v>-50</v>
      </c>
      <c r="H16" s="65"/>
    </row>
    <row r="17" spans="1:8" x14ac:dyDescent="0.3">
      <c r="A17" s="64">
        <v>2</v>
      </c>
      <c r="B17" s="66"/>
      <c r="C17" s="65"/>
      <c r="D17" s="65"/>
      <c r="E17" s="71"/>
      <c r="F17" s="71"/>
      <c r="G17" s="78">
        <f t="shared" si="0"/>
        <v>0</v>
      </c>
      <c r="H17" s="65"/>
    </row>
    <row r="18" spans="1:8" x14ac:dyDescent="0.3">
      <c r="A18" s="64">
        <v>3</v>
      </c>
      <c r="B18" s="66"/>
      <c r="C18" s="65"/>
      <c r="D18" s="65"/>
      <c r="E18" s="71"/>
      <c r="F18" s="71"/>
      <c r="G18" s="78">
        <f t="shared" si="0"/>
        <v>0</v>
      </c>
      <c r="H18" s="65"/>
    </row>
    <row r="19" spans="1:8" x14ac:dyDescent="0.3">
      <c r="A19" s="64">
        <v>4</v>
      </c>
      <c r="B19" s="66"/>
      <c r="C19" s="65"/>
      <c r="D19" s="65"/>
      <c r="E19" s="71"/>
      <c r="F19" s="71"/>
      <c r="G19" s="78">
        <f t="shared" si="0"/>
        <v>0</v>
      </c>
      <c r="H19" s="65"/>
    </row>
    <row r="20" spans="1:8" x14ac:dyDescent="0.3">
      <c r="A20" s="64">
        <v>5</v>
      </c>
      <c r="B20" s="66"/>
      <c r="C20" s="65"/>
      <c r="D20" s="65"/>
      <c r="E20" s="71"/>
      <c r="F20" s="71"/>
      <c r="G20" s="78">
        <f t="shared" si="0"/>
        <v>0</v>
      </c>
      <c r="H20" s="65"/>
    </row>
    <row r="21" spans="1:8" x14ac:dyDescent="0.3">
      <c r="A21" s="64">
        <v>6</v>
      </c>
      <c r="B21" s="66"/>
      <c r="C21" s="65"/>
      <c r="D21" s="65"/>
      <c r="E21" s="71"/>
      <c r="F21" s="71"/>
      <c r="G21" s="78">
        <f t="shared" si="0"/>
        <v>0</v>
      </c>
      <c r="H21" s="65"/>
    </row>
    <row r="22" spans="1:8" x14ac:dyDescent="0.3">
      <c r="A22" s="64">
        <v>7</v>
      </c>
      <c r="B22" s="66"/>
      <c r="C22" s="65"/>
      <c r="D22" s="65"/>
      <c r="E22" s="71"/>
      <c r="F22" s="71"/>
      <c r="G22" s="78">
        <f t="shared" si="0"/>
        <v>0</v>
      </c>
      <c r="H22" s="65"/>
    </row>
    <row r="23" spans="1:8" x14ac:dyDescent="0.3">
      <c r="A23" s="64">
        <v>8</v>
      </c>
      <c r="B23" s="66"/>
      <c r="C23" s="65"/>
      <c r="D23" s="65"/>
      <c r="E23" s="71"/>
      <c r="F23" s="71"/>
      <c r="G23" s="78">
        <f t="shared" si="0"/>
        <v>0</v>
      </c>
      <c r="H23" s="65"/>
    </row>
    <row r="24" spans="1:8" x14ac:dyDescent="0.3">
      <c r="A24" s="64">
        <v>9</v>
      </c>
      <c r="B24" s="66"/>
      <c r="C24" s="65"/>
      <c r="D24" s="65"/>
      <c r="E24" s="71"/>
      <c r="F24" s="71"/>
      <c r="G24" s="78">
        <f t="shared" si="0"/>
        <v>0</v>
      </c>
      <c r="H24" s="65"/>
    </row>
    <row r="25" spans="1:8" x14ac:dyDescent="0.3">
      <c r="A25" s="64">
        <v>10</v>
      </c>
      <c r="B25" s="66"/>
      <c r="C25" s="65"/>
      <c r="D25" s="65"/>
      <c r="E25" s="71"/>
      <c r="F25" s="71"/>
      <c r="G25" s="78">
        <f t="shared" si="0"/>
        <v>0</v>
      </c>
      <c r="H25" s="65"/>
    </row>
    <row r="26" spans="1:8" x14ac:dyDescent="0.3">
      <c r="A26" s="64">
        <v>11</v>
      </c>
      <c r="B26" s="66"/>
      <c r="C26" s="65"/>
      <c r="D26" s="65"/>
      <c r="E26" s="71"/>
      <c r="F26" s="71"/>
      <c r="G26" s="78">
        <f t="shared" si="0"/>
        <v>0</v>
      </c>
      <c r="H26" s="65"/>
    </row>
    <row r="27" spans="1:8" x14ac:dyDescent="0.3">
      <c r="A27" s="64">
        <v>12</v>
      </c>
      <c r="B27" s="66"/>
      <c r="C27" s="65"/>
      <c r="D27" s="65"/>
      <c r="E27" s="71"/>
      <c r="F27" s="71"/>
      <c r="G27" s="78">
        <f t="shared" si="0"/>
        <v>0</v>
      </c>
      <c r="H27" s="65"/>
    </row>
    <row r="28" spans="1:8" x14ac:dyDescent="0.3">
      <c r="A28" s="64">
        <v>13</v>
      </c>
      <c r="B28" s="66"/>
      <c r="C28" s="65"/>
      <c r="D28" s="65"/>
      <c r="E28" s="71"/>
      <c r="F28" s="71"/>
      <c r="G28" s="78">
        <f t="shared" si="0"/>
        <v>0</v>
      </c>
      <c r="H28" s="65"/>
    </row>
    <row r="29" spans="1:8" x14ac:dyDescent="0.3">
      <c r="A29" s="64">
        <v>14</v>
      </c>
      <c r="B29" s="66"/>
      <c r="C29" s="65"/>
      <c r="D29" s="65"/>
      <c r="E29" s="71"/>
      <c r="F29" s="71"/>
      <c r="G29" s="78">
        <f t="shared" si="0"/>
        <v>0</v>
      </c>
      <c r="H29" s="65"/>
    </row>
    <row r="30" spans="1:8" x14ac:dyDescent="0.3">
      <c r="A30" s="64">
        <v>15</v>
      </c>
      <c r="B30" s="66"/>
      <c r="C30" s="65"/>
      <c r="D30" s="65"/>
      <c r="E30" s="71"/>
      <c r="F30" s="71"/>
      <c r="G30" s="78">
        <f t="shared" si="0"/>
        <v>0</v>
      </c>
      <c r="H30" s="65"/>
    </row>
    <row r="31" spans="1:8" x14ac:dyDescent="0.3">
      <c r="A31" s="160" t="s">
        <v>285</v>
      </c>
      <c r="B31" s="141"/>
      <c r="C31" s="141"/>
      <c r="D31" s="142"/>
      <c r="E31" s="73">
        <f>SUM(E16:E30)</f>
        <v>750</v>
      </c>
      <c r="F31" s="73">
        <f>SUM(F16:F30)</f>
        <v>800</v>
      </c>
      <c r="G31" s="73">
        <f>SUM(G16:G30)</f>
        <v>-50</v>
      </c>
    </row>
    <row r="33" spans="1:8" x14ac:dyDescent="0.3">
      <c r="A33" s="164" t="s">
        <v>286</v>
      </c>
      <c r="B33" s="115"/>
      <c r="C33" s="115"/>
      <c r="D33" s="115"/>
      <c r="E33" s="115"/>
      <c r="F33" s="115"/>
      <c r="G33" s="115"/>
      <c r="H33" s="115"/>
    </row>
    <row r="34" spans="1:8" ht="45" customHeight="1" x14ac:dyDescent="0.3">
      <c r="A34" s="74" t="s">
        <v>175</v>
      </c>
      <c r="B34" s="74" t="s">
        <v>281</v>
      </c>
      <c r="C34" s="74" t="s">
        <v>287</v>
      </c>
      <c r="D34" s="74" t="s">
        <v>288</v>
      </c>
      <c r="E34" s="74" t="s">
        <v>289</v>
      </c>
      <c r="F34" s="74" t="s">
        <v>290</v>
      </c>
      <c r="G34" s="74" t="s">
        <v>291</v>
      </c>
      <c r="H34" s="74" t="s">
        <v>113</v>
      </c>
    </row>
    <row r="35" spans="1:8" x14ac:dyDescent="0.3">
      <c r="A35" s="64">
        <v>1</v>
      </c>
      <c r="B35" s="66"/>
      <c r="C35" s="65"/>
      <c r="D35" s="65"/>
      <c r="E35" s="65"/>
      <c r="F35" s="72" t="str">
        <f t="shared" ref="F35:F49" si="1">IF(OR(C35="",E35=""),"",E35-C35)</f>
        <v/>
      </c>
      <c r="G35" s="66"/>
      <c r="H35" s="66"/>
    </row>
    <row r="36" spans="1:8" x14ac:dyDescent="0.3">
      <c r="A36" s="64">
        <v>2</v>
      </c>
      <c r="B36" s="66"/>
      <c r="C36" s="65"/>
      <c r="D36" s="65"/>
      <c r="E36" s="65"/>
      <c r="F36" s="72" t="str">
        <f t="shared" si="1"/>
        <v/>
      </c>
      <c r="G36" s="66"/>
      <c r="H36" s="66"/>
    </row>
    <row r="37" spans="1:8" x14ac:dyDescent="0.3">
      <c r="A37" s="64">
        <v>3</v>
      </c>
      <c r="B37" s="66"/>
      <c r="C37" s="65"/>
      <c r="D37" s="65"/>
      <c r="E37" s="65"/>
      <c r="F37" s="72" t="str">
        <f t="shared" si="1"/>
        <v/>
      </c>
      <c r="G37" s="66"/>
      <c r="H37" s="66"/>
    </row>
    <row r="38" spans="1:8" x14ac:dyDescent="0.3">
      <c r="A38" s="64">
        <v>4</v>
      </c>
      <c r="B38" s="66"/>
      <c r="C38" s="65"/>
      <c r="D38" s="65"/>
      <c r="E38" s="65"/>
      <c r="F38" s="72" t="str">
        <f t="shared" si="1"/>
        <v/>
      </c>
      <c r="G38" s="66"/>
      <c r="H38" s="66"/>
    </row>
    <row r="39" spans="1:8" x14ac:dyDescent="0.3">
      <c r="A39" s="64">
        <v>5</v>
      </c>
      <c r="B39" s="66"/>
      <c r="C39" s="65"/>
      <c r="D39" s="65"/>
      <c r="E39" s="65"/>
      <c r="F39" s="72" t="str">
        <f t="shared" si="1"/>
        <v/>
      </c>
      <c r="G39" s="66"/>
      <c r="H39" s="66"/>
    </row>
    <row r="40" spans="1:8" x14ac:dyDescent="0.3">
      <c r="A40" s="64">
        <v>6</v>
      </c>
      <c r="B40" s="66"/>
      <c r="C40" s="65"/>
      <c r="D40" s="65"/>
      <c r="E40" s="65"/>
      <c r="F40" s="72" t="str">
        <f t="shared" si="1"/>
        <v/>
      </c>
      <c r="G40" s="66"/>
      <c r="H40" s="66"/>
    </row>
    <row r="41" spans="1:8" x14ac:dyDescent="0.3">
      <c r="A41" s="64">
        <v>7</v>
      </c>
      <c r="B41" s="66"/>
      <c r="C41" s="65"/>
      <c r="D41" s="65"/>
      <c r="E41" s="65"/>
      <c r="F41" s="72" t="str">
        <f t="shared" si="1"/>
        <v/>
      </c>
      <c r="G41" s="66"/>
      <c r="H41" s="66"/>
    </row>
    <row r="42" spans="1:8" x14ac:dyDescent="0.3">
      <c r="A42" s="64">
        <v>8</v>
      </c>
      <c r="B42" s="66"/>
      <c r="C42" s="65"/>
      <c r="D42" s="65"/>
      <c r="E42" s="65"/>
      <c r="F42" s="72" t="str">
        <f t="shared" si="1"/>
        <v/>
      </c>
      <c r="G42" s="66"/>
      <c r="H42" s="66"/>
    </row>
    <row r="43" spans="1:8" x14ac:dyDescent="0.3">
      <c r="A43" s="64">
        <v>9</v>
      </c>
      <c r="B43" s="66"/>
      <c r="C43" s="65"/>
      <c r="D43" s="65"/>
      <c r="E43" s="65"/>
      <c r="F43" s="72" t="str">
        <f t="shared" si="1"/>
        <v/>
      </c>
      <c r="G43" s="66"/>
      <c r="H43" s="66"/>
    </row>
    <row r="44" spans="1:8" x14ac:dyDescent="0.3">
      <c r="A44" s="64">
        <v>10</v>
      </c>
      <c r="B44" s="66"/>
      <c r="C44" s="65"/>
      <c r="D44" s="65"/>
      <c r="E44" s="65"/>
      <c r="F44" s="72" t="str">
        <f t="shared" si="1"/>
        <v/>
      </c>
      <c r="G44" s="66"/>
      <c r="H44" s="66"/>
    </row>
    <row r="45" spans="1:8" x14ac:dyDescent="0.3">
      <c r="A45" s="64">
        <v>11</v>
      </c>
      <c r="B45" s="66"/>
      <c r="C45" s="65"/>
      <c r="D45" s="65"/>
      <c r="E45" s="65"/>
      <c r="F45" s="72" t="str">
        <f t="shared" si="1"/>
        <v/>
      </c>
      <c r="G45" s="66"/>
      <c r="H45" s="66"/>
    </row>
    <row r="46" spans="1:8" x14ac:dyDescent="0.3">
      <c r="A46" s="64">
        <v>12</v>
      </c>
      <c r="B46" s="66"/>
      <c r="C46" s="65"/>
      <c r="D46" s="65"/>
      <c r="E46" s="65"/>
      <c r="F46" s="72" t="str">
        <f t="shared" si="1"/>
        <v/>
      </c>
      <c r="G46" s="66"/>
      <c r="H46" s="66"/>
    </row>
    <row r="47" spans="1:8" x14ac:dyDescent="0.3">
      <c r="A47" s="64">
        <v>13</v>
      </c>
      <c r="B47" s="66"/>
      <c r="C47" s="65"/>
      <c r="D47" s="65"/>
      <c r="E47" s="65"/>
      <c r="F47" s="72" t="str">
        <f t="shared" si="1"/>
        <v/>
      </c>
      <c r="G47" s="66"/>
      <c r="H47" s="66"/>
    </row>
    <row r="48" spans="1:8" x14ac:dyDescent="0.3">
      <c r="A48" s="64">
        <v>14</v>
      </c>
      <c r="B48" s="66"/>
      <c r="C48" s="65"/>
      <c r="D48" s="65"/>
      <c r="E48" s="65"/>
      <c r="F48" s="72" t="str">
        <f t="shared" si="1"/>
        <v/>
      </c>
      <c r="G48" s="66"/>
      <c r="H48" s="66"/>
    </row>
    <row r="49" spans="1:8" x14ac:dyDescent="0.3">
      <c r="A49" s="64">
        <v>15</v>
      </c>
      <c r="B49" s="66"/>
      <c r="C49" s="65"/>
      <c r="D49" s="65"/>
      <c r="E49" s="65"/>
      <c r="F49" s="72" t="str">
        <f t="shared" si="1"/>
        <v/>
      </c>
      <c r="G49" s="66"/>
      <c r="H49" s="66"/>
    </row>
    <row r="51" spans="1:8" x14ac:dyDescent="0.3">
      <c r="A51" s="164" t="s">
        <v>292</v>
      </c>
      <c r="B51" s="115"/>
      <c r="C51" s="115"/>
      <c r="D51" s="115"/>
      <c r="E51" s="115"/>
      <c r="F51" s="115"/>
      <c r="G51" s="115"/>
      <c r="H51" s="115"/>
    </row>
    <row r="52" spans="1:8" x14ac:dyDescent="0.3">
      <c r="A52" s="147" t="s">
        <v>293</v>
      </c>
      <c r="B52" s="141"/>
      <c r="C52" s="141"/>
      <c r="D52" s="141"/>
      <c r="E52" s="142"/>
      <c r="F52" s="79">
        <v>8</v>
      </c>
    </row>
    <row r="53" spans="1:8" x14ac:dyDescent="0.3">
      <c r="A53" s="147" t="s">
        <v>294</v>
      </c>
      <c r="B53" s="141"/>
      <c r="C53" s="141"/>
      <c r="D53" s="141"/>
      <c r="E53" s="142"/>
      <c r="F53" s="79"/>
    </row>
    <row r="54" spans="1:8" x14ac:dyDescent="0.3">
      <c r="A54" s="147" t="s">
        <v>295</v>
      </c>
      <c r="B54" s="141"/>
      <c r="C54" s="141"/>
      <c r="D54" s="141"/>
      <c r="E54" s="142"/>
      <c r="F54" s="79"/>
    </row>
    <row r="55" spans="1:8" x14ac:dyDescent="0.3">
      <c r="A55" s="147" t="s">
        <v>296</v>
      </c>
      <c r="B55" s="141"/>
      <c r="C55" s="141"/>
      <c r="D55" s="141"/>
      <c r="E55" s="142"/>
      <c r="F55" s="79"/>
    </row>
    <row r="56" spans="1:8" x14ac:dyDescent="0.3">
      <c r="A56" s="147" t="s">
        <v>297</v>
      </c>
      <c r="B56" s="141"/>
      <c r="C56" s="141"/>
      <c r="D56" s="141"/>
      <c r="E56" s="142"/>
      <c r="F56" s="79"/>
    </row>
    <row r="57" spans="1:8" x14ac:dyDescent="0.3">
      <c r="A57" s="147" t="s">
        <v>298</v>
      </c>
      <c r="B57" s="141"/>
      <c r="C57" s="141"/>
      <c r="D57" s="141"/>
      <c r="E57" s="142"/>
      <c r="F57" s="79"/>
    </row>
    <row r="59" spans="1:8" x14ac:dyDescent="0.3">
      <c r="A59" s="164" t="s">
        <v>299</v>
      </c>
      <c r="B59" s="115"/>
      <c r="C59" s="115"/>
      <c r="D59" s="115"/>
      <c r="E59" s="115"/>
      <c r="F59" s="115"/>
      <c r="G59" s="115"/>
      <c r="H59" s="115"/>
    </row>
    <row r="60" spans="1:8" x14ac:dyDescent="0.3">
      <c r="A60" s="165"/>
      <c r="B60" s="150"/>
      <c r="C60" s="150"/>
      <c r="D60" s="150"/>
      <c r="E60" s="150"/>
      <c r="F60" s="150"/>
      <c r="G60" s="150"/>
      <c r="H60" s="151"/>
    </row>
    <row r="61" spans="1:8" x14ac:dyDescent="0.3">
      <c r="A61" s="154"/>
      <c r="B61" s="115"/>
      <c r="C61" s="115"/>
      <c r="D61" s="115"/>
      <c r="E61" s="115"/>
      <c r="F61" s="115"/>
      <c r="G61" s="115"/>
      <c r="H61" s="155"/>
    </row>
    <row r="62" spans="1:8" x14ac:dyDescent="0.3">
      <c r="A62" s="154"/>
      <c r="B62" s="115"/>
      <c r="C62" s="115"/>
      <c r="D62" s="115"/>
      <c r="E62" s="115"/>
      <c r="F62" s="115"/>
      <c r="G62" s="115"/>
      <c r="H62" s="155"/>
    </row>
    <row r="63" spans="1:8" x14ac:dyDescent="0.3">
      <c r="A63" s="154"/>
      <c r="B63" s="115"/>
      <c r="C63" s="115"/>
      <c r="D63" s="115"/>
      <c r="E63" s="115"/>
      <c r="F63" s="115"/>
      <c r="G63" s="115"/>
      <c r="H63" s="155"/>
    </row>
    <row r="64" spans="1:8" x14ac:dyDescent="0.3">
      <c r="A64" s="154"/>
      <c r="B64" s="115"/>
      <c r="C64" s="115"/>
      <c r="D64" s="115"/>
      <c r="E64" s="115"/>
      <c r="F64" s="115"/>
      <c r="G64" s="115"/>
      <c r="H64" s="155"/>
    </row>
    <row r="65" spans="1:8" x14ac:dyDescent="0.3">
      <c r="A65" s="156"/>
      <c r="B65" s="136"/>
      <c r="C65" s="136"/>
      <c r="D65" s="136"/>
      <c r="E65" s="136"/>
      <c r="F65" s="136"/>
      <c r="G65" s="136"/>
      <c r="H65" s="157"/>
    </row>
    <row r="73" spans="1:8" x14ac:dyDescent="0.3">
      <c r="A73" s="40" t="s">
        <v>123</v>
      </c>
      <c r="B73" s="23"/>
      <c r="C73" s="23"/>
      <c r="F73" s="40" t="s">
        <v>124</v>
      </c>
      <c r="G73" s="23"/>
      <c r="H73" s="23"/>
    </row>
    <row r="74" spans="1:8" x14ac:dyDescent="0.3">
      <c r="A74" s="41" t="s">
        <v>125</v>
      </c>
      <c r="F74" s="41" t="s">
        <v>125</v>
      </c>
    </row>
    <row r="97" spans="1:1" x14ac:dyDescent="0.3">
      <c r="A97" s="24" t="str">
        <f>HYPERLINK("#'INDICE'!A12","&lt;&lt; Volver al Indice")</f>
        <v>&lt;&lt; Volver al Indice</v>
      </c>
    </row>
  </sheetData>
  <mergeCells count="17">
    <mergeCell ref="A60:H65"/>
    <mergeCell ref="A33:H33"/>
    <mergeCell ref="A14:H14"/>
    <mergeCell ref="B12:D12"/>
    <mergeCell ref="A56:E56"/>
    <mergeCell ref="A57:E57"/>
    <mergeCell ref="A59:H59"/>
    <mergeCell ref="A54:E54"/>
    <mergeCell ref="A52:E52"/>
    <mergeCell ref="A51:H51"/>
    <mergeCell ref="A53:E53"/>
    <mergeCell ref="A55:E55"/>
    <mergeCell ref="F11:G11"/>
    <mergeCell ref="F12:G12"/>
    <mergeCell ref="A31:D31"/>
    <mergeCell ref="A10:H10"/>
    <mergeCell ref="B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92"/>
  <sheetViews>
    <sheetView workbookViewId="0">
      <selection activeCell="D5" sqref="D5:D8"/>
    </sheetView>
  </sheetViews>
  <sheetFormatPr baseColWidth="10" defaultColWidth="9.109375" defaultRowHeight="15.05" x14ac:dyDescent="0.3"/>
  <cols>
    <col min="2" max="2" width="26.44140625" customWidth="1"/>
    <col min="3" max="3" width="18.33203125" customWidth="1"/>
    <col min="4" max="4" width="24.109375" customWidth="1"/>
    <col min="5" max="5" width="14.44140625" customWidth="1"/>
    <col min="6" max="6" width="19.109375" customWidth="1"/>
    <col min="7" max="7" width="15" customWidth="1"/>
    <col min="8" max="8" width="15.88671875" customWidth="1"/>
    <col min="9" max="9" width="16.88671875" customWidth="1"/>
    <col min="10" max="10" width="14.88671875" customWidth="1"/>
  </cols>
  <sheetData>
    <row r="2" spans="1:10" x14ac:dyDescent="0.3">
      <c r="G2" s="42" t="str">
        <f>HYPERLINK("#'PA-1'!A1","☰ PROGRAMA")</f>
        <v>☰ PROGRAMA</v>
      </c>
      <c r="H2" s="13" t="str">
        <f>HYPERLINK("#INDICE!A1","◄ ÍNDICE")</f>
        <v>◄ ÍNDICE</v>
      </c>
    </row>
    <row r="3" spans="1:10" x14ac:dyDescent="0.3">
      <c r="D3" s="25"/>
    </row>
    <row r="4" spans="1:10" ht="22.6" customHeight="1" x14ac:dyDescent="0.3">
      <c r="J4" s="58" t="s">
        <v>26</v>
      </c>
    </row>
    <row r="5" spans="1:10" x14ac:dyDescent="0.3">
      <c r="D5" s="113" t="s">
        <v>383</v>
      </c>
    </row>
    <row r="6" spans="1:10" x14ac:dyDescent="0.3">
      <c r="D6" s="113" t="s">
        <v>162</v>
      </c>
      <c r="I6" s="15" t="s">
        <v>35</v>
      </c>
      <c r="J6" s="15"/>
    </row>
    <row r="7" spans="1:10" x14ac:dyDescent="0.3">
      <c r="D7" s="113" t="s">
        <v>384</v>
      </c>
      <c r="I7" s="15" t="s">
        <v>36</v>
      </c>
      <c r="J7" s="15"/>
    </row>
    <row r="8" spans="1:10" x14ac:dyDescent="0.3">
      <c r="D8" s="113" t="s">
        <v>385</v>
      </c>
      <c r="I8" s="15" t="s">
        <v>38</v>
      </c>
      <c r="J8" s="15"/>
    </row>
    <row r="9" spans="1:10" x14ac:dyDescent="0.3">
      <c r="I9" s="15" t="s">
        <v>39</v>
      </c>
      <c r="J9" s="15"/>
    </row>
    <row r="10" spans="1:10" ht="18.850000000000001" customHeight="1" x14ac:dyDescent="0.3">
      <c r="A10" s="166" t="s">
        <v>300</v>
      </c>
      <c r="B10" s="115"/>
      <c r="C10" s="115"/>
      <c r="D10" s="115"/>
      <c r="E10" s="115"/>
      <c r="F10" s="115"/>
      <c r="G10" s="115"/>
      <c r="H10" s="115"/>
    </row>
    <row r="11" spans="1:10" x14ac:dyDescent="0.3">
      <c r="A11" t="s">
        <v>128</v>
      </c>
      <c r="B11" s="162"/>
      <c r="C11" s="115"/>
      <c r="D11" s="115"/>
      <c r="E11" t="s">
        <v>254</v>
      </c>
      <c r="F11" s="162"/>
      <c r="G11" s="115"/>
    </row>
    <row r="12" spans="1:10" x14ac:dyDescent="0.3">
      <c r="A12" t="s">
        <v>131</v>
      </c>
      <c r="B12" s="162"/>
      <c r="C12" s="115"/>
      <c r="D12" s="115"/>
      <c r="E12" t="s">
        <v>149</v>
      </c>
      <c r="F12" s="162"/>
      <c r="G12" s="115"/>
    </row>
    <row r="14" spans="1:10" x14ac:dyDescent="0.3">
      <c r="A14" s="164" t="s">
        <v>301</v>
      </c>
      <c r="B14" s="115"/>
      <c r="C14" s="115"/>
      <c r="D14" s="115"/>
      <c r="E14" s="115"/>
      <c r="F14" s="115"/>
      <c r="G14" s="115"/>
      <c r="H14" s="115"/>
    </row>
    <row r="15" spans="1:10" ht="29.95" customHeight="1" x14ac:dyDescent="0.3">
      <c r="A15" s="70" t="s">
        <v>175</v>
      </c>
      <c r="B15" s="70" t="s">
        <v>302</v>
      </c>
      <c r="C15" s="70" t="s">
        <v>282</v>
      </c>
      <c r="D15" s="70" t="s">
        <v>303</v>
      </c>
      <c r="E15" s="70" t="s">
        <v>304</v>
      </c>
      <c r="F15" s="70" t="s">
        <v>305</v>
      </c>
      <c r="G15" s="70" t="s">
        <v>306</v>
      </c>
      <c r="H15" s="70" t="s">
        <v>307</v>
      </c>
    </row>
    <row r="16" spans="1:10" x14ac:dyDescent="0.3">
      <c r="A16" s="64">
        <v>1</v>
      </c>
      <c r="B16" s="66"/>
      <c r="C16" s="65"/>
      <c r="D16" s="65"/>
      <c r="E16" s="71">
        <v>500</v>
      </c>
      <c r="F16" s="66"/>
      <c r="G16" s="65"/>
      <c r="H16" s="65"/>
    </row>
    <row r="17" spans="1:8" x14ac:dyDescent="0.3">
      <c r="A17" s="64">
        <v>2</v>
      </c>
      <c r="B17" s="66"/>
      <c r="C17" s="65"/>
      <c r="D17" s="65"/>
      <c r="E17" s="71"/>
      <c r="F17" s="66"/>
      <c r="G17" s="65"/>
      <c r="H17" s="65"/>
    </row>
    <row r="18" spans="1:8" x14ac:dyDescent="0.3">
      <c r="A18" s="64">
        <v>3</v>
      </c>
      <c r="B18" s="66"/>
      <c r="C18" s="65"/>
      <c r="D18" s="65"/>
      <c r="E18" s="71"/>
      <c r="F18" s="66"/>
      <c r="G18" s="65"/>
      <c r="H18" s="65"/>
    </row>
    <row r="19" spans="1:8" x14ac:dyDescent="0.3">
      <c r="A19" s="64">
        <v>4</v>
      </c>
      <c r="B19" s="66"/>
      <c r="C19" s="65"/>
      <c r="D19" s="65"/>
      <c r="E19" s="71"/>
      <c r="F19" s="66"/>
      <c r="G19" s="65"/>
      <c r="H19" s="65"/>
    </row>
    <row r="20" spans="1:8" x14ac:dyDescent="0.3">
      <c r="A20" s="64">
        <v>5</v>
      </c>
      <c r="B20" s="66"/>
      <c r="C20" s="65"/>
      <c r="D20" s="65"/>
      <c r="E20" s="71"/>
      <c r="F20" s="66"/>
      <c r="G20" s="65"/>
      <c r="H20" s="65"/>
    </row>
    <row r="21" spans="1:8" x14ac:dyDescent="0.3">
      <c r="A21" s="64">
        <v>6</v>
      </c>
      <c r="B21" s="66"/>
      <c r="C21" s="65"/>
      <c r="D21" s="65"/>
      <c r="E21" s="71"/>
      <c r="F21" s="66"/>
      <c r="G21" s="65"/>
      <c r="H21" s="65"/>
    </row>
    <row r="22" spans="1:8" x14ac:dyDescent="0.3">
      <c r="A22" s="64">
        <v>7</v>
      </c>
      <c r="B22" s="66"/>
      <c r="C22" s="65"/>
      <c r="D22" s="65"/>
      <c r="E22" s="71"/>
      <c r="F22" s="66"/>
      <c r="G22" s="65"/>
      <c r="H22" s="65"/>
    </row>
    <row r="23" spans="1:8" x14ac:dyDescent="0.3">
      <c r="A23" s="64">
        <v>8</v>
      </c>
      <c r="B23" s="66"/>
      <c r="C23" s="65"/>
      <c r="D23" s="65"/>
      <c r="E23" s="71"/>
      <c r="F23" s="66"/>
      <c r="G23" s="65"/>
      <c r="H23" s="65"/>
    </row>
    <row r="24" spans="1:8" x14ac:dyDescent="0.3">
      <c r="A24" s="64">
        <v>9</v>
      </c>
      <c r="B24" s="66"/>
      <c r="C24" s="65"/>
      <c r="D24" s="65"/>
      <c r="E24" s="71"/>
      <c r="F24" s="66"/>
      <c r="G24" s="65"/>
      <c r="H24" s="65"/>
    </row>
    <row r="25" spans="1:8" x14ac:dyDescent="0.3">
      <c r="A25" s="64">
        <v>10</v>
      </c>
      <c r="B25" s="66"/>
      <c r="C25" s="65"/>
      <c r="D25" s="65"/>
      <c r="E25" s="71"/>
      <c r="F25" s="66"/>
      <c r="G25" s="65"/>
      <c r="H25" s="65"/>
    </row>
    <row r="26" spans="1:8" x14ac:dyDescent="0.3">
      <c r="A26" s="64">
        <v>11</v>
      </c>
      <c r="B26" s="66"/>
      <c r="C26" s="65"/>
      <c r="D26" s="65"/>
      <c r="E26" s="71"/>
      <c r="F26" s="66"/>
      <c r="G26" s="65"/>
      <c r="H26" s="65"/>
    </row>
    <row r="27" spans="1:8" x14ac:dyDescent="0.3">
      <c r="A27" s="64">
        <v>12</v>
      </c>
      <c r="B27" s="66"/>
      <c r="C27" s="65"/>
      <c r="D27" s="65"/>
      <c r="E27" s="71"/>
      <c r="F27" s="66"/>
      <c r="G27" s="65"/>
      <c r="H27" s="65"/>
    </row>
    <row r="28" spans="1:8" x14ac:dyDescent="0.3">
      <c r="A28" s="64">
        <v>13</v>
      </c>
      <c r="B28" s="66"/>
      <c r="C28" s="65"/>
      <c r="D28" s="65"/>
      <c r="E28" s="71"/>
      <c r="F28" s="66"/>
      <c r="G28" s="65"/>
      <c r="H28" s="65"/>
    </row>
    <row r="29" spans="1:8" x14ac:dyDescent="0.3">
      <c r="A29" s="64">
        <v>14</v>
      </c>
      <c r="B29" s="66"/>
      <c r="C29" s="65"/>
      <c r="D29" s="65"/>
      <c r="E29" s="71"/>
      <c r="F29" s="66"/>
      <c r="G29" s="65"/>
      <c r="H29" s="65"/>
    </row>
    <row r="30" spans="1:8" x14ac:dyDescent="0.3">
      <c r="A30" s="64">
        <v>15</v>
      </c>
      <c r="B30" s="66"/>
      <c r="C30" s="65"/>
      <c r="D30" s="65"/>
      <c r="E30" s="71"/>
      <c r="F30" s="66"/>
      <c r="G30" s="65"/>
      <c r="H30" s="65"/>
    </row>
    <row r="31" spans="1:8" x14ac:dyDescent="0.3">
      <c r="A31" s="160" t="s">
        <v>308</v>
      </c>
      <c r="B31" s="141"/>
      <c r="C31" s="141"/>
      <c r="D31" s="142"/>
      <c r="E31" s="80">
        <f>SUM(E16:E30)</f>
        <v>500</v>
      </c>
    </row>
    <row r="33" spans="1:8" ht="18.850000000000001" customHeight="1" x14ac:dyDescent="0.3">
      <c r="A33" s="164" t="s">
        <v>309</v>
      </c>
      <c r="B33" s="115"/>
      <c r="C33" s="115"/>
      <c r="D33" s="115"/>
      <c r="E33" s="115"/>
      <c r="F33" s="115"/>
      <c r="G33" s="115"/>
      <c r="H33" s="115"/>
    </row>
    <row r="34" spans="1:8" ht="45" customHeight="1" x14ac:dyDescent="0.3">
      <c r="A34" s="74" t="s">
        <v>310</v>
      </c>
      <c r="B34" s="74" t="s">
        <v>134</v>
      </c>
      <c r="C34" s="74" t="s">
        <v>311</v>
      </c>
      <c r="D34" s="74" t="s">
        <v>312</v>
      </c>
    </row>
    <row r="35" spans="1:8" x14ac:dyDescent="0.3">
      <c r="A35" s="15" t="s">
        <v>313</v>
      </c>
      <c r="B35" s="81"/>
      <c r="C35" s="71">
        <v>8</v>
      </c>
      <c r="D35" s="76">
        <f>IF(C42=0,0,C35/C42)</f>
        <v>0.38095238095238093</v>
      </c>
    </row>
    <row r="36" spans="1:8" x14ac:dyDescent="0.3">
      <c r="A36" s="15" t="s">
        <v>314</v>
      </c>
      <c r="B36" s="81"/>
      <c r="C36" s="71">
        <v>5</v>
      </c>
      <c r="D36" s="76">
        <f>IF(C42=0,0,C36/C42)</f>
        <v>0.23809523809523808</v>
      </c>
    </row>
    <row r="37" spans="1:8" x14ac:dyDescent="0.3">
      <c r="A37" s="15" t="s">
        <v>315</v>
      </c>
      <c r="B37" s="81"/>
      <c r="C37" s="71">
        <v>8</v>
      </c>
      <c r="D37" s="76">
        <f>IF(C42=0,0,C37/C42)</f>
        <v>0.38095238095238093</v>
      </c>
    </row>
    <row r="38" spans="1:8" x14ac:dyDescent="0.3">
      <c r="A38" s="15" t="s">
        <v>316</v>
      </c>
      <c r="B38" s="81"/>
      <c r="C38" s="71"/>
      <c r="D38" s="76">
        <f>IF(C42=0,0,C38/C42)</f>
        <v>0</v>
      </c>
    </row>
    <row r="39" spans="1:8" x14ac:dyDescent="0.3">
      <c r="A39" s="15" t="s">
        <v>317</v>
      </c>
      <c r="B39" s="81"/>
      <c r="C39" s="71"/>
      <c r="D39" s="76">
        <f>IF(C42=0,0,C39/C42)</f>
        <v>0</v>
      </c>
    </row>
    <row r="40" spans="1:8" x14ac:dyDescent="0.3">
      <c r="A40" s="15" t="s">
        <v>318</v>
      </c>
      <c r="B40" s="81"/>
      <c r="C40" s="71"/>
      <c r="D40" s="76">
        <f>IF(C42=0,0,C40/C42)</f>
        <v>0</v>
      </c>
    </row>
    <row r="41" spans="1:8" x14ac:dyDescent="0.3">
      <c r="A41" s="15" t="s">
        <v>319</v>
      </c>
      <c r="B41" s="81"/>
      <c r="C41" s="71"/>
      <c r="D41" s="76">
        <f>IF(C42=0,0,C41/C42)</f>
        <v>0</v>
      </c>
    </row>
    <row r="42" spans="1:8" x14ac:dyDescent="0.3">
      <c r="A42" s="54" t="s">
        <v>100</v>
      </c>
      <c r="B42" s="82">
        <f>SUM(B35:B41)</f>
        <v>0</v>
      </c>
      <c r="C42" s="73">
        <f>SUM(C35:C41)</f>
        <v>21</v>
      </c>
      <c r="D42" s="77" t="s">
        <v>278</v>
      </c>
    </row>
    <row r="44" spans="1:8" x14ac:dyDescent="0.3">
      <c r="A44" s="164" t="s">
        <v>320</v>
      </c>
      <c r="B44" s="115"/>
      <c r="C44" s="115"/>
      <c r="D44" s="115"/>
      <c r="E44" s="115"/>
      <c r="F44" s="115"/>
      <c r="G44" s="115"/>
      <c r="H44" s="115"/>
    </row>
    <row r="45" spans="1:8" ht="45" customHeight="1" x14ac:dyDescent="0.3">
      <c r="A45" s="179" t="s">
        <v>140</v>
      </c>
      <c r="B45" s="141"/>
      <c r="C45" s="141"/>
      <c r="D45" s="142"/>
      <c r="E45" s="49" t="s">
        <v>178</v>
      </c>
      <c r="F45" s="74" t="s">
        <v>321</v>
      </c>
    </row>
    <row r="46" spans="1:8" x14ac:dyDescent="0.3">
      <c r="A46" s="147" t="s">
        <v>322</v>
      </c>
      <c r="B46" s="141"/>
      <c r="C46" s="141"/>
      <c r="D46" s="142"/>
      <c r="E46" s="83"/>
      <c r="F46" s="84" t="s">
        <v>278</v>
      </c>
    </row>
    <row r="47" spans="1:8" x14ac:dyDescent="0.3">
      <c r="A47" s="147" t="s">
        <v>323</v>
      </c>
      <c r="B47" s="141"/>
      <c r="C47" s="141"/>
      <c r="D47" s="142"/>
      <c r="E47" s="85">
        <f>E31</f>
        <v>500</v>
      </c>
      <c r="F47" s="76">
        <f>IF(E46=0,0,E47/E46)</f>
        <v>0</v>
      </c>
    </row>
    <row r="48" spans="1:8" x14ac:dyDescent="0.3">
      <c r="A48" s="160" t="s">
        <v>324</v>
      </c>
      <c r="B48" s="141"/>
      <c r="C48" s="141"/>
      <c r="D48" s="142"/>
      <c r="E48" s="73">
        <f>E46-E47</f>
        <v>-500</v>
      </c>
      <c r="F48" s="86">
        <f>IF(E46=0,0,E48/E46)</f>
        <v>0</v>
      </c>
    </row>
    <row r="50" spans="1:8" x14ac:dyDescent="0.3">
      <c r="A50" s="164" t="s">
        <v>325</v>
      </c>
      <c r="B50" s="115"/>
      <c r="C50" s="115"/>
      <c r="D50" s="115"/>
      <c r="E50" s="115"/>
      <c r="F50" s="115"/>
      <c r="G50" s="115"/>
      <c r="H50" s="115"/>
    </row>
    <row r="51" spans="1:8" x14ac:dyDescent="0.3">
      <c r="A51" s="147" t="s">
        <v>326</v>
      </c>
      <c r="B51" s="141"/>
      <c r="C51" s="141"/>
      <c r="D51" s="141"/>
      <c r="E51" s="142"/>
      <c r="F51" s="79"/>
    </row>
    <row r="52" spans="1:8" x14ac:dyDescent="0.3">
      <c r="A52" s="147" t="s">
        <v>327</v>
      </c>
      <c r="B52" s="141"/>
      <c r="C52" s="141"/>
      <c r="D52" s="141"/>
      <c r="E52" s="142"/>
      <c r="F52" s="79"/>
    </row>
    <row r="53" spans="1:8" x14ac:dyDescent="0.3">
      <c r="A53" s="147" t="s">
        <v>328</v>
      </c>
      <c r="B53" s="141"/>
      <c r="C53" s="141"/>
      <c r="D53" s="141"/>
      <c r="E53" s="142"/>
      <c r="F53" s="79"/>
    </row>
    <row r="54" spans="1:8" x14ac:dyDescent="0.3">
      <c r="A54" s="147" t="s">
        <v>329</v>
      </c>
      <c r="B54" s="141"/>
      <c r="C54" s="141"/>
      <c r="D54" s="141"/>
      <c r="E54" s="142"/>
      <c r="F54" s="79"/>
    </row>
    <row r="55" spans="1:8" x14ac:dyDescent="0.3">
      <c r="A55" s="147" t="s">
        <v>330</v>
      </c>
      <c r="B55" s="141"/>
      <c r="C55" s="141"/>
      <c r="D55" s="141"/>
      <c r="E55" s="142"/>
      <c r="F55" s="79"/>
    </row>
    <row r="56" spans="1:8" x14ac:dyDescent="0.3">
      <c r="A56" s="147" t="s">
        <v>331</v>
      </c>
      <c r="B56" s="141"/>
      <c r="C56" s="141"/>
      <c r="D56" s="141"/>
      <c r="E56" s="142"/>
      <c r="F56" s="79"/>
    </row>
    <row r="58" spans="1:8" x14ac:dyDescent="0.3">
      <c r="A58" s="164" t="s">
        <v>332</v>
      </c>
      <c r="B58" s="115"/>
      <c r="C58" s="115"/>
      <c r="D58" s="115"/>
      <c r="E58" s="115"/>
      <c r="F58" s="115"/>
      <c r="G58" s="115"/>
      <c r="H58" s="115"/>
    </row>
    <row r="59" spans="1:8" x14ac:dyDescent="0.3">
      <c r="A59" s="165"/>
      <c r="B59" s="150"/>
      <c r="C59" s="150"/>
      <c r="D59" s="150"/>
      <c r="E59" s="150"/>
      <c r="F59" s="150"/>
      <c r="G59" s="150"/>
      <c r="H59" s="151"/>
    </row>
    <row r="60" spans="1:8" x14ac:dyDescent="0.3">
      <c r="A60" s="154"/>
      <c r="B60" s="115"/>
      <c r="C60" s="115"/>
      <c r="D60" s="115"/>
      <c r="E60" s="115"/>
      <c r="F60" s="115"/>
      <c r="G60" s="115"/>
      <c r="H60" s="155"/>
    </row>
    <row r="61" spans="1:8" x14ac:dyDescent="0.3">
      <c r="A61" s="154"/>
      <c r="B61" s="115"/>
      <c r="C61" s="115"/>
      <c r="D61" s="115"/>
      <c r="E61" s="115"/>
      <c r="F61" s="115"/>
      <c r="G61" s="115"/>
      <c r="H61" s="155"/>
    </row>
    <row r="62" spans="1:8" x14ac:dyDescent="0.3">
      <c r="A62" s="154"/>
      <c r="B62" s="115"/>
      <c r="C62" s="115"/>
      <c r="D62" s="115"/>
      <c r="E62" s="115"/>
      <c r="F62" s="115"/>
      <c r="G62" s="115"/>
      <c r="H62" s="155"/>
    </row>
    <row r="63" spans="1:8" x14ac:dyDescent="0.3">
      <c r="A63" s="154"/>
      <c r="B63" s="115"/>
      <c r="C63" s="115"/>
      <c r="D63" s="115"/>
      <c r="E63" s="115"/>
      <c r="F63" s="115"/>
      <c r="G63" s="115"/>
      <c r="H63" s="155"/>
    </row>
    <row r="64" spans="1:8" x14ac:dyDescent="0.3">
      <c r="A64" s="156"/>
      <c r="B64" s="136"/>
      <c r="C64" s="136"/>
      <c r="D64" s="136"/>
      <c r="E64" s="136"/>
      <c r="F64" s="136"/>
      <c r="G64" s="136"/>
      <c r="H64" s="157"/>
    </row>
    <row r="73" spans="1:7" x14ac:dyDescent="0.3">
      <c r="A73" s="40" t="s">
        <v>123</v>
      </c>
      <c r="B73" s="23"/>
      <c r="E73" s="40" t="s">
        <v>124</v>
      </c>
      <c r="F73" s="23"/>
      <c r="G73" s="23"/>
    </row>
    <row r="74" spans="1:7" x14ac:dyDescent="0.3">
      <c r="A74" s="41" t="s">
        <v>125</v>
      </c>
      <c r="E74" s="41" t="s">
        <v>125</v>
      </c>
    </row>
    <row r="92" spans="1:1" x14ac:dyDescent="0.3">
      <c r="A92" s="24" t="str">
        <f>HYPERLINK("#'INDICE'!A13","&lt;&lt; Volver al Indice")</f>
        <v>&lt;&lt; Volver al Indice</v>
      </c>
    </row>
  </sheetData>
  <mergeCells count="22">
    <mergeCell ref="F11:G11"/>
    <mergeCell ref="A51:E51"/>
    <mergeCell ref="F12:G12"/>
    <mergeCell ref="A31:D31"/>
    <mergeCell ref="A33:H33"/>
    <mergeCell ref="A14:H14"/>
    <mergeCell ref="A59:H64"/>
    <mergeCell ref="A52:E52"/>
    <mergeCell ref="A10:H10"/>
    <mergeCell ref="A44:H44"/>
    <mergeCell ref="B12:D12"/>
    <mergeCell ref="A47:D47"/>
    <mergeCell ref="A58:H58"/>
    <mergeCell ref="A54:E54"/>
    <mergeCell ref="A48:D48"/>
    <mergeCell ref="A56:E56"/>
    <mergeCell ref="A50:H50"/>
    <mergeCell ref="A45:D45"/>
    <mergeCell ref="A55:E55"/>
    <mergeCell ref="A46:D46"/>
    <mergeCell ref="A53:E53"/>
    <mergeCell ref="B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92"/>
  <sheetViews>
    <sheetView workbookViewId="0">
      <selection activeCell="F5" sqref="F5"/>
    </sheetView>
  </sheetViews>
  <sheetFormatPr baseColWidth="10" defaultColWidth="9.109375" defaultRowHeight="15.05" x14ac:dyDescent="0.3"/>
  <cols>
    <col min="1" max="1" width="28.44140625" customWidth="1"/>
    <col min="2" max="2" width="20.5546875" customWidth="1"/>
    <col min="3" max="3" width="15.88671875" customWidth="1"/>
    <col min="4" max="4" width="15.6640625" customWidth="1"/>
    <col min="5" max="5" width="12.5546875" customWidth="1"/>
    <col min="6" max="6" width="16.109375" customWidth="1"/>
    <col min="7" max="7" width="15" customWidth="1"/>
    <col min="8" max="8" width="15.33203125" customWidth="1"/>
    <col min="10" max="10" width="16.6640625" customWidth="1"/>
    <col min="11" max="11" width="17" customWidth="1"/>
    <col min="12" max="12" width="12.5546875" customWidth="1"/>
  </cols>
  <sheetData>
    <row r="2" spans="1:12" x14ac:dyDescent="0.3">
      <c r="G2" s="42" t="str">
        <f>HYPERLINK("#'PA-1'!A1","☰ PROGRAMA")</f>
        <v>☰ PROGRAMA</v>
      </c>
      <c r="H2" s="13" t="str">
        <f>HYPERLINK("#INDICE!A1","◄ ÍNDICE")</f>
        <v>◄ ÍNDICE</v>
      </c>
    </row>
    <row r="3" spans="1:12" x14ac:dyDescent="0.3">
      <c r="C3" s="25"/>
      <c r="D3" s="25"/>
    </row>
    <row r="4" spans="1:12" ht="24.05" customHeight="1" x14ac:dyDescent="0.3">
      <c r="L4" s="58" t="s">
        <v>28</v>
      </c>
    </row>
    <row r="5" spans="1:12" x14ac:dyDescent="0.3">
      <c r="E5" s="113" t="s">
        <v>383</v>
      </c>
      <c r="F5" s="26"/>
    </row>
    <row r="6" spans="1:12" x14ac:dyDescent="0.3">
      <c r="E6" s="113" t="s">
        <v>162</v>
      </c>
      <c r="F6" s="26"/>
      <c r="K6" s="15" t="s">
        <v>35</v>
      </c>
      <c r="L6" s="15"/>
    </row>
    <row r="7" spans="1:12" x14ac:dyDescent="0.3">
      <c r="E7" s="113" t="s">
        <v>384</v>
      </c>
      <c r="F7" s="26"/>
      <c r="K7" s="15" t="s">
        <v>36</v>
      </c>
      <c r="L7" s="15"/>
    </row>
    <row r="8" spans="1:12" x14ac:dyDescent="0.3">
      <c r="E8" s="113" t="s">
        <v>385</v>
      </c>
      <c r="K8" s="15" t="s">
        <v>38</v>
      </c>
      <c r="L8" s="15"/>
    </row>
    <row r="9" spans="1:12" x14ac:dyDescent="0.3">
      <c r="K9" s="15" t="s">
        <v>39</v>
      </c>
      <c r="L9" s="15"/>
    </row>
    <row r="10" spans="1:12" ht="18.850000000000001" customHeight="1" x14ac:dyDescent="0.3">
      <c r="A10" s="166" t="s">
        <v>333</v>
      </c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2" x14ac:dyDescent="0.3">
      <c r="A11" t="s">
        <v>128</v>
      </c>
      <c r="B11" s="162"/>
      <c r="C11" s="115"/>
      <c r="D11" s="115"/>
      <c r="E11" t="s">
        <v>254</v>
      </c>
      <c r="F11" s="162"/>
      <c r="G11" s="115"/>
    </row>
    <row r="12" spans="1:12" x14ac:dyDescent="0.3">
      <c r="A12" t="s">
        <v>131</v>
      </c>
      <c r="B12" s="162"/>
      <c r="C12" s="115"/>
      <c r="D12" s="115"/>
      <c r="E12" t="s">
        <v>334</v>
      </c>
      <c r="F12" s="162"/>
      <c r="G12" s="115"/>
    </row>
    <row r="14" spans="1:12" x14ac:dyDescent="0.3">
      <c r="A14" s="164" t="s">
        <v>335</v>
      </c>
      <c r="B14" s="115"/>
      <c r="C14" s="115"/>
      <c r="D14" s="115"/>
      <c r="E14" s="115"/>
      <c r="F14" s="115"/>
      <c r="G14" s="115"/>
      <c r="H14" s="115"/>
      <c r="I14" s="115"/>
      <c r="J14" s="115"/>
    </row>
    <row r="15" spans="1:12" ht="45" customHeight="1" x14ac:dyDescent="0.3">
      <c r="A15" s="70" t="s">
        <v>175</v>
      </c>
      <c r="B15" s="70" t="s">
        <v>336</v>
      </c>
      <c r="C15" s="70" t="s">
        <v>337</v>
      </c>
      <c r="D15" s="70" t="s">
        <v>338</v>
      </c>
      <c r="E15" s="70" t="s">
        <v>339</v>
      </c>
      <c r="F15" s="70" t="s">
        <v>340</v>
      </c>
      <c r="G15" s="70" t="s">
        <v>341</v>
      </c>
      <c r="H15" s="70" t="s">
        <v>342</v>
      </c>
      <c r="I15" s="70" t="s">
        <v>343</v>
      </c>
      <c r="J15" s="70" t="s">
        <v>344</v>
      </c>
    </row>
    <row r="16" spans="1:12" x14ac:dyDescent="0.3">
      <c r="A16" s="64">
        <v>1</v>
      </c>
      <c r="B16" s="66"/>
      <c r="C16" s="66"/>
      <c r="D16" s="65"/>
      <c r="E16" s="65"/>
      <c r="F16" s="65"/>
      <c r="G16" s="72" t="str">
        <f t="shared" ref="G16:G30" si="0">IF(OR(E16="",F16=""),"",F16-E16)</f>
        <v/>
      </c>
      <c r="H16" s="71">
        <v>7500</v>
      </c>
      <c r="I16" s="87">
        <v>0.1</v>
      </c>
      <c r="J16" s="88" t="str">
        <f t="shared" ref="J16:J30" si="1">IF(OR(H16="",I16="",G16=""),"",H16*I16*G16/365)</f>
        <v/>
      </c>
    </row>
    <row r="17" spans="1:10" x14ac:dyDescent="0.3">
      <c r="A17" s="64">
        <v>2</v>
      </c>
      <c r="B17" s="66"/>
      <c r="C17" s="66"/>
      <c r="D17" s="65"/>
      <c r="E17" s="65"/>
      <c r="F17" s="65"/>
      <c r="G17" s="72" t="str">
        <f t="shared" si="0"/>
        <v/>
      </c>
      <c r="H17" s="71"/>
      <c r="I17" s="87"/>
      <c r="J17" s="88" t="str">
        <f t="shared" si="1"/>
        <v/>
      </c>
    </row>
    <row r="18" spans="1:10" x14ac:dyDescent="0.3">
      <c r="A18" s="64">
        <v>3</v>
      </c>
      <c r="B18" s="66"/>
      <c r="C18" s="66"/>
      <c r="D18" s="65"/>
      <c r="E18" s="65"/>
      <c r="F18" s="65"/>
      <c r="G18" s="72" t="str">
        <f t="shared" si="0"/>
        <v/>
      </c>
      <c r="H18" s="71"/>
      <c r="I18" s="87"/>
      <c r="J18" s="88" t="str">
        <f t="shared" si="1"/>
        <v/>
      </c>
    </row>
    <row r="19" spans="1:10" x14ac:dyDescent="0.3">
      <c r="A19" s="64">
        <v>4</v>
      </c>
      <c r="B19" s="66"/>
      <c r="C19" s="66"/>
      <c r="D19" s="65"/>
      <c r="E19" s="65"/>
      <c r="F19" s="65"/>
      <c r="G19" s="72" t="str">
        <f t="shared" si="0"/>
        <v/>
      </c>
      <c r="H19" s="71"/>
      <c r="I19" s="87"/>
      <c r="J19" s="88" t="str">
        <f t="shared" si="1"/>
        <v/>
      </c>
    </row>
    <row r="20" spans="1:10" x14ac:dyDescent="0.3">
      <c r="A20" s="64">
        <v>5</v>
      </c>
      <c r="B20" s="66"/>
      <c r="C20" s="66"/>
      <c r="D20" s="65"/>
      <c r="E20" s="65"/>
      <c r="F20" s="65"/>
      <c r="G20" s="72" t="str">
        <f t="shared" si="0"/>
        <v/>
      </c>
      <c r="H20" s="71"/>
      <c r="I20" s="87"/>
      <c r="J20" s="88" t="str">
        <f t="shared" si="1"/>
        <v/>
      </c>
    </row>
    <row r="21" spans="1:10" x14ac:dyDescent="0.3">
      <c r="A21" s="64">
        <v>6</v>
      </c>
      <c r="B21" s="66"/>
      <c r="C21" s="66"/>
      <c r="D21" s="65"/>
      <c r="E21" s="65"/>
      <c r="F21" s="65"/>
      <c r="G21" s="72" t="str">
        <f t="shared" si="0"/>
        <v/>
      </c>
      <c r="H21" s="71"/>
      <c r="I21" s="87"/>
      <c r="J21" s="88" t="str">
        <f t="shared" si="1"/>
        <v/>
      </c>
    </row>
    <row r="22" spans="1:10" x14ac:dyDescent="0.3">
      <c r="A22" s="64">
        <v>7</v>
      </c>
      <c r="B22" s="66"/>
      <c r="C22" s="66"/>
      <c r="D22" s="65"/>
      <c r="E22" s="65"/>
      <c r="F22" s="65"/>
      <c r="G22" s="72" t="str">
        <f t="shared" si="0"/>
        <v/>
      </c>
      <c r="H22" s="71"/>
      <c r="I22" s="87"/>
      <c r="J22" s="88" t="str">
        <f t="shared" si="1"/>
        <v/>
      </c>
    </row>
    <row r="23" spans="1:10" x14ac:dyDescent="0.3">
      <c r="A23" s="64">
        <v>8</v>
      </c>
      <c r="B23" s="66"/>
      <c r="C23" s="66"/>
      <c r="D23" s="65"/>
      <c r="E23" s="65"/>
      <c r="F23" s="65"/>
      <c r="G23" s="72" t="str">
        <f t="shared" si="0"/>
        <v/>
      </c>
      <c r="H23" s="71"/>
      <c r="I23" s="87"/>
      <c r="J23" s="88" t="str">
        <f t="shared" si="1"/>
        <v/>
      </c>
    </row>
    <row r="24" spans="1:10" x14ac:dyDescent="0.3">
      <c r="A24" s="64">
        <v>9</v>
      </c>
      <c r="B24" s="66"/>
      <c r="C24" s="66"/>
      <c r="D24" s="65"/>
      <c r="E24" s="65"/>
      <c r="F24" s="65"/>
      <c r="G24" s="72" t="str">
        <f t="shared" si="0"/>
        <v/>
      </c>
      <c r="H24" s="71"/>
      <c r="I24" s="87"/>
      <c r="J24" s="88" t="str">
        <f t="shared" si="1"/>
        <v/>
      </c>
    </row>
    <row r="25" spans="1:10" x14ac:dyDescent="0.3">
      <c r="A25" s="64">
        <v>10</v>
      </c>
      <c r="B25" s="66"/>
      <c r="C25" s="66"/>
      <c r="D25" s="65"/>
      <c r="E25" s="65"/>
      <c r="F25" s="65"/>
      <c r="G25" s="72" t="str">
        <f t="shared" si="0"/>
        <v/>
      </c>
      <c r="H25" s="71"/>
      <c r="I25" s="87"/>
      <c r="J25" s="88" t="str">
        <f t="shared" si="1"/>
        <v/>
      </c>
    </row>
    <row r="26" spans="1:10" x14ac:dyDescent="0.3">
      <c r="A26" s="64">
        <v>11</v>
      </c>
      <c r="B26" s="66"/>
      <c r="C26" s="66"/>
      <c r="D26" s="65"/>
      <c r="E26" s="65"/>
      <c r="F26" s="65"/>
      <c r="G26" s="72" t="str">
        <f t="shared" si="0"/>
        <v/>
      </c>
      <c r="H26" s="71"/>
      <c r="I26" s="87"/>
      <c r="J26" s="88" t="str">
        <f t="shared" si="1"/>
        <v/>
      </c>
    </row>
    <row r="27" spans="1:10" x14ac:dyDescent="0.3">
      <c r="A27" s="64">
        <v>12</v>
      </c>
      <c r="B27" s="66"/>
      <c r="C27" s="66"/>
      <c r="D27" s="65"/>
      <c r="E27" s="65"/>
      <c r="F27" s="65"/>
      <c r="G27" s="72" t="str">
        <f t="shared" si="0"/>
        <v/>
      </c>
      <c r="H27" s="71"/>
      <c r="I27" s="87"/>
      <c r="J27" s="88" t="str">
        <f t="shared" si="1"/>
        <v/>
      </c>
    </row>
    <row r="28" spans="1:10" x14ac:dyDescent="0.3">
      <c r="A28" s="64">
        <v>13</v>
      </c>
      <c r="B28" s="66"/>
      <c r="C28" s="66"/>
      <c r="D28" s="65"/>
      <c r="E28" s="65"/>
      <c r="F28" s="65"/>
      <c r="G28" s="72" t="str">
        <f t="shared" si="0"/>
        <v/>
      </c>
      <c r="H28" s="71"/>
      <c r="I28" s="87"/>
      <c r="J28" s="88" t="str">
        <f t="shared" si="1"/>
        <v/>
      </c>
    </row>
    <row r="29" spans="1:10" x14ac:dyDescent="0.3">
      <c r="A29" s="64">
        <v>14</v>
      </c>
      <c r="B29" s="66"/>
      <c r="C29" s="66"/>
      <c r="D29" s="65"/>
      <c r="E29" s="65"/>
      <c r="F29" s="65"/>
      <c r="G29" s="72" t="str">
        <f t="shared" si="0"/>
        <v/>
      </c>
      <c r="H29" s="71"/>
      <c r="I29" s="87"/>
      <c r="J29" s="88" t="str">
        <f t="shared" si="1"/>
        <v/>
      </c>
    </row>
    <row r="30" spans="1:10" x14ac:dyDescent="0.3">
      <c r="A30" s="64">
        <v>15</v>
      </c>
      <c r="B30" s="66"/>
      <c r="C30" s="66"/>
      <c r="D30" s="65"/>
      <c r="E30" s="65"/>
      <c r="F30" s="65"/>
      <c r="G30" s="72" t="str">
        <f t="shared" si="0"/>
        <v/>
      </c>
      <c r="H30" s="71"/>
      <c r="I30" s="87"/>
      <c r="J30" s="88" t="str">
        <f t="shared" si="1"/>
        <v/>
      </c>
    </row>
    <row r="31" spans="1:10" x14ac:dyDescent="0.3">
      <c r="A31" s="160" t="s">
        <v>285</v>
      </c>
      <c r="B31" s="141"/>
      <c r="C31" s="141"/>
      <c r="D31" s="141"/>
      <c r="E31" s="141"/>
      <c r="F31" s="141"/>
      <c r="G31" s="142"/>
      <c r="H31" s="73">
        <f>SUM(H16:H30)</f>
        <v>7500</v>
      </c>
      <c r="J31" s="89">
        <f>SUM(J16:J30)</f>
        <v>0</v>
      </c>
    </row>
    <row r="33" spans="1:10" x14ac:dyDescent="0.3">
      <c r="A33" s="164" t="s">
        <v>345</v>
      </c>
      <c r="B33" s="115"/>
      <c r="C33" s="115"/>
      <c r="D33" s="115"/>
      <c r="E33" s="115"/>
      <c r="F33" s="115"/>
      <c r="G33" s="115"/>
      <c r="H33" s="115"/>
      <c r="I33" s="115"/>
      <c r="J33" s="115"/>
    </row>
    <row r="34" spans="1:10" ht="45" customHeight="1" x14ac:dyDescent="0.3">
      <c r="A34" s="74" t="s">
        <v>346</v>
      </c>
      <c r="B34" s="74" t="s">
        <v>134</v>
      </c>
      <c r="C34" s="74" t="s">
        <v>342</v>
      </c>
      <c r="D34" s="74" t="s">
        <v>312</v>
      </c>
      <c r="E34" s="74" t="s">
        <v>344</v>
      </c>
      <c r="F34" s="74" t="s">
        <v>347</v>
      </c>
    </row>
    <row r="35" spans="1:10" x14ac:dyDescent="0.3">
      <c r="A35" s="15" t="s">
        <v>348</v>
      </c>
      <c r="B35" s="81"/>
      <c r="C35" s="71">
        <v>100</v>
      </c>
      <c r="D35" s="76">
        <f>IF(C42=0,0,C35/C42)</f>
        <v>1</v>
      </c>
      <c r="E35" s="71"/>
      <c r="F35" s="87"/>
    </row>
    <row r="36" spans="1:10" x14ac:dyDescent="0.3">
      <c r="A36" s="15" t="s">
        <v>349</v>
      </c>
      <c r="B36" s="81"/>
      <c r="C36" s="71"/>
      <c r="D36" s="76">
        <f>IF(C42=0,0,C36/C42)</f>
        <v>0</v>
      </c>
      <c r="E36" s="71"/>
      <c r="F36" s="87"/>
    </row>
    <row r="37" spans="1:10" x14ac:dyDescent="0.3">
      <c r="A37" s="15" t="s">
        <v>350</v>
      </c>
      <c r="B37" s="81"/>
      <c r="C37" s="71"/>
      <c r="D37" s="76">
        <f>IF(C42=0,0,C37/C42)</f>
        <v>0</v>
      </c>
      <c r="E37" s="71"/>
      <c r="F37" s="87"/>
    </row>
    <row r="38" spans="1:10" x14ac:dyDescent="0.3">
      <c r="A38" s="15" t="s">
        <v>351</v>
      </c>
      <c r="B38" s="81"/>
      <c r="C38" s="71"/>
      <c r="D38" s="76">
        <f>IF(C42=0,0,C38/C42)</f>
        <v>0</v>
      </c>
      <c r="E38" s="71"/>
      <c r="F38" s="87"/>
    </row>
    <row r="39" spans="1:10" x14ac:dyDescent="0.3">
      <c r="A39" s="15" t="s">
        <v>352</v>
      </c>
      <c r="B39" s="81"/>
      <c r="C39" s="71"/>
      <c r="D39" s="76">
        <f>IF(C42=0,0,C39/C42)</f>
        <v>0</v>
      </c>
      <c r="E39" s="71"/>
      <c r="F39" s="87"/>
    </row>
    <row r="40" spans="1:10" x14ac:dyDescent="0.3">
      <c r="A40" s="15" t="s">
        <v>353</v>
      </c>
      <c r="B40" s="81"/>
      <c r="C40" s="71"/>
      <c r="D40" s="76">
        <f>IF(C42=0,0,C40/C42)</f>
        <v>0</v>
      </c>
      <c r="E40" s="71"/>
      <c r="F40" s="87"/>
    </row>
    <row r="41" spans="1:10" x14ac:dyDescent="0.3">
      <c r="A41" s="15" t="s">
        <v>319</v>
      </c>
      <c r="B41" s="81"/>
      <c r="C41" s="71"/>
      <c r="D41" s="76">
        <f>IF(C42=0,0,C41/C42)</f>
        <v>0</v>
      </c>
      <c r="E41" s="71"/>
      <c r="F41" s="87"/>
    </row>
    <row r="42" spans="1:10" x14ac:dyDescent="0.3">
      <c r="A42" s="54" t="s">
        <v>100</v>
      </c>
      <c r="B42" s="82">
        <f>SUM(B35:B41)</f>
        <v>0</v>
      </c>
      <c r="C42" s="73">
        <f>SUM(C35:C41)</f>
        <v>100</v>
      </c>
      <c r="D42" s="77" t="s">
        <v>278</v>
      </c>
      <c r="E42" s="73">
        <f>SUM(E35:E41)</f>
        <v>0</v>
      </c>
    </row>
    <row r="44" spans="1:10" x14ac:dyDescent="0.3">
      <c r="A44" s="164" t="s">
        <v>354</v>
      </c>
      <c r="B44" s="115"/>
      <c r="C44" s="115"/>
      <c r="D44" s="115"/>
      <c r="E44" s="115"/>
      <c r="F44" s="115"/>
      <c r="G44" s="115"/>
      <c r="H44" s="115"/>
      <c r="I44" s="115"/>
      <c r="J44" s="115"/>
    </row>
    <row r="45" spans="1:10" ht="60.05" customHeight="1" x14ac:dyDescent="0.3">
      <c r="A45" s="74" t="s">
        <v>355</v>
      </c>
      <c r="B45" s="74" t="s">
        <v>134</v>
      </c>
      <c r="C45" s="74" t="s">
        <v>178</v>
      </c>
      <c r="D45" s="74" t="s">
        <v>312</v>
      </c>
    </row>
    <row r="46" spans="1:10" x14ac:dyDescent="0.3">
      <c r="A46" s="15" t="s">
        <v>356</v>
      </c>
      <c r="B46" s="81"/>
      <c r="C46" s="71">
        <v>500</v>
      </c>
      <c r="D46" s="76">
        <f>IF(C51=0,0,C46/C51)</f>
        <v>1</v>
      </c>
    </row>
    <row r="47" spans="1:10" x14ac:dyDescent="0.3">
      <c r="A47" s="15" t="s">
        <v>357</v>
      </c>
      <c r="B47" s="81"/>
      <c r="C47" s="71"/>
      <c r="D47" s="76">
        <f>IF(C51=0,0,C47/C51)</f>
        <v>0</v>
      </c>
    </row>
    <row r="48" spans="1:10" x14ac:dyDescent="0.3">
      <c r="A48" s="15" t="s">
        <v>358</v>
      </c>
      <c r="B48" s="81"/>
      <c r="C48" s="71"/>
      <c r="D48" s="76">
        <f>IF(C51=0,0,C48/C51)</f>
        <v>0</v>
      </c>
    </row>
    <row r="49" spans="1:10" x14ac:dyDescent="0.3">
      <c r="A49" s="15" t="s">
        <v>359</v>
      </c>
      <c r="B49" s="81"/>
      <c r="C49" s="71"/>
      <c r="D49" s="76">
        <f>IF(C51=0,0,C49/C51)</f>
        <v>0</v>
      </c>
    </row>
    <row r="50" spans="1:10" x14ac:dyDescent="0.3">
      <c r="A50" s="15" t="s">
        <v>360</v>
      </c>
      <c r="B50" s="81"/>
      <c r="C50" s="71"/>
      <c r="D50" s="76">
        <f>IF(C51=0,0,C50/C51)</f>
        <v>0</v>
      </c>
    </row>
    <row r="51" spans="1:10" x14ac:dyDescent="0.3">
      <c r="A51" s="54" t="s">
        <v>100</v>
      </c>
      <c r="B51" s="82">
        <f>SUM(B46:B50)</f>
        <v>0</v>
      </c>
      <c r="C51" s="73">
        <f>SUM(C46:C50)</f>
        <v>500</v>
      </c>
      <c r="D51" s="77" t="s">
        <v>278</v>
      </c>
    </row>
    <row r="53" spans="1:10" x14ac:dyDescent="0.3">
      <c r="A53" s="164" t="s">
        <v>361</v>
      </c>
      <c r="B53" s="115"/>
      <c r="C53" s="115"/>
      <c r="D53" s="115"/>
      <c r="E53" s="115"/>
      <c r="F53" s="115"/>
      <c r="G53" s="115"/>
      <c r="H53" s="115"/>
      <c r="I53" s="115"/>
      <c r="J53" s="115"/>
    </row>
    <row r="54" spans="1:10" x14ac:dyDescent="0.3">
      <c r="A54" s="147" t="s">
        <v>362</v>
      </c>
      <c r="B54" s="141"/>
      <c r="C54" s="141"/>
      <c r="D54" s="141"/>
      <c r="E54" s="141"/>
      <c r="F54" s="141"/>
      <c r="G54" s="141"/>
      <c r="H54" s="142"/>
      <c r="I54" s="79"/>
    </row>
    <row r="55" spans="1:10" x14ac:dyDescent="0.3">
      <c r="A55" s="147" t="s">
        <v>363</v>
      </c>
      <c r="B55" s="141"/>
      <c r="C55" s="141"/>
      <c r="D55" s="141"/>
      <c r="E55" s="141"/>
      <c r="F55" s="141"/>
      <c r="G55" s="141"/>
      <c r="H55" s="142"/>
      <c r="I55" s="79"/>
    </row>
    <row r="56" spans="1:10" x14ac:dyDescent="0.3">
      <c r="A56" s="147" t="s">
        <v>364</v>
      </c>
      <c r="B56" s="141"/>
      <c r="C56" s="141"/>
      <c r="D56" s="141"/>
      <c r="E56" s="141"/>
      <c r="F56" s="141"/>
      <c r="G56" s="141"/>
      <c r="H56" s="142"/>
      <c r="I56" s="79"/>
    </row>
    <row r="57" spans="1:10" x14ac:dyDescent="0.3">
      <c r="A57" s="147" t="s">
        <v>365</v>
      </c>
      <c r="B57" s="141"/>
      <c r="C57" s="141"/>
      <c r="D57" s="141"/>
      <c r="E57" s="141"/>
      <c r="F57" s="141"/>
      <c r="G57" s="141"/>
      <c r="H57" s="142"/>
      <c r="I57" s="79"/>
    </row>
    <row r="58" spans="1:10" x14ac:dyDescent="0.3">
      <c r="A58" s="147" t="s">
        <v>366</v>
      </c>
      <c r="B58" s="141"/>
      <c r="C58" s="141"/>
      <c r="D58" s="141"/>
      <c r="E58" s="141"/>
      <c r="F58" s="141"/>
      <c r="G58" s="141"/>
      <c r="H58" s="142"/>
      <c r="I58" s="79"/>
    </row>
    <row r="59" spans="1:10" x14ac:dyDescent="0.3">
      <c r="A59" s="147" t="s">
        <v>367</v>
      </c>
      <c r="B59" s="141"/>
      <c r="C59" s="141"/>
      <c r="D59" s="141"/>
      <c r="E59" s="141"/>
      <c r="F59" s="141"/>
      <c r="G59" s="141"/>
      <c r="H59" s="142"/>
      <c r="I59" s="79"/>
    </row>
    <row r="60" spans="1:10" x14ac:dyDescent="0.3">
      <c r="A60" s="147" t="s">
        <v>368</v>
      </c>
      <c r="B60" s="141"/>
      <c r="C60" s="141"/>
      <c r="D60" s="141"/>
      <c r="E60" s="141"/>
      <c r="F60" s="141"/>
      <c r="G60" s="141"/>
      <c r="H60" s="142"/>
      <c r="I60" s="79"/>
    </row>
    <row r="61" spans="1:10" x14ac:dyDescent="0.3">
      <c r="A61" s="147" t="s">
        <v>369</v>
      </c>
      <c r="B61" s="141"/>
      <c r="C61" s="141"/>
      <c r="D61" s="141"/>
      <c r="E61" s="141"/>
      <c r="F61" s="141"/>
      <c r="G61" s="141"/>
      <c r="H61" s="142"/>
      <c r="I61" s="79"/>
    </row>
    <row r="63" spans="1:10" x14ac:dyDescent="0.3">
      <c r="A63" s="164" t="s">
        <v>332</v>
      </c>
      <c r="B63" s="115"/>
      <c r="C63" s="115"/>
      <c r="D63" s="115"/>
      <c r="E63" s="115"/>
      <c r="F63" s="115"/>
      <c r="G63" s="115"/>
      <c r="H63" s="115"/>
      <c r="I63" s="115"/>
      <c r="J63" s="115"/>
    </row>
    <row r="64" spans="1:10" x14ac:dyDescent="0.3">
      <c r="A64" s="165"/>
      <c r="B64" s="150"/>
      <c r="C64" s="150"/>
      <c r="D64" s="150"/>
      <c r="E64" s="150"/>
      <c r="F64" s="150"/>
      <c r="G64" s="150"/>
      <c r="H64" s="150"/>
      <c r="I64" s="150"/>
      <c r="J64" s="151"/>
    </row>
    <row r="65" spans="1:10" x14ac:dyDescent="0.3">
      <c r="A65" s="154"/>
      <c r="B65" s="115"/>
      <c r="C65" s="115"/>
      <c r="D65" s="115"/>
      <c r="E65" s="115"/>
      <c r="F65" s="115"/>
      <c r="G65" s="115"/>
      <c r="H65" s="115"/>
      <c r="I65" s="115"/>
      <c r="J65" s="155"/>
    </row>
    <row r="66" spans="1:10" x14ac:dyDescent="0.3">
      <c r="A66" s="154"/>
      <c r="B66" s="115"/>
      <c r="C66" s="115"/>
      <c r="D66" s="115"/>
      <c r="E66" s="115"/>
      <c r="F66" s="115"/>
      <c r="G66" s="115"/>
      <c r="H66" s="115"/>
      <c r="I66" s="115"/>
      <c r="J66" s="155"/>
    </row>
    <row r="67" spans="1:10" x14ac:dyDescent="0.3">
      <c r="A67" s="154"/>
      <c r="B67" s="115"/>
      <c r="C67" s="115"/>
      <c r="D67" s="115"/>
      <c r="E67" s="115"/>
      <c r="F67" s="115"/>
      <c r="G67" s="115"/>
      <c r="H67" s="115"/>
      <c r="I67" s="115"/>
      <c r="J67" s="155"/>
    </row>
    <row r="68" spans="1:10" x14ac:dyDescent="0.3">
      <c r="A68" s="154"/>
      <c r="B68" s="115"/>
      <c r="C68" s="115"/>
      <c r="D68" s="115"/>
      <c r="E68" s="115"/>
      <c r="F68" s="115"/>
      <c r="G68" s="115"/>
      <c r="H68" s="115"/>
      <c r="I68" s="115"/>
      <c r="J68" s="155"/>
    </row>
    <row r="69" spans="1:10" x14ac:dyDescent="0.3">
      <c r="A69" s="156"/>
      <c r="B69" s="136"/>
      <c r="C69" s="136"/>
      <c r="D69" s="136"/>
      <c r="E69" s="136"/>
      <c r="F69" s="136"/>
      <c r="G69" s="136"/>
      <c r="H69" s="136"/>
      <c r="I69" s="136"/>
      <c r="J69" s="157"/>
    </row>
    <row r="77" spans="1:10" x14ac:dyDescent="0.3">
      <c r="A77" s="40" t="s">
        <v>123</v>
      </c>
      <c r="B77" s="23"/>
      <c r="C77" s="23"/>
      <c r="G77" s="40" t="s">
        <v>124</v>
      </c>
      <c r="H77" s="23"/>
      <c r="I77" s="23"/>
      <c r="J77" s="23"/>
    </row>
    <row r="78" spans="1:10" x14ac:dyDescent="0.3">
      <c r="A78" s="41" t="s">
        <v>125</v>
      </c>
      <c r="G78" s="41" t="s">
        <v>125</v>
      </c>
    </row>
    <row r="92" spans="1:1" x14ac:dyDescent="0.3">
      <c r="A92" s="24" t="str">
        <f>HYPERLINK("#'INDICE'!A14","&lt;&lt; Volver al Indice")</f>
        <v>&lt;&lt; Volver al Indice</v>
      </c>
    </row>
  </sheetData>
  <mergeCells count="20">
    <mergeCell ref="A33:J33"/>
    <mergeCell ref="B11:D11"/>
    <mergeCell ref="F11:G11"/>
    <mergeCell ref="A14:J14"/>
    <mergeCell ref="A59:H59"/>
    <mergeCell ref="A53:J53"/>
    <mergeCell ref="A60:H60"/>
    <mergeCell ref="A64:J69"/>
    <mergeCell ref="A10:J10"/>
    <mergeCell ref="A61:H61"/>
    <mergeCell ref="A63:J63"/>
    <mergeCell ref="A44:J44"/>
    <mergeCell ref="F12:G12"/>
    <mergeCell ref="A31:G31"/>
    <mergeCell ref="A54:H54"/>
    <mergeCell ref="A56:H56"/>
    <mergeCell ref="A55:H55"/>
    <mergeCell ref="A57:H57"/>
    <mergeCell ref="B12:D12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INDICE</vt:lpstr>
      <vt:lpstr>PB-1</vt:lpstr>
      <vt:lpstr>A</vt:lpstr>
      <vt:lpstr>A-SUM</vt:lpstr>
      <vt:lpstr>A-1</vt:lpstr>
      <vt:lpstr>A-1.1</vt:lpstr>
      <vt:lpstr>A-1.2</vt:lpstr>
      <vt:lpstr>A-2</vt:lpstr>
      <vt:lpstr>A-2.1</vt:lpstr>
      <vt:lpstr>A-3</vt:lpstr>
      <vt:lpstr>A-4</vt:lpstr>
      <vt:lpstr>A-5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2025-11-12T17:18:23Z</dcterms:created>
  <dcterms:modified xsi:type="dcterms:W3CDTF">2025-12-08T03:49:49Z</dcterms:modified>
</cp:coreProperties>
</file>