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811583E0-EC61-4850-A4F7-3DFC3D3B75AA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ÍNDICE" sheetId="1" r:id="rId1"/>
    <sheet name="PB-1 PROGRAMA" sheetId="2" r:id="rId2"/>
    <sheet name="B-SUM CÉDULA SUMARIA" sheetId="3" r:id="rId3"/>
    <sheet name="B-1 CONFIRMACIONES" sheetId="4" r:id="rId4"/>
    <sheet name="B-2 VALORACIÓN" sheetId="5" r:id="rId5"/>
    <sheet name="B-3 ASOCIADAS" sheetId="6" r:id="rId6"/>
    <sheet name="B-4 DETERIORO" sheetId="7" r:id="rId7"/>
    <sheet name="B-5 RENDIMIENTOS" sheetId="8" r:id="rId8"/>
    <sheet name="B-6 PRUEBAS ANALÍTICAS" sheetId="9" r:id="rId9"/>
    <sheet name="B-7 HALLAZG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9" l="1"/>
  <c r="A51" i="8"/>
  <c r="G29" i="8"/>
  <c r="F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A53" i="7"/>
  <c r="H30" i="7"/>
  <c r="F30" i="7"/>
  <c r="D30" i="7"/>
  <c r="C30" i="7"/>
  <c r="E29" i="7"/>
  <c r="G29" i="7" s="1"/>
  <c r="E28" i="7"/>
  <c r="G28" i="7" s="1"/>
  <c r="E27" i="7"/>
  <c r="G27" i="7" s="1"/>
  <c r="E26" i="7"/>
  <c r="G26" i="7" s="1"/>
  <c r="E25" i="7"/>
  <c r="G25" i="7" s="1"/>
  <c r="E24" i="7"/>
  <c r="G24" i="7" s="1"/>
  <c r="E23" i="7"/>
  <c r="G23" i="7" s="1"/>
  <c r="E22" i="7"/>
  <c r="G22" i="7" s="1"/>
  <c r="E21" i="7"/>
  <c r="G21" i="7" s="1"/>
  <c r="E20" i="7"/>
  <c r="G20" i="7" s="1"/>
  <c r="E19" i="7"/>
  <c r="G19" i="7" s="1"/>
  <c r="E18" i="7"/>
  <c r="G18" i="7" s="1"/>
  <c r="E17" i="7"/>
  <c r="G17" i="7" s="1"/>
  <c r="E16" i="7"/>
  <c r="G16" i="7" s="1"/>
  <c r="E15" i="7"/>
  <c r="G15" i="7" s="1"/>
  <c r="A43" i="6"/>
  <c r="I25" i="6"/>
  <c r="H25" i="6"/>
  <c r="G25" i="6"/>
  <c r="F25" i="6"/>
  <c r="E25" i="6"/>
  <c r="D25" i="6"/>
  <c r="J24" i="6"/>
  <c r="J23" i="6"/>
  <c r="J22" i="6"/>
  <c r="J21" i="6"/>
  <c r="J20" i="6"/>
  <c r="J19" i="6"/>
  <c r="J18" i="6"/>
  <c r="J17" i="6"/>
  <c r="J16" i="6"/>
  <c r="J15" i="6"/>
  <c r="J25" i="6" s="1"/>
  <c r="A5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H29" i="8" l="1"/>
  <c r="G30" i="7"/>
  <c r="E30" i="7"/>
  <c r="A52" i="4"/>
  <c r="F33" i="4"/>
  <c r="E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A80" i="3"/>
  <c r="F49" i="3"/>
  <c r="F39" i="3"/>
  <c r="C33" i="3"/>
  <c r="B33" i="3"/>
  <c r="E32" i="3"/>
  <c r="D32" i="3"/>
  <c r="E31" i="3"/>
  <c r="D31" i="3"/>
  <c r="E30" i="3"/>
  <c r="D30" i="3"/>
  <c r="E29" i="3"/>
  <c r="D29" i="3"/>
  <c r="E28" i="3"/>
  <c r="D28" i="3"/>
  <c r="F23" i="3"/>
  <c r="E23" i="3"/>
  <c r="D23" i="3"/>
  <c r="C23" i="3"/>
  <c r="B23" i="3"/>
  <c r="G22" i="3"/>
  <c r="G21" i="3"/>
  <c r="G20" i="3"/>
  <c r="G19" i="3"/>
  <c r="G18" i="3"/>
  <c r="G33" i="4" l="1"/>
  <c r="D33" i="3"/>
  <c r="E27" i="3" s="1"/>
  <c r="G23" i="3"/>
  <c r="F16" i="9" l="1"/>
  <c r="E16" i="9"/>
  <c r="F15" i="9"/>
  <c r="E15" i="9"/>
  <c r="F14" i="9"/>
  <c r="E14" i="9"/>
</calcChain>
</file>

<file path=xl/sharedStrings.xml><?xml version="1.0" encoding="utf-8"?>
<sst xmlns="http://schemas.openxmlformats.org/spreadsheetml/2006/main" count="345" uniqueCount="186">
  <si>
    <t>ÍNDICE DE PAPELES DE TRABAJO</t>
  </si>
  <si>
    <t>AUDITORÍA Y REVISORÍA FISCAL</t>
  </si>
  <si>
    <t>FASE</t>
  </si>
  <si>
    <t>REF.</t>
  </si>
  <si>
    <t>DESCRIPCIÓN</t>
  </si>
  <si>
    <t>ACCESO</t>
  </si>
  <si>
    <t>ESTADO</t>
  </si>
  <si>
    <t>2. EJECUCIÓN</t>
  </si>
  <si>
    <t>B</t>
  </si>
  <si>
    <t>INVERSIONES</t>
  </si>
  <si>
    <t>ABRIR ►</t>
  </si>
  <si>
    <t>PB-1</t>
  </si>
  <si>
    <t>Programa de Auditoría - Inversiones</t>
  </si>
  <si>
    <t>B-SUM</t>
  </si>
  <si>
    <t>Cédula sumaria de inversiones</t>
  </si>
  <si>
    <t>B-1</t>
  </si>
  <si>
    <t>Confirmación de inversiones con entidades</t>
  </si>
  <si>
    <t>B-2</t>
  </si>
  <si>
    <t>Valoración de inversiones a valor razonable</t>
  </si>
  <si>
    <t>B-3</t>
  </si>
  <si>
    <t>Análisis de inversiones en asociadas</t>
  </si>
  <si>
    <t>B-4</t>
  </si>
  <si>
    <t>Análisis de deterioro de inversiones</t>
  </si>
  <si>
    <t>B-5</t>
  </si>
  <si>
    <t>Ingresos por rendimientos de inversiones</t>
  </si>
  <si>
    <t>B-6</t>
  </si>
  <si>
    <t>Pruebas analíticas</t>
  </si>
  <si>
    <t>B-7</t>
  </si>
  <si>
    <t>Hallazgos y recomendaciones</t>
  </si>
  <si>
    <t>LEYENDA</t>
  </si>
  <si>
    <t>← VOLVER AL ÍNDICE</t>
  </si>
  <si>
    <t>HECHO POR</t>
  </si>
  <si>
    <t>FECHA</t>
  </si>
  <si>
    <t>Cédula sumaria</t>
  </si>
  <si>
    <t>Confirmaciones</t>
  </si>
  <si>
    <t>Valoración NIIF 9</t>
  </si>
  <si>
    <t>Asociadas NIC 28</t>
  </si>
  <si>
    <t>Deterioro</t>
  </si>
  <si>
    <t>Rendimientos</t>
  </si>
  <si>
    <t>B-SUM: CÉDULA SUMARIA DE INVERSIONES</t>
  </si>
  <si>
    <t>TOTAL</t>
  </si>
  <si>
    <t>#</t>
  </si>
  <si>
    <t>DIFERENCIA</t>
  </si>
  <si>
    <t>B-6: PRUEBAS ANALÍTICAS</t>
  </si>
  <si>
    <t>INDICADOR</t>
  </si>
  <si>
    <t>FÓRMULA</t>
  </si>
  <si>
    <t>AÑO ACTUAL</t>
  </si>
  <si>
    <t>AÑO ANTERIOR</t>
  </si>
  <si>
    <t>VAR.</t>
  </si>
  <si>
    <t>VAR. %</t>
  </si>
  <si>
    <t>ANÁLISIS</t>
  </si>
  <si>
    <t>HALLAZGO</t>
  </si>
  <si>
    <t>RIESGO</t>
  </si>
  <si>
    <t>RECOMENDACIÓN</t>
  </si>
  <si>
    <t>RESPONSABLE</t>
  </si>
  <si>
    <t xml:space="preserve">Auditor </t>
  </si>
  <si>
    <t>Fecha Elaboración</t>
  </si>
  <si>
    <t xml:space="preserve">Supervisor </t>
  </si>
  <si>
    <t xml:space="preserve">Fecha Aprobación </t>
  </si>
  <si>
    <t>ÁREA:</t>
  </si>
  <si>
    <t>CUENTA:</t>
  </si>
  <si>
    <t>RESPONSABLE:</t>
  </si>
  <si>
    <t>OBJETIVO GENERAL</t>
  </si>
  <si>
    <t>OBJETIVOS ESPECÍFICOS</t>
  </si>
  <si>
    <t>•</t>
  </si>
  <si>
    <t>No.</t>
  </si>
  <si>
    <t>Ref.</t>
  </si>
  <si>
    <t>PROCEDIMIENTO DE AUDITORÍA</t>
  </si>
  <si>
    <t>REVISADO POR</t>
  </si>
  <si>
    <t>1</t>
  </si>
  <si>
    <t>2</t>
  </si>
  <si>
    <t>3</t>
  </si>
  <si>
    <t>4</t>
  </si>
  <si>
    <t>5</t>
  </si>
  <si>
    <t>6</t>
  </si>
  <si>
    <t>CONCLUSIÓN DEL PROGRAMA</t>
  </si>
  <si>
    <t>Basado en los procedimientos ejecutados, concluimos que:</t>
  </si>
  <si>
    <t>Elaborado por:</t>
  </si>
  <si>
    <t>Revisado por:</t>
  </si>
  <si>
    <t>Nombre y Firma</t>
  </si>
  <si>
    <t xml:space="preserve"> PROGRAMA DE AUDITORÍA - INVERSIONES</t>
  </si>
  <si>
    <t>Evaluar y verificar la razonabilidad, legalidad y eficiencia de las inversiones realizadas por la entidad, asegurando el cumplimiento de las disposiciones legales, estatutarias y de los principios de contabilidad generalmente aceptados en Colombia, con el fin de emitir una opinión profesional e independiente sobre la gestión y salvaguarda de los recursos invertidos.</t>
  </si>
  <si>
    <t>Evaluar la Razonabilidad de la Valoración y Registro Contable</t>
  </si>
  <si>
    <t>Verificar el Cumplimiento Normativo y Estatutario</t>
  </si>
  <si>
    <t>Comprobar la Existencia, Custodia y Gestión de Riesgo</t>
  </si>
  <si>
    <t>Inversiones</t>
  </si>
  <si>
    <t>Auditor:</t>
  </si>
  <si>
    <t>Fecha:</t>
  </si>
  <si>
    <t>1. RESUMEN DE INVERSIONES POR CLASIFICACIÓN</t>
  </si>
  <si>
    <t>Clasificación</t>
  </si>
  <si>
    <t>Saldo Inicial</t>
  </si>
  <si>
    <t>Adiciones</t>
  </si>
  <si>
    <t>Disposiciones</t>
  </si>
  <si>
    <t>Valor Razonable</t>
  </si>
  <si>
    <t>Saldo Final</t>
  </si>
  <si>
    <t>PT Ref.</t>
  </si>
  <si>
    <t>Verificado</t>
  </si>
  <si>
    <t>Inversiones a Valor Razonable con Cambios en Resultados</t>
  </si>
  <si>
    <t>Inversiones a Valor Razonable con Cambios en ORI</t>
  </si>
  <si>
    <t>Inversiones a Costo Amortizado</t>
  </si>
  <si>
    <t>Inversiones en Asociadas (Método de Participación)</t>
  </si>
  <si>
    <t>Inversiones en Negocios Conjuntos</t>
  </si>
  <si>
    <t>Otras Inversiones</t>
  </si>
  <si>
    <t>TOTAL INVERSIONES</t>
  </si>
  <si>
    <t>2. DETALLE POR TIPO DE INVERSIÓN</t>
  </si>
  <si>
    <t>Tipo de Inversión</t>
  </si>
  <si>
    <t>Corriente</t>
  </si>
  <si>
    <t>No Corriente</t>
  </si>
  <si>
    <t>Total</t>
  </si>
  <si>
    <t>% del Total</t>
  </si>
  <si>
    <t>Instrumentos de Patrimonio</t>
  </si>
  <si>
    <t>Instrumentos de Deuda</t>
  </si>
  <si>
    <t>Fondos de Inversión</t>
  </si>
  <si>
    <t>Inversiones en Asociadas</t>
  </si>
  <si>
    <t>Inversiones en Subsidiarias</t>
  </si>
  <si>
    <t>100%</t>
  </si>
  <si>
    <t>3. CONCILIACIÓN CON ESTADOS FINANCIEROS</t>
  </si>
  <si>
    <t>Concepto</t>
  </si>
  <si>
    <t>Monto</t>
  </si>
  <si>
    <t>Saldo según Auditoría</t>
  </si>
  <si>
    <t>Saldo según Estados Financieros</t>
  </si>
  <si>
    <t>4. RESUMEN DE RENDIMIENTOS Y RESULTADOS</t>
  </si>
  <si>
    <t>Ingresos por Intereses</t>
  </si>
  <si>
    <t>Ingresos por Dividendos</t>
  </si>
  <si>
    <t>Ganancia por Valor Razonable</t>
  </si>
  <si>
    <t>Participación en Resultados de Asociadas</t>
  </si>
  <si>
    <t>Deterioro de Inversiones</t>
  </si>
  <si>
    <t>Pérdida por Valor Razonable</t>
  </si>
  <si>
    <t>TOTAL NETO</t>
  </si>
  <si>
    <t>5. OBSERVACIONES Y CONCLUSIONES</t>
  </si>
  <si>
    <t>B-1: CONFIRMACIÓN DE INVERSIONES CON ENTIDADES</t>
  </si>
  <si>
    <t>Período:</t>
  </si>
  <si>
    <t>1. RESUMEN DE CONFIRMACIONES DE INVERSIONES</t>
  </si>
  <si>
    <t>Entidad/Emisor</t>
  </si>
  <si>
    <t>Tipo Inversión</t>
  </si>
  <si>
    <t>Cantidad/Nominal</t>
  </si>
  <si>
    <t>Valor según Entidad</t>
  </si>
  <si>
    <t>Valor según Libros</t>
  </si>
  <si>
    <t>Diferencia</t>
  </si>
  <si>
    <t>Estado Confirmación</t>
  </si>
  <si>
    <t>Fecha Respuesta</t>
  </si>
  <si>
    <t>Observaciones</t>
  </si>
  <si>
    <t>TOTALES</t>
  </si>
  <si>
    <t>Preparado por: Firma</t>
  </si>
  <si>
    <t xml:space="preserve">Revisado por: </t>
  </si>
  <si>
    <t xml:space="preserve">Nombre </t>
  </si>
  <si>
    <t>B-2: VALORACIÓN DE INVERSIONES A VALOR RAZONABLE</t>
  </si>
  <si>
    <t>1. DETALLE DE INVERSIONES A VALOR RAZONABLE</t>
  </si>
  <si>
    <t>Inversión</t>
  </si>
  <si>
    <t>Costo Adquisición</t>
  </si>
  <si>
    <t>Ganancia/(Pérdida)</t>
  </si>
  <si>
    <t>Nivel Jerarquía</t>
  </si>
  <si>
    <t>Fuente Valoración</t>
  </si>
  <si>
    <t>Fecha Valoración</t>
  </si>
  <si>
    <t>B-3: ANÁLISIS DE INVERSIONES EN ASOCIADAS</t>
  </si>
  <si>
    <t>1. DETALLE DE INVERSIONES EN ASOCIADAS</t>
  </si>
  <si>
    <t>Asociada</t>
  </si>
  <si>
    <t>% Participación</t>
  </si>
  <si>
    <t>Inversiones Adicionales</t>
  </si>
  <si>
    <t>Part. en Resultados</t>
  </si>
  <si>
    <t>Dividendos Recibidos</t>
  </si>
  <si>
    <t>Otros Ajustes</t>
  </si>
  <si>
    <t>B-4: ANÁLISIS DE DETERIORO DE INVERSIONES</t>
  </si>
  <si>
    <t>1. EVALUACIÓN DE DETERIORO POR INVERSIÓN</t>
  </si>
  <si>
    <t>Valor en Libros</t>
  </si>
  <si>
    <t>Valor Recuperable</t>
  </si>
  <si>
    <t>Deterioro Requerido</t>
  </si>
  <si>
    <t>Deterioro Acumulado</t>
  </si>
  <si>
    <t>Deterioro del Período</t>
  </si>
  <si>
    <t>Reversión</t>
  </si>
  <si>
    <t>Indicadores</t>
  </si>
  <si>
    <t>Evaluado</t>
  </si>
  <si>
    <t>B-5: INGRESOS POR RENDIMIENTOS DE INVERSIONES</t>
  </si>
  <si>
    <t>1. DETALLE DE RENDIMIENTOS POR INVERSIÓN</t>
  </si>
  <si>
    <t>Tipo Rendimiento</t>
  </si>
  <si>
    <t>Tasa/Dividend</t>
  </si>
  <si>
    <t>Monto Inversión</t>
  </si>
  <si>
    <t>Rendimiento Devengado</t>
  </si>
  <si>
    <t>Rendimiento Cobrado</t>
  </si>
  <si>
    <t>Por Cobrar</t>
  </si>
  <si>
    <t>Fecha Cobro</t>
  </si>
  <si>
    <t xml:space="preserve">                                                       HALLAZGOS Y RECOMENDACIONES</t>
  </si>
  <si>
    <t>Entidad XXXXXXX</t>
  </si>
  <si>
    <t>Del 01 de Enero al 31 de Diciembre de 2024</t>
  </si>
  <si>
    <t>Revisoría Fiscal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</si>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</sst>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-"/>
    <numFmt numFmtId="165" formatCode="0.0%"/>
  </numFmts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2"/>
      <color theme="10"/>
      <name val="Calibri"/>
      <family val="2"/>
      <scheme val="minor"/>
    </font>
    <font>
      <b/>
      <u/>
      <sz val="11"/>
      <color rgb="FF0563C1"/>
      <name val="Calibri"/>
      <family val="2"/>
    </font>
    <font>
      <b/>
      <sz val="11"/>
      <color rgb="FFFFFFFF"/>
      <name val="Calibri"/>
      <family val="2"/>
    </font>
    <font>
      <b/>
      <u/>
      <sz val="10"/>
      <color rgb="FF0563C1"/>
      <name val="Calibri"/>
      <family val="2"/>
    </font>
    <font>
      <b/>
      <sz val="13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C00000"/>
      <name val="Calibri"/>
      <family val="2"/>
    </font>
    <font>
      <b/>
      <sz val="15"/>
      <color rgb="FFC0000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C00000"/>
      <name val="Arial"/>
      <family val="2"/>
    </font>
    <font>
      <b/>
      <u/>
      <sz val="9"/>
      <color rgb="FF0563C1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FF"/>
      <name val="Calibri"/>
      <family val="2"/>
    </font>
    <font>
      <b/>
      <u/>
      <sz val="11"/>
      <color rgb="FF0563C1"/>
      <name val="Arial"/>
      <family val="2"/>
    </font>
    <font>
      <b/>
      <sz val="15"/>
      <color rgb="FFC00000"/>
      <name val="Calibri"/>
      <family val="2"/>
    </font>
    <font>
      <sz val="9"/>
      <name val="Calibri"/>
      <family val="2"/>
    </font>
    <font>
      <sz val="11"/>
      <color rgb="FF00B05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FFC7CE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0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9" fillId="0" borderId="0" xfId="1" applyFont="1"/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10" fontId="0" fillId="8" borderId="1" xfId="0" applyNumberFormat="1" applyFill="1" applyBorder="1"/>
    <xf numFmtId="0" fontId="0" fillId="7" borderId="0" xfId="0" applyFill="1"/>
    <xf numFmtId="0" fontId="12" fillId="6" borderId="1" xfId="0" applyFont="1" applyFill="1" applyBorder="1" applyAlignment="1">
      <alignment horizontal="center" wrapText="1"/>
    </xf>
    <xf numFmtId="0" fontId="13" fillId="9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2" xfId="0" applyBorder="1"/>
    <xf numFmtId="0" fontId="16" fillId="0" borderId="0" xfId="0" applyFont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10" xfId="0" applyBorder="1"/>
    <xf numFmtId="0" fontId="11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0" fillId="11" borderId="2" xfId="0" applyFill="1" applyBorder="1"/>
    <xf numFmtId="164" fontId="23" fillId="0" borderId="2" xfId="0" applyNumberFormat="1" applyFont="1" applyBorder="1" applyAlignment="1">
      <alignment horizontal="right"/>
    </xf>
    <xf numFmtId="164" fontId="24" fillId="5" borderId="2" xfId="0" applyNumberFormat="1" applyFont="1" applyFill="1" applyBorder="1"/>
    <xf numFmtId="0" fontId="23" fillId="0" borderId="2" xfId="0" applyFont="1" applyBorder="1" applyAlignment="1">
      <alignment horizontal="center"/>
    </xf>
    <xf numFmtId="0" fontId="2" fillId="0" borderId="2" xfId="0" applyFont="1" applyBorder="1"/>
    <xf numFmtId="164" fontId="25" fillId="0" borderId="2" xfId="0" applyNumberFormat="1" applyFont="1" applyBorder="1" applyAlignment="1">
      <alignment horizontal="right"/>
    </xf>
    <xf numFmtId="165" fontId="25" fillId="0" borderId="2" xfId="0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4" fontId="0" fillId="0" borderId="2" xfId="0" applyNumberFormat="1" applyBorder="1"/>
    <xf numFmtId="164" fontId="26" fillId="7" borderId="2" xfId="0" applyNumberFormat="1" applyFont="1" applyFill="1" applyBorder="1"/>
    <xf numFmtId="0" fontId="27" fillId="0" borderId="0" xfId="0" applyFont="1"/>
    <xf numFmtId="0" fontId="12" fillId="1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3" fillId="0" borderId="2" xfId="0" applyFont="1" applyBorder="1"/>
    <xf numFmtId="164" fontId="25" fillId="0" borderId="2" xfId="0" applyNumberFormat="1" applyFont="1" applyBorder="1"/>
    <xf numFmtId="0" fontId="28" fillId="1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9" fillId="0" borderId="0" xfId="0" applyFont="1"/>
    <xf numFmtId="0" fontId="3" fillId="0" borderId="10" xfId="0" applyFont="1" applyBorder="1"/>
    <xf numFmtId="164" fontId="30" fillId="0" borderId="2" xfId="0" applyNumberFormat="1" applyFont="1" applyBorder="1"/>
    <xf numFmtId="10" fontId="23" fillId="0" borderId="2" xfId="0" applyNumberFormat="1" applyFont="1" applyBorder="1" applyAlignment="1">
      <alignment horizontal="center"/>
    </xf>
    <xf numFmtId="0" fontId="0" fillId="13" borderId="0" xfId="0" applyFill="1"/>
    <xf numFmtId="0" fontId="0" fillId="13" borderId="2" xfId="0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0" fillId="13" borderId="2" xfId="0" applyFill="1" applyBorder="1"/>
    <xf numFmtId="164" fontId="25" fillId="14" borderId="2" xfId="0" applyNumberFormat="1" applyFont="1" applyFill="1" applyBorder="1"/>
    <xf numFmtId="164" fontId="25" fillId="5" borderId="2" xfId="0" applyNumberFormat="1" applyFont="1" applyFill="1" applyBorder="1"/>
    <xf numFmtId="0" fontId="0" fillId="0" borderId="0" xfId="0" applyAlignment="1">
      <alignment horizontal="center" vertical="center"/>
    </xf>
    <xf numFmtId="0" fontId="0" fillId="7" borderId="19" xfId="0" applyFill="1" applyBorder="1"/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6" fillId="0" borderId="0" xfId="0" applyFont="1"/>
    <xf numFmtId="0" fontId="0" fillId="0" borderId="10" xfId="0" applyBorder="1"/>
    <xf numFmtId="0" fontId="21" fillId="0" borderId="0" xfId="0" applyFont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7" fillId="10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5" borderId="0" xfId="0" applyFont="1" applyFill="1"/>
    <xf numFmtId="0" fontId="17" fillId="0" borderId="0" xfId="0" applyFont="1"/>
    <xf numFmtId="0" fontId="15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0" fillId="7" borderId="2" xfId="0" applyFill="1" applyBorder="1" applyAlignment="1">
      <alignment vertical="top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" xfId="0" applyBorder="1"/>
    <xf numFmtId="0" fontId="0" fillId="0" borderId="11" xfId="0" applyBorder="1"/>
    <xf numFmtId="0" fontId="0" fillId="0" borderId="12" xfId="0" applyBorder="1"/>
    <xf numFmtId="0" fontId="2" fillId="0" borderId="2" xfId="0" applyFont="1" applyBorder="1"/>
    <xf numFmtId="0" fontId="8" fillId="2" borderId="2" xfId="0" applyFont="1" applyFill="1" applyBorder="1"/>
    <xf numFmtId="0" fontId="1" fillId="2" borderId="0" xfId="0" applyFont="1" applyFill="1" applyAlignment="1">
      <alignment horizontal="center" vertical="center"/>
    </xf>
    <xf numFmtId="0" fontId="0" fillId="7" borderId="0" xfId="0" applyFill="1"/>
    <xf numFmtId="0" fontId="2" fillId="0" borderId="0" xfId="0" applyFont="1"/>
    <xf numFmtId="0" fontId="8" fillId="2" borderId="10" xfId="0" applyFont="1" applyFill="1" applyBorder="1" applyAlignment="1">
      <alignment horizontal="center"/>
    </xf>
    <xf numFmtId="0" fontId="2" fillId="0" borderId="14" xfId="0" applyFont="1" applyBorder="1"/>
    <xf numFmtId="0" fontId="10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5" sqref="A5"/>
    </sheetView>
  </sheetViews>
  <sheetFormatPr baseColWidth="10" defaultColWidth="9.109375" defaultRowHeight="15.05" x14ac:dyDescent="0.3"/>
  <cols>
    <col min="1" max="1" width="15" customWidth="1"/>
    <col min="2" max="2" width="12" customWidth="1"/>
    <col min="3" max="3" width="50" customWidth="1"/>
    <col min="4" max="4" width="12" customWidth="1"/>
    <col min="5" max="5" width="17.5546875" customWidth="1"/>
  </cols>
  <sheetData>
    <row r="1" spans="1:5" x14ac:dyDescent="0.3">
      <c r="A1" s="61" t="s">
        <v>0</v>
      </c>
      <c r="B1" s="58"/>
      <c r="C1" s="58"/>
      <c r="D1" s="58"/>
      <c r="E1" s="58"/>
    </row>
    <row r="2" spans="1:5" x14ac:dyDescent="0.3">
      <c r="A2" s="59" t="s">
        <v>1</v>
      </c>
      <c r="B2" s="58"/>
      <c r="C2" s="58"/>
      <c r="D2" s="58"/>
      <c r="E2" s="58"/>
    </row>
    <row r="3" spans="1:5" x14ac:dyDescent="0.3">
      <c r="A3" s="62" t="s">
        <v>182</v>
      </c>
      <c r="B3" s="58"/>
      <c r="C3" s="58"/>
      <c r="D3" s="58"/>
      <c r="E3" s="58"/>
    </row>
    <row r="4" spans="1:5" x14ac:dyDescent="0.3">
      <c r="A4" s="57" t="s">
        <v>183</v>
      </c>
      <c r="B4" s="58"/>
      <c r="C4" s="58"/>
      <c r="D4" s="58"/>
      <c r="E4" s="58"/>
    </row>
    <row r="6" spans="1:5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</row>
    <row r="7" spans="1:5" x14ac:dyDescent="0.3">
      <c r="A7" s="2" t="s">
        <v>7</v>
      </c>
      <c r="B7" s="2" t="s">
        <v>8</v>
      </c>
      <c r="C7" s="3" t="s">
        <v>9</v>
      </c>
      <c r="D7" s="4" t="s">
        <v>10</v>
      </c>
      <c r="E7" s="4"/>
    </row>
    <row r="8" spans="1:5" ht="15.75" x14ac:dyDescent="0.3">
      <c r="A8" s="5"/>
      <c r="B8" s="14" t="s">
        <v>11</v>
      </c>
      <c r="C8" s="6" t="s">
        <v>12</v>
      </c>
      <c r="D8" s="7" t="s">
        <v>10</v>
      </c>
      <c r="E8" s="5"/>
    </row>
    <row r="9" spans="1:5" ht="15.75" x14ac:dyDescent="0.3">
      <c r="A9" s="5"/>
      <c r="B9" s="14" t="s">
        <v>13</v>
      </c>
      <c r="C9" s="6" t="s">
        <v>14</v>
      </c>
      <c r="D9" s="7" t="s">
        <v>10</v>
      </c>
      <c r="E9" s="5"/>
    </row>
    <row r="10" spans="1:5" ht="15.75" x14ac:dyDescent="0.3">
      <c r="A10" s="5"/>
      <c r="B10" s="14" t="s">
        <v>15</v>
      </c>
      <c r="C10" s="6" t="s">
        <v>16</v>
      </c>
      <c r="D10" s="7" t="s">
        <v>10</v>
      </c>
      <c r="E10" s="5"/>
    </row>
    <row r="11" spans="1:5" ht="15.75" x14ac:dyDescent="0.3">
      <c r="A11" s="5"/>
      <c r="B11" s="14" t="s">
        <v>17</v>
      </c>
      <c r="C11" s="6" t="s">
        <v>18</v>
      </c>
      <c r="D11" s="7" t="s">
        <v>10</v>
      </c>
      <c r="E11" s="5"/>
    </row>
    <row r="12" spans="1:5" ht="15.75" x14ac:dyDescent="0.3">
      <c r="A12" s="5"/>
      <c r="B12" s="14" t="s">
        <v>19</v>
      </c>
      <c r="C12" s="6" t="s">
        <v>20</v>
      </c>
      <c r="D12" s="7" t="s">
        <v>10</v>
      </c>
      <c r="E12" s="5"/>
    </row>
    <row r="13" spans="1:5" ht="15.75" x14ac:dyDescent="0.3">
      <c r="A13" s="5"/>
      <c r="B13" s="14" t="s">
        <v>21</v>
      </c>
      <c r="C13" s="6" t="s">
        <v>22</v>
      </c>
      <c r="D13" s="7" t="s">
        <v>10</v>
      </c>
      <c r="E13" s="5"/>
    </row>
    <row r="14" spans="1:5" ht="15.75" x14ac:dyDescent="0.3">
      <c r="A14" s="5"/>
      <c r="B14" s="14" t="s">
        <v>23</v>
      </c>
      <c r="C14" s="6" t="s">
        <v>24</v>
      </c>
      <c r="D14" s="7" t="s">
        <v>10</v>
      </c>
      <c r="E14" s="5"/>
    </row>
    <row r="15" spans="1:5" ht="15.75" x14ac:dyDescent="0.3">
      <c r="A15" s="5"/>
      <c r="B15" s="14" t="s">
        <v>25</v>
      </c>
      <c r="C15" s="6" t="s">
        <v>26</v>
      </c>
      <c r="D15" s="7" t="s">
        <v>10</v>
      </c>
      <c r="E15" s="5"/>
    </row>
    <row r="16" spans="1:5" ht="15.75" x14ac:dyDescent="0.3">
      <c r="A16" s="5"/>
      <c r="B16" s="14" t="s">
        <v>27</v>
      </c>
      <c r="C16" s="6" t="s">
        <v>28</v>
      </c>
      <c r="D16" s="7" t="s">
        <v>10</v>
      </c>
      <c r="E16" s="5"/>
    </row>
    <row r="18" spans="1:5" x14ac:dyDescent="0.3">
      <c r="A18" s="60" t="s">
        <v>29</v>
      </c>
      <c r="B18" s="58"/>
      <c r="C18" s="58"/>
      <c r="D18" s="58"/>
      <c r="E18" s="58"/>
    </row>
  </sheetData>
  <mergeCells count="5">
    <mergeCell ref="A4:E4"/>
    <mergeCell ref="A2:E2"/>
    <mergeCell ref="A18:E18"/>
    <mergeCell ref="A1:E1"/>
    <mergeCell ref="A3:E3"/>
  </mergeCells>
  <hyperlinks>
    <hyperlink ref="D8" location="'PB-1 PROGRAMA'!A1" display="ABRIR ►" xr:uid="{00000000-0004-0000-0000-000000000000}"/>
    <hyperlink ref="D9" location="'B-SUM CÉDULA SUMARIA'!A1" display="ABRIR ►" xr:uid="{00000000-0004-0000-0000-000001000000}"/>
    <hyperlink ref="D10" location="'B-1 CONFIRMACIONES'!A1" display="ABRIR ►" xr:uid="{00000000-0004-0000-0000-000002000000}"/>
    <hyperlink ref="D11" location="'B-2 VALORACIÓN'!A1" display="ABRIR ►" xr:uid="{00000000-0004-0000-0000-000003000000}"/>
    <hyperlink ref="D12" location="'B-3 ASOCIADAS'!A1" display="ABRIR ►" xr:uid="{00000000-0004-0000-0000-000004000000}"/>
    <hyperlink ref="D13" location="'B-4 DETERIORO'!A1" display="ABRIR ►" xr:uid="{00000000-0004-0000-0000-000005000000}"/>
    <hyperlink ref="D14" location="'B-5 RENDIMIENTOS'!A1" display="ABRIR ►" xr:uid="{00000000-0004-0000-0000-000006000000}"/>
    <hyperlink ref="D15" location="'B-6 PRUEBAS ANALÍTICAS'!A1" display="ABRIR ►" xr:uid="{00000000-0004-0000-0000-000007000000}"/>
    <hyperlink ref="D16" location="'B-7 HALLAZGOS'!A1" display="ABRIR ►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workbookViewId="0">
      <selection activeCell="E8" sqref="E8"/>
    </sheetView>
  </sheetViews>
  <sheetFormatPr baseColWidth="10" defaultColWidth="9.109375" defaultRowHeight="15.05" x14ac:dyDescent="0.3"/>
  <cols>
    <col min="1" max="1" width="10" customWidth="1"/>
    <col min="2" max="2" width="16.88671875" customWidth="1"/>
    <col min="3" max="3" width="35" customWidth="1"/>
    <col min="4" max="4" width="15" customWidth="1"/>
    <col min="5" max="5" width="12" customWidth="1"/>
    <col min="6" max="6" width="15.109375" customWidth="1"/>
    <col min="7" max="7" width="17.44140625" customWidth="1"/>
    <col min="8" max="8" width="19.5546875" customWidth="1"/>
    <col min="10" max="10" width="16.88671875" customWidth="1"/>
    <col min="11" max="11" width="11.44140625" customWidth="1"/>
  </cols>
  <sheetData>
    <row r="1" spans="1:11" x14ac:dyDescent="0.3">
      <c r="A1" s="8"/>
    </row>
    <row r="3" spans="1:11" x14ac:dyDescent="0.3">
      <c r="G3" s="8" t="s">
        <v>30</v>
      </c>
      <c r="H3" s="8"/>
    </row>
    <row r="4" spans="1:11" ht="19" customHeight="1" x14ac:dyDescent="0.3">
      <c r="A4" s="100" t="s">
        <v>182</v>
      </c>
      <c r="B4" s="100"/>
      <c r="C4" s="100"/>
      <c r="D4" s="100"/>
      <c r="E4" s="100"/>
      <c r="F4" s="100"/>
      <c r="G4" s="100"/>
      <c r="H4" s="100"/>
      <c r="K4" s="15" t="s">
        <v>11</v>
      </c>
    </row>
    <row r="5" spans="1:11" ht="15.05" customHeight="1" x14ac:dyDescent="0.3">
      <c r="A5" s="100" t="s">
        <v>184</v>
      </c>
      <c r="B5" s="100"/>
      <c r="C5" s="100"/>
      <c r="D5" s="100"/>
      <c r="E5" s="100"/>
      <c r="F5" s="100"/>
      <c r="G5" s="100"/>
      <c r="H5" s="100"/>
    </row>
    <row r="6" spans="1:11" ht="15.05" customHeight="1" x14ac:dyDescent="0.3">
      <c r="A6" s="100" t="s">
        <v>183</v>
      </c>
      <c r="B6" s="100"/>
      <c r="C6" s="100"/>
      <c r="D6" s="100"/>
      <c r="E6" s="100"/>
      <c r="F6" s="100"/>
      <c r="G6" s="100"/>
      <c r="H6" s="100"/>
      <c r="J6" s="17" t="s">
        <v>55</v>
      </c>
      <c r="K6" s="17"/>
    </row>
    <row r="7" spans="1:11" x14ac:dyDescent="0.3">
      <c r="A7" s="100" t="s">
        <v>185</v>
      </c>
      <c r="B7" s="100"/>
      <c r="C7" s="100"/>
      <c r="D7" s="100"/>
      <c r="E7" s="100"/>
      <c r="F7" s="100"/>
      <c r="G7" s="100"/>
      <c r="H7" s="100"/>
      <c r="J7" s="17" t="s">
        <v>56</v>
      </c>
      <c r="K7" s="17"/>
    </row>
    <row r="8" spans="1:11" x14ac:dyDescent="0.3">
      <c r="A8" s="16"/>
      <c r="J8" s="17" t="s">
        <v>57</v>
      </c>
      <c r="K8" s="17"/>
    </row>
    <row r="9" spans="1:11" x14ac:dyDescent="0.3">
      <c r="J9" s="17" t="s">
        <v>58</v>
      </c>
      <c r="K9" s="17"/>
    </row>
    <row r="10" spans="1:11" x14ac:dyDescent="0.3">
      <c r="A10" s="79" t="s">
        <v>80</v>
      </c>
      <c r="B10" s="58"/>
      <c r="C10" s="58"/>
      <c r="D10" s="58"/>
      <c r="E10" s="58"/>
      <c r="F10" s="58"/>
      <c r="G10" s="58"/>
      <c r="H10" s="58"/>
    </row>
    <row r="12" spans="1:11" x14ac:dyDescent="0.3">
      <c r="A12" s="77" t="s">
        <v>59</v>
      </c>
      <c r="B12" s="58"/>
      <c r="C12" s="78" t="s">
        <v>85</v>
      </c>
      <c r="D12" s="58"/>
      <c r="E12" s="58"/>
      <c r="F12" s="58"/>
      <c r="G12" s="58"/>
      <c r="H12" s="58"/>
    </row>
    <row r="13" spans="1:11" x14ac:dyDescent="0.3">
      <c r="A13" s="77" t="s">
        <v>60</v>
      </c>
      <c r="B13" s="58"/>
      <c r="C13" s="78"/>
      <c r="D13" s="58"/>
      <c r="E13" s="58"/>
      <c r="F13" s="58"/>
      <c r="G13" s="58"/>
      <c r="H13" s="58"/>
    </row>
    <row r="14" spans="1:11" x14ac:dyDescent="0.3">
      <c r="A14" s="77" t="s">
        <v>61</v>
      </c>
      <c r="B14" s="58"/>
      <c r="C14" s="78"/>
      <c r="D14" s="58"/>
      <c r="E14" s="58"/>
      <c r="F14" s="58"/>
      <c r="G14" s="58"/>
      <c r="H14" s="58"/>
    </row>
    <row r="16" spans="1:11" x14ac:dyDescent="0.3">
      <c r="A16" s="66" t="s">
        <v>62</v>
      </c>
      <c r="B16" s="58"/>
      <c r="C16" s="58"/>
      <c r="D16" s="58"/>
      <c r="E16" s="58"/>
      <c r="F16" s="58"/>
      <c r="G16" s="58"/>
      <c r="H16" s="58"/>
    </row>
    <row r="17" spans="1:8" ht="42.05" customHeight="1" x14ac:dyDescent="0.3">
      <c r="A17" s="75" t="s">
        <v>81</v>
      </c>
      <c r="B17" s="58"/>
      <c r="C17" s="58"/>
      <c r="D17" s="58"/>
      <c r="E17" s="58"/>
      <c r="F17" s="58"/>
      <c r="G17" s="58"/>
      <c r="H17" s="58"/>
    </row>
    <row r="19" spans="1:8" x14ac:dyDescent="0.3">
      <c r="A19" s="66" t="s">
        <v>63</v>
      </c>
      <c r="B19" s="58"/>
      <c r="C19" s="58"/>
      <c r="D19" s="58"/>
      <c r="E19" s="58"/>
      <c r="F19" s="58"/>
      <c r="G19" s="58"/>
      <c r="H19" s="58"/>
    </row>
    <row r="20" spans="1:8" x14ac:dyDescent="0.3">
      <c r="A20" s="18" t="s">
        <v>64</v>
      </c>
      <c r="B20" s="76" t="s">
        <v>83</v>
      </c>
      <c r="C20" s="58"/>
      <c r="D20" s="58"/>
      <c r="E20" s="58"/>
      <c r="F20" s="58"/>
      <c r="G20" s="58"/>
      <c r="H20" s="58"/>
    </row>
    <row r="21" spans="1:8" x14ac:dyDescent="0.3">
      <c r="A21" s="18" t="s">
        <v>64</v>
      </c>
      <c r="B21" s="76" t="s">
        <v>82</v>
      </c>
      <c r="C21" s="58"/>
      <c r="D21" s="58"/>
      <c r="E21" s="58"/>
      <c r="F21" s="58"/>
      <c r="G21" s="58"/>
      <c r="H21" s="58"/>
    </row>
    <row r="22" spans="1:8" x14ac:dyDescent="0.3">
      <c r="A22" s="18" t="s">
        <v>64</v>
      </c>
      <c r="B22" s="76" t="s">
        <v>84</v>
      </c>
      <c r="C22" s="58"/>
      <c r="D22" s="58"/>
      <c r="E22" s="58"/>
      <c r="F22" s="58"/>
      <c r="G22" s="58"/>
      <c r="H22" s="58"/>
    </row>
    <row r="24" spans="1:8" x14ac:dyDescent="0.3">
      <c r="A24" s="19" t="s">
        <v>65</v>
      </c>
      <c r="B24" s="19" t="s">
        <v>66</v>
      </c>
      <c r="C24" s="19" t="s">
        <v>67</v>
      </c>
      <c r="D24" s="19" t="s">
        <v>31</v>
      </c>
      <c r="E24" s="19" t="s">
        <v>32</v>
      </c>
      <c r="F24" s="19" t="s">
        <v>68</v>
      </c>
      <c r="G24" s="19" t="s">
        <v>32</v>
      </c>
      <c r="H24" s="19"/>
    </row>
    <row r="25" spans="1:8" x14ac:dyDescent="0.3">
      <c r="A25" s="20" t="s">
        <v>69</v>
      </c>
      <c r="B25" s="21"/>
      <c r="C25" s="9" t="s">
        <v>33</v>
      </c>
      <c r="D25" s="5"/>
      <c r="E25" s="5"/>
      <c r="F25" s="5"/>
      <c r="G25" s="5"/>
      <c r="H25" s="22"/>
    </row>
    <row r="26" spans="1:8" x14ac:dyDescent="0.3">
      <c r="A26" s="20" t="s">
        <v>70</v>
      </c>
      <c r="B26" s="21"/>
      <c r="C26" s="9" t="s">
        <v>34</v>
      </c>
      <c r="D26" s="5"/>
      <c r="E26" s="5"/>
      <c r="F26" s="5"/>
      <c r="G26" s="5"/>
      <c r="H26" s="22"/>
    </row>
    <row r="27" spans="1:8" x14ac:dyDescent="0.3">
      <c r="A27" s="20" t="s">
        <v>71</v>
      </c>
      <c r="B27" s="21"/>
      <c r="C27" s="9" t="s">
        <v>35</v>
      </c>
      <c r="D27" s="5"/>
      <c r="E27" s="5"/>
      <c r="F27" s="5"/>
      <c r="G27" s="5"/>
      <c r="H27" s="22"/>
    </row>
    <row r="28" spans="1:8" x14ac:dyDescent="0.3">
      <c r="A28" s="20" t="s">
        <v>72</v>
      </c>
      <c r="B28" s="21"/>
      <c r="C28" s="9" t="s">
        <v>36</v>
      </c>
      <c r="D28" s="5"/>
      <c r="E28" s="5"/>
      <c r="F28" s="5"/>
      <c r="G28" s="5"/>
      <c r="H28" s="22"/>
    </row>
    <row r="29" spans="1:8" x14ac:dyDescent="0.3">
      <c r="A29" s="20" t="s">
        <v>73</v>
      </c>
      <c r="B29" s="21"/>
      <c r="C29" s="9" t="s">
        <v>37</v>
      </c>
      <c r="D29" s="5"/>
      <c r="E29" s="5"/>
      <c r="F29" s="5"/>
      <c r="G29" s="5"/>
      <c r="H29" s="22"/>
    </row>
    <row r="30" spans="1:8" x14ac:dyDescent="0.3">
      <c r="A30" s="20" t="s">
        <v>74</v>
      </c>
      <c r="B30" s="21"/>
      <c r="C30" s="9" t="s">
        <v>38</v>
      </c>
      <c r="D30" s="5"/>
      <c r="E30" s="5"/>
      <c r="F30" s="5"/>
      <c r="G30" s="5"/>
      <c r="H30" s="22"/>
    </row>
    <row r="31" spans="1:8" x14ac:dyDescent="0.3">
      <c r="A31" s="20">
        <v>7</v>
      </c>
      <c r="B31" s="21"/>
      <c r="C31" s="9" t="s">
        <v>36</v>
      </c>
      <c r="D31" s="5"/>
      <c r="E31" s="5"/>
      <c r="F31" s="5"/>
      <c r="G31" s="5"/>
      <c r="H31" s="22"/>
    </row>
    <row r="32" spans="1:8" x14ac:dyDescent="0.3">
      <c r="A32" s="20">
        <v>8</v>
      </c>
      <c r="B32" s="21"/>
      <c r="C32" s="9" t="s">
        <v>37</v>
      </c>
      <c r="D32" s="5"/>
      <c r="E32" s="5"/>
      <c r="F32" s="5"/>
      <c r="G32" s="5"/>
      <c r="H32" s="22"/>
    </row>
    <row r="33" spans="1:8" x14ac:dyDescent="0.3">
      <c r="A33" s="20"/>
      <c r="B33" s="21"/>
      <c r="C33" s="9"/>
      <c r="D33" s="5"/>
      <c r="E33" s="5"/>
      <c r="F33" s="5"/>
      <c r="G33" s="5"/>
      <c r="H33" s="22"/>
    </row>
    <row r="34" spans="1:8" x14ac:dyDescent="0.3">
      <c r="A34" s="20"/>
      <c r="B34" s="21"/>
      <c r="C34" s="9"/>
      <c r="D34" s="5"/>
      <c r="E34" s="5"/>
      <c r="F34" s="5"/>
      <c r="G34" s="5"/>
      <c r="H34" s="22"/>
    </row>
    <row r="36" spans="1:8" x14ac:dyDescent="0.3">
      <c r="A36" s="66" t="s">
        <v>75</v>
      </c>
      <c r="B36" s="58"/>
      <c r="C36" s="58"/>
      <c r="D36" s="58"/>
      <c r="E36" s="58"/>
      <c r="F36" s="58"/>
      <c r="G36" s="58"/>
      <c r="H36" s="58"/>
    </row>
    <row r="37" spans="1:8" x14ac:dyDescent="0.3">
      <c r="A37" s="67" t="s">
        <v>76</v>
      </c>
      <c r="B37" s="68"/>
      <c r="C37" s="68"/>
      <c r="D37" s="68"/>
      <c r="E37" s="68"/>
      <c r="F37" s="68"/>
      <c r="G37" s="68"/>
      <c r="H37" s="69"/>
    </row>
    <row r="38" spans="1:8" x14ac:dyDescent="0.3">
      <c r="A38" s="70"/>
      <c r="B38" s="58"/>
      <c r="C38" s="58"/>
      <c r="D38" s="58"/>
      <c r="E38" s="58"/>
      <c r="F38" s="58"/>
      <c r="G38" s="58"/>
      <c r="H38" s="71"/>
    </row>
    <row r="39" spans="1:8" x14ac:dyDescent="0.3">
      <c r="A39" s="72"/>
      <c r="B39" s="73"/>
      <c r="C39" s="73"/>
      <c r="D39" s="73"/>
      <c r="E39" s="73"/>
      <c r="F39" s="73"/>
      <c r="G39" s="73"/>
      <c r="H39" s="74"/>
    </row>
    <row r="41" spans="1:8" x14ac:dyDescent="0.3">
      <c r="B41" s="63" t="s">
        <v>77</v>
      </c>
      <c r="C41" s="58"/>
      <c r="D41" s="58"/>
      <c r="F41" s="63" t="s">
        <v>78</v>
      </c>
      <c r="G41" s="58"/>
      <c r="H41" s="58"/>
    </row>
    <row r="42" spans="1:8" x14ac:dyDescent="0.3">
      <c r="B42" s="64"/>
      <c r="C42" s="64"/>
      <c r="D42" s="64"/>
      <c r="F42" s="64"/>
      <c r="G42" s="64"/>
      <c r="H42" s="64"/>
    </row>
    <row r="43" spans="1:8" x14ac:dyDescent="0.3">
      <c r="B43" s="65" t="s">
        <v>79</v>
      </c>
      <c r="C43" s="58"/>
      <c r="D43" s="58"/>
      <c r="F43" s="65" t="s">
        <v>79</v>
      </c>
      <c r="G43" s="58"/>
      <c r="H43" s="58"/>
    </row>
  </sheetData>
  <mergeCells count="25">
    <mergeCell ref="A4:H4"/>
    <mergeCell ref="A7:H7"/>
    <mergeCell ref="A5:H5"/>
    <mergeCell ref="A6:H6"/>
    <mergeCell ref="A10:H10"/>
    <mergeCell ref="A12:B12"/>
    <mergeCell ref="C12:H12"/>
    <mergeCell ref="A13:B13"/>
    <mergeCell ref="C13:H13"/>
    <mergeCell ref="A14:B14"/>
    <mergeCell ref="C14:H14"/>
    <mergeCell ref="A16:H16"/>
    <mergeCell ref="A36:H36"/>
    <mergeCell ref="A37:H39"/>
    <mergeCell ref="A17:H17"/>
    <mergeCell ref="A19:H19"/>
    <mergeCell ref="B20:H20"/>
    <mergeCell ref="B21:H21"/>
    <mergeCell ref="B22:H22"/>
    <mergeCell ref="B41:D41"/>
    <mergeCell ref="F41:H41"/>
    <mergeCell ref="B42:D42"/>
    <mergeCell ref="F42:H42"/>
    <mergeCell ref="B43:D43"/>
    <mergeCell ref="F43:H43"/>
  </mergeCells>
  <hyperlinks>
    <hyperlink ref="G3" location="ÍNDICE!A1" display="← VOLVER AL ÍNDICE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0"/>
  <sheetViews>
    <sheetView workbookViewId="0">
      <selection activeCell="E6" sqref="E6:E9"/>
    </sheetView>
  </sheetViews>
  <sheetFormatPr baseColWidth="10" defaultColWidth="9.109375" defaultRowHeight="15.05" x14ac:dyDescent="0.3"/>
  <cols>
    <col min="1" max="1" width="51.88671875" customWidth="1"/>
    <col min="2" max="10" width="15" customWidth="1"/>
    <col min="13" max="13" width="17.109375" customWidth="1"/>
    <col min="14" max="14" width="10.6640625" customWidth="1"/>
  </cols>
  <sheetData>
    <row r="1" spans="1:14" x14ac:dyDescent="0.3">
      <c r="A1" s="8" t="s">
        <v>30</v>
      </c>
    </row>
    <row r="3" spans="1:14" ht="15.05" customHeight="1" x14ac:dyDescent="0.3"/>
    <row r="4" spans="1:14" x14ac:dyDescent="0.3">
      <c r="D4" s="24"/>
    </row>
    <row r="5" spans="1:14" ht="20.95" customHeight="1" x14ac:dyDescent="0.3">
      <c r="N5" s="38" t="s">
        <v>13</v>
      </c>
    </row>
    <row r="6" spans="1:14" x14ac:dyDescent="0.3">
      <c r="E6" s="99" t="s">
        <v>182</v>
      </c>
    </row>
    <row r="7" spans="1:14" x14ac:dyDescent="0.3">
      <c r="E7" s="99" t="s">
        <v>184</v>
      </c>
      <c r="M7" s="17" t="s">
        <v>55</v>
      </c>
      <c r="N7" s="17"/>
    </row>
    <row r="8" spans="1:14" x14ac:dyDescent="0.3">
      <c r="E8" s="99" t="s">
        <v>183</v>
      </c>
      <c r="M8" s="17" t="s">
        <v>56</v>
      </c>
      <c r="N8" s="17"/>
    </row>
    <row r="9" spans="1:14" x14ac:dyDescent="0.3">
      <c r="E9" s="99" t="s">
        <v>185</v>
      </c>
      <c r="M9" s="17" t="s">
        <v>57</v>
      </c>
      <c r="N9" s="17"/>
    </row>
    <row r="10" spans="1:14" x14ac:dyDescent="0.3">
      <c r="M10" s="17" t="s">
        <v>58</v>
      </c>
      <c r="N10" s="17"/>
    </row>
    <row r="11" spans="1:14" ht="18.350000000000001" x14ac:dyDescent="0.3">
      <c r="A11" s="93" t="s">
        <v>39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3" spans="1:14" x14ac:dyDescent="0.3">
      <c r="A13" t="s">
        <v>86</v>
      </c>
      <c r="B13" s="94"/>
      <c r="C13" s="58"/>
      <c r="D13" s="58"/>
      <c r="E13" t="s">
        <v>87</v>
      </c>
      <c r="F13" s="94"/>
      <c r="G13" s="58"/>
    </row>
    <row r="15" spans="1:14" x14ac:dyDescent="0.3">
      <c r="A15" s="80" t="s">
        <v>88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</row>
    <row r="16" spans="1:14" x14ac:dyDescent="0.3">
      <c r="A16" s="25" t="s">
        <v>89</v>
      </c>
      <c r="B16" s="25" t="s">
        <v>90</v>
      </c>
      <c r="C16" s="25" t="s">
        <v>91</v>
      </c>
      <c r="D16" s="25" t="s">
        <v>92</v>
      </c>
      <c r="E16" s="25" t="s">
        <v>93</v>
      </c>
      <c r="F16" s="25" t="s">
        <v>37</v>
      </c>
      <c r="G16" s="25" t="s">
        <v>94</v>
      </c>
      <c r="H16" s="25" t="s">
        <v>95</v>
      </c>
      <c r="I16" s="25" t="s">
        <v>96</v>
      </c>
    </row>
    <row r="17" spans="1:12" x14ac:dyDescent="0.3">
      <c r="A17" s="26" t="s">
        <v>97</v>
      </c>
      <c r="B17" s="27"/>
      <c r="C17" s="27"/>
      <c r="D17" s="27"/>
      <c r="E17" s="27"/>
      <c r="F17" s="27"/>
      <c r="G17" s="28">
        <v>800</v>
      </c>
      <c r="H17" s="29"/>
      <c r="I17" s="29"/>
    </row>
    <row r="18" spans="1:12" x14ac:dyDescent="0.3">
      <c r="A18" s="26" t="s">
        <v>98</v>
      </c>
      <c r="B18" s="27"/>
      <c r="C18" s="27"/>
      <c r="D18" s="27"/>
      <c r="E18" s="27"/>
      <c r="F18" s="27"/>
      <c r="G18" s="28">
        <f>B18+C18-D18+E18-F18</f>
        <v>0</v>
      </c>
      <c r="H18" s="29"/>
      <c r="I18" s="29"/>
    </row>
    <row r="19" spans="1:12" x14ac:dyDescent="0.3">
      <c r="A19" s="26" t="s">
        <v>99</v>
      </c>
      <c r="B19" s="27"/>
      <c r="C19" s="27"/>
      <c r="D19" s="27"/>
      <c r="E19" s="27"/>
      <c r="F19" s="27"/>
      <c r="G19" s="28">
        <f>B19+C19-D19+E19-F19</f>
        <v>0</v>
      </c>
      <c r="H19" s="29"/>
      <c r="I19" s="29"/>
    </row>
    <row r="20" spans="1:12" x14ac:dyDescent="0.3">
      <c r="A20" s="26" t="s">
        <v>100</v>
      </c>
      <c r="B20" s="27"/>
      <c r="C20" s="27"/>
      <c r="D20" s="27"/>
      <c r="E20" s="27"/>
      <c r="F20" s="27"/>
      <c r="G20" s="28">
        <f>B20+C20-D20+E20-F20</f>
        <v>0</v>
      </c>
      <c r="H20" s="29"/>
      <c r="I20" s="29"/>
    </row>
    <row r="21" spans="1:12" x14ac:dyDescent="0.3">
      <c r="A21" s="26" t="s">
        <v>101</v>
      </c>
      <c r="B21" s="27"/>
      <c r="C21" s="27"/>
      <c r="D21" s="27"/>
      <c r="E21" s="27"/>
      <c r="F21" s="27"/>
      <c r="G21" s="28">
        <f>B21+C21-D21+E21-F21</f>
        <v>0</v>
      </c>
      <c r="H21" s="29"/>
      <c r="I21" s="29"/>
    </row>
    <row r="22" spans="1:12" x14ac:dyDescent="0.3">
      <c r="A22" s="26" t="s">
        <v>102</v>
      </c>
      <c r="B22" s="27"/>
      <c r="C22" s="27"/>
      <c r="D22" s="27"/>
      <c r="E22" s="27"/>
      <c r="F22" s="27"/>
      <c r="G22" s="28">
        <f>B22+C22-D22+E22-F22</f>
        <v>0</v>
      </c>
      <c r="H22" s="29"/>
      <c r="I22" s="29"/>
    </row>
    <row r="23" spans="1:12" x14ac:dyDescent="0.3">
      <c r="A23" s="30" t="s">
        <v>103</v>
      </c>
      <c r="B23" s="28">
        <f t="shared" ref="B23:G23" si="0">SUM(B17:B22)</f>
        <v>0</v>
      </c>
      <c r="C23" s="28">
        <f t="shared" si="0"/>
        <v>0</v>
      </c>
      <c r="D23" s="28">
        <f t="shared" si="0"/>
        <v>0</v>
      </c>
      <c r="E23" s="28">
        <f t="shared" si="0"/>
        <v>0</v>
      </c>
      <c r="F23" s="28">
        <f t="shared" si="0"/>
        <v>0</v>
      </c>
      <c r="G23" s="28">
        <f t="shared" si="0"/>
        <v>800</v>
      </c>
    </row>
    <row r="25" spans="1:12" x14ac:dyDescent="0.3">
      <c r="A25" s="80" t="s">
        <v>104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1:12" x14ac:dyDescent="0.3">
      <c r="A26" s="25" t="s">
        <v>105</v>
      </c>
      <c r="B26" s="25" t="s">
        <v>106</v>
      </c>
      <c r="C26" s="25" t="s">
        <v>107</v>
      </c>
      <c r="D26" s="25" t="s">
        <v>108</v>
      </c>
      <c r="E26" s="25" t="s">
        <v>109</v>
      </c>
      <c r="F26" s="25" t="s">
        <v>95</v>
      </c>
    </row>
    <row r="27" spans="1:12" x14ac:dyDescent="0.3">
      <c r="A27" s="17" t="s">
        <v>110</v>
      </c>
      <c r="B27" s="27"/>
      <c r="C27" s="27"/>
      <c r="D27" s="31">
        <v>800</v>
      </c>
      <c r="E27" s="32">
        <f t="shared" ref="E27:E32" si="1">IF(D33=0,0,D27/D33)</f>
        <v>1</v>
      </c>
      <c r="F27" s="29"/>
    </row>
    <row r="28" spans="1:12" x14ac:dyDescent="0.3">
      <c r="A28" s="17" t="s">
        <v>111</v>
      </c>
      <c r="B28" s="27"/>
      <c r="C28" s="27"/>
      <c r="D28" s="31">
        <f>B28+C28</f>
        <v>0</v>
      </c>
      <c r="E28" s="32">
        <f t="shared" si="1"/>
        <v>0</v>
      </c>
      <c r="F28" s="29"/>
    </row>
    <row r="29" spans="1:12" x14ac:dyDescent="0.3">
      <c r="A29" s="17" t="s">
        <v>112</v>
      </c>
      <c r="B29" s="27"/>
      <c r="C29" s="27"/>
      <c r="D29" s="31">
        <f>B29+C29</f>
        <v>0</v>
      </c>
      <c r="E29" s="32">
        <f t="shared" si="1"/>
        <v>0</v>
      </c>
      <c r="F29" s="29"/>
    </row>
    <row r="30" spans="1:12" x14ac:dyDescent="0.3">
      <c r="A30" s="17" t="s">
        <v>113</v>
      </c>
      <c r="B30" s="27"/>
      <c r="C30" s="27"/>
      <c r="D30" s="31">
        <f>B30+C30</f>
        <v>0</v>
      </c>
      <c r="E30" s="32">
        <f t="shared" si="1"/>
        <v>0</v>
      </c>
      <c r="F30" s="29"/>
    </row>
    <row r="31" spans="1:12" x14ac:dyDescent="0.3">
      <c r="A31" s="17" t="s">
        <v>114</v>
      </c>
      <c r="B31" s="27"/>
      <c r="C31" s="27"/>
      <c r="D31" s="31">
        <f>B31+C31</f>
        <v>0</v>
      </c>
      <c r="E31" s="32">
        <f t="shared" si="1"/>
        <v>0</v>
      </c>
      <c r="F31" s="29"/>
    </row>
    <row r="32" spans="1:12" x14ac:dyDescent="0.3">
      <c r="A32" s="17" t="s">
        <v>102</v>
      </c>
      <c r="B32" s="27"/>
      <c r="C32" s="27"/>
      <c r="D32" s="31">
        <f>B32+C32</f>
        <v>0</v>
      </c>
      <c r="E32" s="32">
        <f t="shared" si="1"/>
        <v>0</v>
      </c>
      <c r="F32" s="29"/>
    </row>
    <row r="33" spans="1:12" x14ac:dyDescent="0.3">
      <c r="A33" s="30" t="s">
        <v>40</v>
      </c>
      <c r="B33" s="28">
        <f>SUM(B27:B32)</f>
        <v>0</v>
      </c>
      <c r="C33" s="28">
        <f>SUM(C27:C32)</f>
        <v>0</v>
      </c>
      <c r="D33" s="28">
        <f>SUM(D27:D32)</f>
        <v>800</v>
      </c>
      <c r="E33" s="33" t="s">
        <v>115</v>
      </c>
    </row>
    <row r="35" spans="1:12" x14ac:dyDescent="0.3">
      <c r="A35" s="80" t="s">
        <v>116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</row>
    <row r="36" spans="1:12" x14ac:dyDescent="0.3">
      <c r="A36" s="92" t="s">
        <v>117</v>
      </c>
      <c r="B36" s="89"/>
      <c r="C36" s="89"/>
      <c r="D36" s="89"/>
      <c r="E36" s="90"/>
      <c r="F36" s="34" t="s">
        <v>118</v>
      </c>
    </row>
    <row r="37" spans="1:12" x14ac:dyDescent="0.3">
      <c r="A37" s="88" t="s">
        <v>119</v>
      </c>
      <c r="B37" s="89"/>
      <c r="C37" s="89"/>
      <c r="D37" s="89"/>
      <c r="E37" s="90"/>
      <c r="F37" s="35">
        <v>100</v>
      </c>
    </row>
    <row r="38" spans="1:12" x14ac:dyDescent="0.3">
      <c r="A38" s="88" t="s">
        <v>120</v>
      </c>
      <c r="B38" s="89"/>
      <c r="C38" s="89"/>
      <c r="D38" s="89"/>
      <c r="E38" s="90"/>
      <c r="F38" s="36"/>
    </row>
    <row r="39" spans="1:12" x14ac:dyDescent="0.3">
      <c r="A39" s="91" t="s">
        <v>42</v>
      </c>
      <c r="B39" s="89"/>
      <c r="C39" s="89"/>
      <c r="D39" s="89"/>
      <c r="E39" s="90"/>
      <c r="F39" s="28">
        <f>F37-F38</f>
        <v>100</v>
      </c>
    </row>
    <row r="41" spans="1:12" x14ac:dyDescent="0.3">
      <c r="A41" s="80" t="s">
        <v>121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</row>
    <row r="42" spans="1:12" x14ac:dyDescent="0.3">
      <c r="A42" s="92" t="s">
        <v>117</v>
      </c>
      <c r="B42" s="89"/>
      <c r="C42" s="89"/>
      <c r="D42" s="89"/>
      <c r="E42" s="90"/>
      <c r="F42" s="34" t="s">
        <v>118</v>
      </c>
      <c r="G42" s="34" t="s">
        <v>95</v>
      </c>
    </row>
    <row r="43" spans="1:12" x14ac:dyDescent="0.3">
      <c r="A43" s="88" t="s">
        <v>122</v>
      </c>
      <c r="B43" s="89"/>
      <c r="C43" s="89"/>
      <c r="D43" s="89"/>
      <c r="E43" s="90"/>
      <c r="F43" s="27">
        <v>100</v>
      </c>
      <c r="G43" s="29"/>
    </row>
    <row r="44" spans="1:12" x14ac:dyDescent="0.3">
      <c r="A44" s="88" t="s">
        <v>123</v>
      </c>
      <c r="B44" s="89"/>
      <c r="C44" s="89"/>
      <c r="D44" s="89"/>
      <c r="E44" s="90"/>
      <c r="F44" s="27"/>
      <c r="G44" s="29"/>
    </row>
    <row r="45" spans="1:12" x14ac:dyDescent="0.3">
      <c r="A45" s="88" t="s">
        <v>124</v>
      </c>
      <c r="B45" s="89"/>
      <c r="C45" s="89"/>
      <c r="D45" s="89"/>
      <c r="E45" s="90"/>
      <c r="F45" s="27"/>
      <c r="G45" s="29"/>
    </row>
    <row r="46" spans="1:12" x14ac:dyDescent="0.3">
      <c r="A46" s="88" t="s">
        <v>125</v>
      </c>
      <c r="B46" s="89"/>
      <c r="C46" s="89"/>
      <c r="D46" s="89"/>
      <c r="E46" s="90"/>
      <c r="F46" s="27"/>
      <c r="G46" s="29"/>
    </row>
    <row r="47" spans="1:12" x14ac:dyDescent="0.3">
      <c r="A47" s="88" t="s">
        <v>126</v>
      </c>
      <c r="B47" s="89"/>
      <c r="C47" s="89"/>
      <c r="D47" s="89"/>
      <c r="E47" s="90"/>
      <c r="F47" s="27"/>
      <c r="G47" s="29"/>
    </row>
    <row r="48" spans="1:12" x14ac:dyDescent="0.3">
      <c r="A48" s="88" t="s">
        <v>127</v>
      </c>
      <c r="B48" s="89"/>
      <c r="C48" s="89"/>
      <c r="D48" s="89"/>
      <c r="E48" s="90"/>
      <c r="F48" s="27"/>
      <c r="G48" s="29"/>
    </row>
    <row r="49" spans="1:12" x14ac:dyDescent="0.3">
      <c r="A49" s="91" t="s">
        <v>128</v>
      </c>
      <c r="B49" s="89"/>
      <c r="C49" s="89"/>
      <c r="D49" s="89"/>
      <c r="E49" s="90"/>
      <c r="F49" s="28">
        <f>SUM(F43:F48)</f>
        <v>100</v>
      </c>
    </row>
    <row r="51" spans="1:12" x14ac:dyDescent="0.3">
      <c r="A51" s="80" t="s">
        <v>129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</row>
    <row r="52" spans="1:12" x14ac:dyDescent="0.3">
      <c r="A52" s="81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3"/>
    </row>
    <row r="53" spans="1:12" x14ac:dyDescent="0.3">
      <c r="A53" s="84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85"/>
    </row>
    <row r="54" spans="1:12" x14ac:dyDescent="0.3">
      <c r="A54" s="84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85"/>
    </row>
    <row r="55" spans="1:12" x14ac:dyDescent="0.3">
      <c r="A55" s="84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85"/>
    </row>
    <row r="56" spans="1:12" x14ac:dyDescent="0.3">
      <c r="A56" s="84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85"/>
    </row>
    <row r="57" spans="1:12" x14ac:dyDescent="0.3">
      <c r="A57" s="86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87"/>
    </row>
    <row r="66" spans="1:9" x14ac:dyDescent="0.3">
      <c r="A66" s="45" t="s">
        <v>143</v>
      </c>
      <c r="F66" s="43" t="s">
        <v>144</v>
      </c>
      <c r="G66" s="23"/>
      <c r="H66" s="23"/>
      <c r="I66" s="23"/>
    </row>
    <row r="67" spans="1:9" x14ac:dyDescent="0.3">
      <c r="A67" s="44" t="s">
        <v>145</v>
      </c>
      <c r="F67" s="44" t="s">
        <v>145</v>
      </c>
    </row>
    <row r="80" spans="1:9" x14ac:dyDescent="0.3">
      <c r="A80" s="37" t="str">
        <f>HYPERLINK("#'INDICE'!A16","&lt;&lt; Volver al Indice")</f>
        <v>&lt;&lt; Volver al Indice</v>
      </c>
    </row>
  </sheetData>
  <mergeCells count="21">
    <mergeCell ref="A11:L11"/>
    <mergeCell ref="B13:D13"/>
    <mergeCell ref="F13:G13"/>
    <mergeCell ref="A15:L15"/>
    <mergeCell ref="A25:L25"/>
    <mergeCell ref="A35:L35"/>
    <mergeCell ref="A36:E36"/>
    <mergeCell ref="A37:E37"/>
    <mergeCell ref="A38:E38"/>
    <mergeCell ref="A39:E39"/>
    <mergeCell ref="A41:L41"/>
    <mergeCell ref="A42:E42"/>
    <mergeCell ref="A43:E43"/>
    <mergeCell ref="A44:E44"/>
    <mergeCell ref="A51:L51"/>
    <mergeCell ref="A52:L57"/>
    <mergeCell ref="A45:E45"/>
    <mergeCell ref="A46:E46"/>
    <mergeCell ref="A47:E47"/>
    <mergeCell ref="A48:E48"/>
    <mergeCell ref="A49:E49"/>
  </mergeCells>
  <hyperlinks>
    <hyperlink ref="A1" location="ÍNDICE!A1" display="← VOLVER AL ÍNDICE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"/>
  <sheetViews>
    <sheetView workbookViewId="0">
      <selection activeCell="F7" sqref="F7:F10"/>
    </sheetView>
  </sheetViews>
  <sheetFormatPr baseColWidth="10" defaultColWidth="9.109375" defaultRowHeight="15.05" x14ac:dyDescent="0.3"/>
  <cols>
    <col min="1" max="10" width="15" customWidth="1"/>
    <col min="11" max="11" width="17.6640625" customWidth="1"/>
    <col min="12" max="12" width="10.6640625" customWidth="1"/>
  </cols>
  <sheetData>
    <row r="1" spans="1:12" x14ac:dyDescent="0.3">
      <c r="A1" s="8" t="s">
        <v>30</v>
      </c>
    </row>
    <row r="3" spans="1:12" ht="15.05" customHeight="1" x14ac:dyDescent="0.3"/>
    <row r="5" spans="1:12" x14ac:dyDescent="0.3">
      <c r="F5" s="24"/>
    </row>
    <row r="6" spans="1:12" ht="20.3" customHeight="1" x14ac:dyDescent="0.3">
      <c r="L6" s="42" t="s">
        <v>15</v>
      </c>
    </row>
    <row r="7" spans="1:12" x14ac:dyDescent="0.3">
      <c r="F7" s="99" t="s">
        <v>182</v>
      </c>
    </row>
    <row r="8" spans="1:12" x14ac:dyDescent="0.3">
      <c r="F8" s="99" t="s">
        <v>184</v>
      </c>
      <c r="K8" s="17" t="s">
        <v>55</v>
      </c>
      <c r="L8" s="17"/>
    </row>
    <row r="9" spans="1:12" x14ac:dyDescent="0.3">
      <c r="F9" s="99" t="s">
        <v>183</v>
      </c>
      <c r="K9" s="17" t="s">
        <v>56</v>
      </c>
      <c r="L9" s="17"/>
    </row>
    <row r="10" spans="1:12" x14ac:dyDescent="0.3">
      <c r="F10" s="99" t="s">
        <v>185</v>
      </c>
      <c r="K10" s="17" t="s">
        <v>57</v>
      </c>
      <c r="L10" s="17"/>
    </row>
    <row r="11" spans="1:12" x14ac:dyDescent="0.3">
      <c r="K11" s="17" t="s">
        <v>58</v>
      </c>
      <c r="L11" s="17"/>
    </row>
    <row r="12" spans="1:12" ht="18.350000000000001" x14ac:dyDescent="0.3">
      <c r="A12" s="93" t="s">
        <v>130</v>
      </c>
      <c r="B12" s="58"/>
      <c r="C12" s="58"/>
      <c r="D12" s="58"/>
      <c r="E12" s="58"/>
      <c r="F12" s="58"/>
      <c r="G12" s="58"/>
      <c r="H12" s="58"/>
      <c r="I12" s="58"/>
      <c r="J12" s="58"/>
    </row>
    <row r="13" spans="1:12" x14ac:dyDescent="0.3">
      <c r="A13" t="s">
        <v>131</v>
      </c>
      <c r="B13" s="94"/>
      <c r="C13" s="58"/>
      <c r="D13" s="58"/>
      <c r="F13" s="94"/>
      <c r="G13" s="58"/>
    </row>
    <row r="14" spans="1:12" x14ac:dyDescent="0.3">
      <c r="A14" t="s">
        <v>87</v>
      </c>
      <c r="B14" s="94"/>
      <c r="C14" s="58"/>
      <c r="D14" s="58"/>
      <c r="F14" s="94"/>
      <c r="G14" s="58"/>
    </row>
    <row r="16" spans="1:12" x14ac:dyDescent="0.3">
      <c r="A16" s="80" t="s">
        <v>132</v>
      </c>
      <c r="B16" s="58"/>
      <c r="C16" s="58"/>
      <c r="D16" s="58"/>
      <c r="E16" s="58"/>
      <c r="F16" s="58"/>
      <c r="G16" s="58"/>
      <c r="H16" s="58"/>
      <c r="I16" s="58"/>
      <c r="J16" s="58"/>
    </row>
    <row r="17" spans="1:10" ht="30.15" x14ac:dyDescent="0.3">
      <c r="A17" s="25" t="s">
        <v>41</v>
      </c>
      <c r="B17" s="25" t="s">
        <v>133</v>
      </c>
      <c r="C17" s="25" t="s">
        <v>134</v>
      </c>
      <c r="D17" s="25" t="s">
        <v>135</v>
      </c>
      <c r="E17" s="25" t="s">
        <v>136</v>
      </c>
      <c r="F17" s="25" t="s">
        <v>137</v>
      </c>
      <c r="G17" s="25" t="s">
        <v>138</v>
      </c>
      <c r="H17" s="25" t="s">
        <v>139</v>
      </c>
      <c r="I17" s="25" t="s">
        <v>140</v>
      </c>
      <c r="J17" s="25" t="s">
        <v>141</v>
      </c>
    </row>
    <row r="18" spans="1:10" x14ac:dyDescent="0.3">
      <c r="A18" s="39">
        <v>1</v>
      </c>
      <c r="B18" s="40"/>
      <c r="C18" s="40"/>
      <c r="D18" s="40"/>
      <c r="E18" s="27">
        <v>100</v>
      </c>
      <c r="F18" s="27">
        <v>5</v>
      </c>
      <c r="G18" s="41">
        <f t="shared" ref="G18:G32" si="0">E18-F18</f>
        <v>95</v>
      </c>
      <c r="H18" s="40"/>
      <c r="I18" s="40"/>
      <c r="J18" s="40"/>
    </row>
    <row r="19" spans="1:10" x14ac:dyDescent="0.3">
      <c r="A19" s="39">
        <v>2</v>
      </c>
      <c r="B19" s="40"/>
      <c r="C19" s="40"/>
      <c r="D19" s="40"/>
      <c r="E19" s="27"/>
      <c r="F19" s="27"/>
      <c r="G19" s="41">
        <f t="shared" si="0"/>
        <v>0</v>
      </c>
      <c r="H19" s="40"/>
      <c r="I19" s="40"/>
      <c r="J19" s="40"/>
    </row>
    <row r="20" spans="1:10" x14ac:dyDescent="0.3">
      <c r="A20" s="39">
        <v>3</v>
      </c>
      <c r="B20" s="40"/>
      <c r="C20" s="40"/>
      <c r="D20" s="40"/>
      <c r="E20" s="27"/>
      <c r="F20" s="27"/>
      <c r="G20" s="41">
        <f t="shared" si="0"/>
        <v>0</v>
      </c>
      <c r="H20" s="40"/>
      <c r="I20" s="40"/>
      <c r="J20" s="40"/>
    </row>
    <row r="21" spans="1:10" x14ac:dyDescent="0.3">
      <c r="A21" s="39">
        <v>4</v>
      </c>
      <c r="B21" s="40"/>
      <c r="C21" s="40"/>
      <c r="D21" s="40"/>
      <c r="E21" s="27"/>
      <c r="F21" s="27"/>
      <c r="G21" s="41">
        <f t="shared" si="0"/>
        <v>0</v>
      </c>
      <c r="H21" s="40"/>
      <c r="I21" s="40"/>
      <c r="J21" s="40"/>
    </row>
    <row r="22" spans="1:10" x14ac:dyDescent="0.3">
      <c r="A22" s="39">
        <v>5</v>
      </c>
      <c r="B22" s="40"/>
      <c r="C22" s="40"/>
      <c r="D22" s="40"/>
      <c r="E22" s="27"/>
      <c r="F22" s="27"/>
      <c r="G22" s="41">
        <f t="shared" si="0"/>
        <v>0</v>
      </c>
      <c r="H22" s="40"/>
      <c r="I22" s="40"/>
      <c r="J22" s="40"/>
    </row>
    <row r="23" spans="1:10" x14ac:dyDescent="0.3">
      <c r="A23" s="39">
        <v>6</v>
      </c>
      <c r="B23" s="40"/>
      <c r="C23" s="40"/>
      <c r="D23" s="40"/>
      <c r="E23" s="27"/>
      <c r="F23" s="27"/>
      <c r="G23" s="41">
        <f t="shared" si="0"/>
        <v>0</v>
      </c>
      <c r="H23" s="40"/>
      <c r="I23" s="40"/>
      <c r="J23" s="40"/>
    </row>
    <row r="24" spans="1:10" x14ac:dyDescent="0.3">
      <c r="A24" s="39">
        <v>7</v>
      </c>
      <c r="B24" s="40"/>
      <c r="C24" s="40"/>
      <c r="D24" s="40"/>
      <c r="E24" s="27"/>
      <c r="F24" s="27"/>
      <c r="G24" s="41">
        <f t="shared" si="0"/>
        <v>0</v>
      </c>
      <c r="H24" s="40"/>
      <c r="I24" s="40"/>
      <c r="J24" s="40"/>
    </row>
    <row r="25" spans="1:10" x14ac:dyDescent="0.3">
      <c r="A25" s="39">
        <v>8</v>
      </c>
      <c r="B25" s="40"/>
      <c r="C25" s="40"/>
      <c r="D25" s="40"/>
      <c r="E25" s="27"/>
      <c r="F25" s="27"/>
      <c r="G25" s="41">
        <f t="shared" si="0"/>
        <v>0</v>
      </c>
      <c r="H25" s="40"/>
      <c r="I25" s="40"/>
      <c r="J25" s="40"/>
    </row>
    <row r="26" spans="1:10" x14ac:dyDescent="0.3">
      <c r="A26" s="39">
        <v>9</v>
      </c>
      <c r="B26" s="40"/>
      <c r="C26" s="40"/>
      <c r="D26" s="40"/>
      <c r="E26" s="27"/>
      <c r="F26" s="27"/>
      <c r="G26" s="41">
        <f t="shared" si="0"/>
        <v>0</v>
      </c>
      <c r="H26" s="40"/>
      <c r="I26" s="40"/>
      <c r="J26" s="40"/>
    </row>
    <row r="27" spans="1:10" x14ac:dyDescent="0.3">
      <c r="A27" s="39">
        <v>10</v>
      </c>
      <c r="B27" s="40"/>
      <c r="C27" s="40"/>
      <c r="D27" s="40"/>
      <c r="E27" s="27"/>
      <c r="F27" s="27"/>
      <c r="G27" s="41">
        <f t="shared" si="0"/>
        <v>0</v>
      </c>
      <c r="H27" s="40"/>
      <c r="I27" s="40"/>
      <c r="J27" s="40"/>
    </row>
    <row r="28" spans="1:10" x14ac:dyDescent="0.3">
      <c r="A28" s="39">
        <v>11</v>
      </c>
      <c r="B28" s="40"/>
      <c r="C28" s="40"/>
      <c r="D28" s="40"/>
      <c r="E28" s="27"/>
      <c r="F28" s="27"/>
      <c r="G28" s="41">
        <f t="shared" si="0"/>
        <v>0</v>
      </c>
      <c r="H28" s="40"/>
      <c r="I28" s="40"/>
      <c r="J28" s="40"/>
    </row>
    <row r="29" spans="1:10" x14ac:dyDescent="0.3">
      <c r="A29" s="39">
        <v>12</v>
      </c>
      <c r="B29" s="40"/>
      <c r="C29" s="40"/>
      <c r="D29" s="40"/>
      <c r="E29" s="27"/>
      <c r="F29" s="27"/>
      <c r="G29" s="41">
        <f t="shared" si="0"/>
        <v>0</v>
      </c>
      <c r="H29" s="40"/>
      <c r="I29" s="40"/>
      <c r="J29" s="40"/>
    </row>
    <row r="30" spans="1:10" x14ac:dyDescent="0.3">
      <c r="A30" s="39">
        <v>13</v>
      </c>
      <c r="B30" s="40"/>
      <c r="C30" s="40"/>
      <c r="D30" s="40"/>
      <c r="E30" s="27"/>
      <c r="F30" s="27"/>
      <c r="G30" s="41">
        <f t="shared" si="0"/>
        <v>0</v>
      </c>
      <c r="H30" s="40"/>
      <c r="I30" s="40"/>
      <c r="J30" s="40"/>
    </row>
    <row r="31" spans="1:10" x14ac:dyDescent="0.3">
      <c r="A31" s="39">
        <v>14</v>
      </c>
      <c r="B31" s="40"/>
      <c r="C31" s="40"/>
      <c r="D31" s="40"/>
      <c r="E31" s="27"/>
      <c r="F31" s="27"/>
      <c r="G31" s="41">
        <f t="shared" si="0"/>
        <v>0</v>
      </c>
      <c r="H31" s="40"/>
      <c r="I31" s="40"/>
      <c r="J31" s="40"/>
    </row>
    <row r="32" spans="1:10" x14ac:dyDescent="0.3">
      <c r="A32" s="39">
        <v>15</v>
      </c>
      <c r="B32" s="40"/>
      <c r="C32" s="40"/>
      <c r="D32" s="40"/>
      <c r="E32" s="27"/>
      <c r="F32" s="27"/>
      <c r="G32" s="41">
        <f t="shared" si="0"/>
        <v>0</v>
      </c>
      <c r="H32" s="40"/>
      <c r="I32" s="40"/>
      <c r="J32" s="40"/>
    </row>
    <row r="33" spans="1:9" x14ac:dyDescent="0.3">
      <c r="A33" s="95" t="s">
        <v>142</v>
      </c>
      <c r="B33" s="58"/>
      <c r="C33" s="58"/>
      <c r="D33" s="58"/>
      <c r="E33" s="28">
        <f>SUM(E18:E32)</f>
        <v>100</v>
      </c>
      <c r="F33" s="28">
        <f>SUM(F18:F32)</f>
        <v>5</v>
      </c>
      <c r="G33" s="28">
        <f>SUM(G18:G32)</f>
        <v>95</v>
      </c>
    </row>
    <row r="39" spans="1:9" x14ac:dyDescent="0.3">
      <c r="A39" s="45" t="s">
        <v>143</v>
      </c>
      <c r="B39" s="23"/>
      <c r="C39" s="23"/>
      <c r="F39" s="43" t="s">
        <v>144</v>
      </c>
      <c r="G39" s="23"/>
      <c r="H39" s="23"/>
      <c r="I39" s="23"/>
    </row>
    <row r="40" spans="1:9" x14ac:dyDescent="0.3">
      <c r="A40" s="44" t="s">
        <v>145</v>
      </c>
      <c r="F40" s="44" t="s">
        <v>145</v>
      </c>
    </row>
    <row r="52" spans="1:1" x14ac:dyDescent="0.3">
      <c r="A52" s="37" t="str">
        <f>HYPERLINK("#'INDICE'!A17","&lt;&lt; Volver al Indice")</f>
        <v>&lt;&lt; Volver al Indice</v>
      </c>
    </row>
  </sheetData>
  <mergeCells count="7">
    <mergeCell ref="A16:J16"/>
    <mergeCell ref="A33:D33"/>
    <mergeCell ref="A12:J12"/>
    <mergeCell ref="B13:D13"/>
    <mergeCell ref="F13:G13"/>
    <mergeCell ref="B14:D14"/>
    <mergeCell ref="F14:G14"/>
  </mergeCells>
  <hyperlinks>
    <hyperlink ref="A1" location="ÍNDICE!A1" display="← VOLVER AL ÍNDICE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"/>
  <sheetViews>
    <sheetView workbookViewId="0">
      <selection activeCell="F4" sqref="F4:F7"/>
    </sheetView>
  </sheetViews>
  <sheetFormatPr baseColWidth="10" defaultColWidth="9.109375" defaultRowHeight="15.05" x14ac:dyDescent="0.3"/>
  <cols>
    <col min="1" max="10" width="16" customWidth="1"/>
    <col min="11" max="11" width="19.5546875" customWidth="1"/>
    <col min="12" max="12" width="17.109375" customWidth="1"/>
    <col min="13" max="13" width="11" customWidth="1"/>
  </cols>
  <sheetData>
    <row r="1" spans="1:13" x14ac:dyDescent="0.3">
      <c r="A1" s="8" t="s">
        <v>30</v>
      </c>
    </row>
    <row r="3" spans="1:13" ht="26.2" customHeight="1" x14ac:dyDescent="0.3">
      <c r="M3" s="42" t="s">
        <v>17</v>
      </c>
    </row>
    <row r="4" spans="1:13" ht="22.6" customHeight="1" x14ac:dyDescent="0.3">
      <c r="F4" s="99" t="s">
        <v>182</v>
      </c>
    </row>
    <row r="5" spans="1:13" ht="22.6" customHeight="1" x14ac:dyDescent="0.3">
      <c r="F5" s="99" t="s">
        <v>184</v>
      </c>
      <c r="L5" s="17" t="s">
        <v>55</v>
      </c>
      <c r="M5" s="17"/>
    </row>
    <row r="6" spans="1:13" x14ac:dyDescent="0.3">
      <c r="F6" s="99" t="s">
        <v>183</v>
      </c>
      <c r="L6" s="17" t="s">
        <v>56</v>
      </c>
      <c r="M6" s="17"/>
    </row>
    <row r="7" spans="1:13" x14ac:dyDescent="0.3">
      <c r="F7" s="99" t="s">
        <v>185</v>
      </c>
      <c r="L7" s="17" t="s">
        <v>57</v>
      </c>
      <c r="M7" s="17"/>
    </row>
    <row r="8" spans="1:13" x14ac:dyDescent="0.3">
      <c r="L8" s="17" t="s">
        <v>58</v>
      </c>
      <c r="M8" s="17"/>
    </row>
    <row r="9" spans="1:13" ht="18.350000000000001" x14ac:dyDescent="0.3">
      <c r="A9" s="93" t="s">
        <v>146</v>
      </c>
      <c r="B9" s="58"/>
      <c r="C9" s="58"/>
      <c r="D9" s="58"/>
      <c r="E9" s="58"/>
      <c r="F9" s="58"/>
      <c r="G9" s="58"/>
      <c r="H9" s="58"/>
      <c r="I9" s="58"/>
      <c r="J9" s="58"/>
      <c r="K9" s="58"/>
    </row>
    <row r="10" spans="1:13" x14ac:dyDescent="0.3">
      <c r="A10" t="s">
        <v>131</v>
      </c>
      <c r="B10" s="13"/>
    </row>
    <row r="11" spans="1:13" x14ac:dyDescent="0.3">
      <c r="A11" t="s">
        <v>87</v>
      </c>
      <c r="B11" s="13"/>
    </row>
    <row r="13" spans="1:13" x14ac:dyDescent="0.3">
      <c r="A13" s="80" t="s">
        <v>147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13" x14ac:dyDescent="0.3">
      <c r="A14" s="25" t="s">
        <v>41</v>
      </c>
      <c r="B14" s="25" t="s">
        <v>148</v>
      </c>
      <c r="C14" s="25" t="s">
        <v>89</v>
      </c>
      <c r="D14" s="25" t="s">
        <v>149</v>
      </c>
      <c r="E14" s="25" t="s">
        <v>93</v>
      </c>
      <c r="F14" s="25" t="s">
        <v>150</v>
      </c>
      <c r="G14" s="25" t="s">
        <v>151</v>
      </c>
      <c r="H14" s="25" t="s">
        <v>152</v>
      </c>
      <c r="I14" s="25" t="s">
        <v>153</v>
      </c>
      <c r="J14" s="25" t="s">
        <v>96</v>
      </c>
      <c r="K14" s="25" t="s">
        <v>141</v>
      </c>
    </row>
    <row r="15" spans="1:13" x14ac:dyDescent="0.3">
      <c r="A15" s="39">
        <v>1</v>
      </c>
      <c r="B15" s="40"/>
      <c r="C15" s="40"/>
      <c r="D15" s="27">
        <v>100</v>
      </c>
      <c r="E15" s="27">
        <v>8</v>
      </c>
      <c r="F15" s="46">
        <f t="shared" ref="F15:F29" si="0">E15-D15</f>
        <v>-92</v>
      </c>
      <c r="G15" s="40"/>
      <c r="H15" s="40"/>
      <c r="I15" s="40"/>
      <c r="J15" s="40"/>
      <c r="K15" s="40"/>
    </row>
    <row r="16" spans="1:13" x14ac:dyDescent="0.3">
      <c r="A16" s="39">
        <v>2</v>
      </c>
      <c r="B16" s="40"/>
      <c r="C16" s="40"/>
      <c r="D16" s="27"/>
      <c r="E16" s="27"/>
      <c r="F16" s="41">
        <f t="shared" si="0"/>
        <v>0</v>
      </c>
      <c r="G16" s="40"/>
      <c r="H16" s="40"/>
      <c r="I16" s="40"/>
      <c r="J16" s="40"/>
      <c r="K16" s="40"/>
    </row>
    <row r="17" spans="1:11" x14ac:dyDescent="0.3">
      <c r="A17" s="39">
        <v>3</v>
      </c>
      <c r="B17" s="40"/>
      <c r="C17" s="40"/>
      <c r="D17" s="27"/>
      <c r="E17" s="27"/>
      <c r="F17" s="46">
        <f t="shared" si="0"/>
        <v>0</v>
      </c>
      <c r="G17" s="40"/>
      <c r="H17" s="40"/>
      <c r="I17" s="40"/>
      <c r="J17" s="40"/>
      <c r="K17" s="40"/>
    </row>
    <row r="18" spans="1:11" x14ac:dyDescent="0.3">
      <c r="A18" s="39">
        <v>4</v>
      </c>
      <c r="B18" s="40"/>
      <c r="C18" s="40"/>
      <c r="D18" s="27"/>
      <c r="E18" s="27"/>
      <c r="F18" s="41">
        <f t="shared" si="0"/>
        <v>0</v>
      </c>
      <c r="G18" s="40"/>
      <c r="H18" s="40"/>
      <c r="I18" s="40"/>
      <c r="J18" s="40"/>
      <c r="K18" s="40"/>
    </row>
    <row r="19" spans="1:11" x14ac:dyDescent="0.3">
      <c r="A19" s="39">
        <v>5</v>
      </c>
      <c r="B19" s="40"/>
      <c r="C19" s="40"/>
      <c r="D19" s="27"/>
      <c r="E19" s="27"/>
      <c r="F19" s="46">
        <f t="shared" si="0"/>
        <v>0</v>
      </c>
      <c r="G19" s="40"/>
      <c r="H19" s="40"/>
      <c r="I19" s="40"/>
      <c r="J19" s="40"/>
      <c r="K19" s="40"/>
    </row>
    <row r="20" spans="1:11" x14ac:dyDescent="0.3">
      <c r="A20" s="39">
        <v>6</v>
      </c>
      <c r="B20" s="40"/>
      <c r="C20" s="40"/>
      <c r="D20" s="27"/>
      <c r="E20" s="27"/>
      <c r="F20" s="41">
        <f t="shared" si="0"/>
        <v>0</v>
      </c>
      <c r="G20" s="40"/>
      <c r="H20" s="40"/>
      <c r="I20" s="40"/>
      <c r="J20" s="40"/>
      <c r="K20" s="40"/>
    </row>
    <row r="21" spans="1:11" x14ac:dyDescent="0.3">
      <c r="A21" s="39">
        <v>7</v>
      </c>
      <c r="B21" s="40"/>
      <c r="C21" s="40"/>
      <c r="D21" s="27"/>
      <c r="E21" s="27"/>
      <c r="F21" s="46">
        <f t="shared" si="0"/>
        <v>0</v>
      </c>
      <c r="G21" s="40"/>
      <c r="H21" s="40"/>
      <c r="I21" s="40"/>
      <c r="J21" s="40"/>
      <c r="K21" s="40"/>
    </row>
    <row r="22" spans="1:11" x14ac:dyDescent="0.3">
      <c r="A22" s="39">
        <v>8</v>
      </c>
      <c r="B22" s="40"/>
      <c r="C22" s="40"/>
      <c r="D22" s="27"/>
      <c r="E22" s="27"/>
      <c r="F22" s="41">
        <f t="shared" si="0"/>
        <v>0</v>
      </c>
      <c r="G22" s="40"/>
      <c r="H22" s="40"/>
      <c r="I22" s="40"/>
      <c r="J22" s="40"/>
      <c r="K22" s="40"/>
    </row>
    <row r="23" spans="1:11" x14ac:dyDescent="0.3">
      <c r="A23" s="39">
        <v>9</v>
      </c>
      <c r="B23" s="40"/>
      <c r="C23" s="40"/>
      <c r="D23" s="27"/>
      <c r="E23" s="27"/>
      <c r="F23" s="46">
        <f t="shared" si="0"/>
        <v>0</v>
      </c>
      <c r="G23" s="40"/>
      <c r="H23" s="40"/>
      <c r="I23" s="40"/>
      <c r="J23" s="40"/>
      <c r="K23" s="40"/>
    </row>
    <row r="24" spans="1:11" x14ac:dyDescent="0.3">
      <c r="A24" s="39">
        <v>10</v>
      </c>
      <c r="B24" s="40"/>
      <c r="C24" s="40"/>
      <c r="D24" s="27"/>
      <c r="E24" s="27"/>
      <c r="F24" s="41">
        <f t="shared" si="0"/>
        <v>0</v>
      </c>
      <c r="G24" s="40"/>
      <c r="H24" s="40"/>
      <c r="I24" s="40"/>
      <c r="J24" s="40"/>
      <c r="K24" s="40"/>
    </row>
    <row r="25" spans="1:11" x14ac:dyDescent="0.3">
      <c r="A25" s="39">
        <v>11</v>
      </c>
      <c r="B25" s="40"/>
      <c r="C25" s="40"/>
      <c r="D25" s="27"/>
      <c r="E25" s="27"/>
      <c r="F25" s="46">
        <f t="shared" si="0"/>
        <v>0</v>
      </c>
      <c r="G25" s="40"/>
      <c r="H25" s="40"/>
      <c r="I25" s="40"/>
      <c r="J25" s="40"/>
      <c r="K25" s="40"/>
    </row>
    <row r="26" spans="1:11" x14ac:dyDescent="0.3">
      <c r="A26" s="39">
        <v>12</v>
      </c>
      <c r="B26" s="40"/>
      <c r="C26" s="40"/>
      <c r="D26" s="27"/>
      <c r="E26" s="27"/>
      <c r="F26" s="41">
        <f t="shared" si="0"/>
        <v>0</v>
      </c>
      <c r="G26" s="40"/>
      <c r="H26" s="40"/>
      <c r="I26" s="40"/>
      <c r="J26" s="40"/>
      <c r="K26" s="40"/>
    </row>
    <row r="27" spans="1:11" x14ac:dyDescent="0.3">
      <c r="A27" s="39">
        <v>13</v>
      </c>
      <c r="B27" s="40"/>
      <c r="C27" s="40"/>
      <c r="D27" s="27"/>
      <c r="E27" s="27"/>
      <c r="F27" s="46">
        <f t="shared" si="0"/>
        <v>0</v>
      </c>
      <c r="G27" s="40"/>
      <c r="H27" s="40"/>
      <c r="I27" s="40"/>
      <c r="J27" s="40"/>
      <c r="K27" s="40"/>
    </row>
    <row r="28" spans="1:11" x14ac:dyDescent="0.3">
      <c r="A28" s="39">
        <v>14</v>
      </c>
      <c r="B28" s="40"/>
      <c r="C28" s="40"/>
      <c r="D28" s="27"/>
      <c r="E28" s="27"/>
      <c r="F28" s="41">
        <f t="shared" si="0"/>
        <v>0</v>
      </c>
      <c r="G28" s="40"/>
      <c r="H28" s="40"/>
      <c r="I28" s="40"/>
      <c r="J28" s="40"/>
      <c r="K28" s="40"/>
    </row>
    <row r="29" spans="1:11" x14ac:dyDescent="0.3">
      <c r="A29" s="39">
        <v>15</v>
      </c>
      <c r="B29" s="40"/>
      <c r="C29" s="40"/>
      <c r="D29" s="27"/>
      <c r="E29" s="27"/>
      <c r="F29" s="46">
        <f t="shared" si="0"/>
        <v>0</v>
      </c>
      <c r="G29" s="40"/>
      <c r="H29" s="40"/>
      <c r="I29" s="40"/>
      <c r="J29" s="40"/>
      <c r="K29" s="40"/>
    </row>
    <row r="39" spans="1:9" x14ac:dyDescent="0.3">
      <c r="A39" s="45" t="s">
        <v>143</v>
      </c>
      <c r="B39" s="23"/>
      <c r="C39" s="23"/>
      <c r="F39" s="43" t="s">
        <v>144</v>
      </c>
      <c r="G39" s="23"/>
      <c r="H39" s="23"/>
      <c r="I39" s="23"/>
    </row>
    <row r="40" spans="1:9" x14ac:dyDescent="0.3">
      <c r="A40" s="44" t="s">
        <v>145</v>
      </c>
      <c r="F40" s="44" t="s">
        <v>145</v>
      </c>
    </row>
    <row r="50" spans="1:1" x14ac:dyDescent="0.3">
      <c r="A50" s="37" t="str">
        <f>HYPERLINK("#'INDICE'!A18","&lt;&lt; Volver al Indice")</f>
        <v>&lt;&lt; Volver al Indice</v>
      </c>
    </row>
  </sheetData>
  <mergeCells count="2">
    <mergeCell ref="A9:K9"/>
    <mergeCell ref="A13:K13"/>
  </mergeCells>
  <hyperlinks>
    <hyperlink ref="A1" location="ÍNDICE!A1" display="← VOLVER AL ÍNDICE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"/>
  <sheetViews>
    <sheetView workbookViewId="0">
      <selection activeCell="F4" sqref="F4:F7"/>
    </sheetView>
  </sheetViews>
  <sheetFormatPr baseColWidth="10" defaultColWidth="9.109375" defaultRowHeight="15.05" x14ac:dyDescent="0.3"/>
  <cols>
    <col min="1" max="11" width="15" customWidth="1"/>
    <col min="13" max="13" width="17.44140625" customWidth="1"/>
    <col min="14" max="14" width="11.5546875" customWidth="1"/>
  </cols>
  <sheetData>
    <row r="1" spans="1:14" x14ac:dyDescent="0.3">
      <c r="A1" s="8" t="s">
        <v>30</v>
      </c>
    </row>
    <row r="3" spans="1:14" ht="20.3" customHeight="1" x14ac:dyDescent="0.3">
      <c r="N3" s="42" t="s">
        <v>19</v>
      </c>
    </row>
    <row r="4" spans="1:14" ht="19.5" customHeight="1" x14ac:dyDescent="0.3">
      <c r="F4" s="99" t="s">
        <v>182</v>
      </c>
    </row>
    <row r="5" spans="1:14" x14ac:dyDescent="0.3">
      <c r="F5" s="99" t="s">
        <v>184</v>
      </c>
      <c r="M5" s="17" t="s">
        <v>55</v>
      </c>
      <c r="N5" s="17"/>
    </row>
    <row r="6" spans="1:14" x14ac:dyDescent="0.3">
      <c r="F6" s="99" t="s">
        <v>183</v>
      </c>
      <c r="M6" s="17" t="s">
        <v>56</v>
      </c>
      <c r="N6" s="17"/>
    </row>
    <row r="7" spans="1:14" x14ac:dyDescent="0.3">
      <c r="F7" s="99" t="s">
        <v>185</v>
      </c>
      <c r="M7" s="17" t="s">
        <v>57</v>
      </c>
      <c r="N7" s="17"/>
    </row>
    <row r="8" spans="1:14" x14ac:dyDescent="0.3">
      <c r="M8" s="17" t="s">
        <v>58</v>
      </c>
      <c r="N8" s="17"/>
    </row>
    <row r="9" spans="1:14" ht="18.350000000000001" x14ac:dyDescent="0.3">
      <c r="A9" s="93" t="s">
        <v>154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</row>
    <row r="10" spans="1:14" x14ac:dyDescent="0.3">
      <c r="A10" t="s">
        <v>131</v>
      </c>
      <c r="B10" s="13"/>
    </row>
    <row r="11" spans="1:14" x14ac:dyDescent="0.3">
      <c r="A11" t="s">
        <v>87</v>
      </c>
      <c r="B11" s="13"/>
    </row>
    <row r="13" spans="1:14" x14ac:dyDescent="0.3">
      <c r="A13" s="80" t="s">
        <v>155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4" spans="1:14" ht="30.15" x14ac:dyDescent="0.3">
      <c r="A14" s="25" t="s">
        <v>41</v>
      </c>
      <c r="B14" s="25" t="s">
        <v>156</v>
      </c>
      <c r="C14" s="25" t="s">
        <v>157</v>
      </c>
      <c r="D14" s="25" t="s">
        <v>90</v>
      </c>
      <c r="E14" s="25" t="s">
        <v>158</v>
      </c>
      <c r="F14" s="25" t="s">
        <v>159</v>
      </c>
      <c r="G14" s="25" t="s">
        <v>160</v>
      </c>
      <c r="H14" s="25" t="s">
        <v>37</v>
      </c>
      <c r="I14" s="25" t="s">
        <v>161</v>
      </c>
      <c r="J14" s="25" t="s">
        <v>94</v>
      </c>
      <c r="K14" s="25" t="s">
        <v>95</v>
      </c>
      <c r="L14" s="25" t="s">
        <v>96</v>
      </c>
    </row>
    <row r="15" spans="1:14" x14ac:dyDescent="0.3">
      <c r="A15" s="39">
        <v>1</v>
      </c>
      <c r="B15" s="40"/>
      <c r="C15" s="47"/>
      <c r="D15" s="27">
        <v>100</v>
      </c>
      <c r="E15" s="27">
        <v>5</v>
      </c>
      <c r="F15" s="27">
        <v>5</v>
      </c>
      <c r="G15" s="27">
        <v>150</v>
      </c>
      <c r="H15" s="27">
        <v>8</v>
      </c>
      <c r="I15" s="27">
        <v>7</v>
      </c>
      <c r="J15" s="28">
        <f t="shared" ref="J15:J24" si="0">D15+E15+F15-G15-H15+I15</f>
        <v>-41</v>
      </c>
      <c r="K15" s="40"/>
      <c r="L15" s="29"/>
    </row>
    <row r="16" spans="1:14" x14ac:dyDescent="0.3">
      <c r="A16" s="39">
        <v>2</v>
      </c>
      <c r="B16" s="40"/>
      <c r="C16" s="47"/>
      <c r="D16" s="27"/>
      <c r="E16" s="27"/>
      <c r="F16" s="27"/>
      <c r="G16" s="27"/>
      <c r="H16" s="27"/>
      <c r="I16" s="27"/>
      <c r="J16" s="28">
        <f t="shared" si="0"/>
        <v>0</v>
      </c>
      <c r="K16" s="40"/>
      <c r="L16" s="29"/>
    </row>
    <row r="17" spans="1:12" x14ac:dyDescent="0.3">
      <c r="A17" s="39">
        <v>3</v>
      </c>
      <c r="B17" s="40"/>
      <c r="C17" s="47"/>
      <c r="D17" s="27"/>
      <c r="E17" s="27"/>
      <c r="F17" s="27"/>
      <c r="G17" s="27"/>
      <c r="H17" s="27"/>
      <c r="I17" s="27"/>
      <c r="J17" s="28">
        <f t="shared" si="0"/>
        <v>0</v>
      </c>
      <c r="K17" s="40"/>
      <c r="L17" s="29"/>
    </row>
    <row r="18" spans="1:12" x14ac:dyDescent="0.3">
      <c r="A18" s="39">
        <v>4</v>
      </c>
      <c r="B18" s="40"/>
      <c r="C18" s="47"/>
      <c r="D18" s="27"/>
      <c r="E18" s="27"/>
      <c r="F18" s="27"/>
      <c r="G18" s="27"/>
      <c r="H18" s="27"/>
      <c r="I18" s="27"/>
      <c r="J18" s="28">
        <f t="shared" si="0"/>
        <v>0</v>
      </c>
      <c r="K18" s="40"/>
      <c r="L18" s="29"/>
    </row>
    <row r="19" spans="1:12" x14ac:dyDescent="0.3">
      <c r="A19" s="39">
        <v>5</v>
      </c>
      <c r="B19" s="40"/>
      <c r="C19" s="47"/>
      <c r="D19" s="27"/>
      <c r="E19" s="27"/>
      <c r="F19" s="27"/>
      <c r="G19" s="27"/>
      <c r="H19" s="27"/>
      <c r="I19" s="27"/>
      <c r="J19" s="28">
        <f t="shared" si="0"/>
        <v>0</v>
      </c>
      <c r="K19" s="40"/>
      <c r="L19" s="29"/>
    </row>
    <row r="20" spans="1:12" x14ac:dyDescent="0.3">
      <c r="A20" s="39">
        <v>6</v>
      </c>
      <c r="B20" s="40"/>
      <c r="C20" s="47"/>
      <c r="D20" s="27"/>
      <c r="E20" s="27"/>
      <c r="F20" s="27"/>
      <c r="G20" s="27"/>
      <c r="H20" s="27"/>
      <c r="I20" s="27"/>
      <c r="J20" s="28">
        <f t="shared" si="0"/>
        <v>0</v>
      </c>
      <c r="K20" s="40"/>
      <c r="L20" s="29"/>
    </row>
    <row r="21" spans="1:12" x14ac:dyDescent="0.3">
      <c r="A21" s="39">
        <v>7</v>
      </c>
      <c r="B21" s="40"/>
      <c r="C21" s="47"/>
      <c r="D21" s="27"/>
      <c r="E21" s="27"/>
      <c r="F21" s="27"/>
      <c r="G21" s="27"/>
      <c r="H21" s="27"/>
      <c r="I21" s="27"/>
      <c r="J21" s="28">
        <f t="shared" si="0"/>
        <v>0</v>
      </c>
      <c r="K21" s="40"/>
      <c r="L21" s="29"/>
    </row>
    <row r="22" spans="1:12" x14ac:dyDescent="0.3">
      <c r="A22" s="39">
        <v>8</v>
      </c>
      <c r="B22" s="40"/>
      <c r="C22" s="47"/>
      <c r="D22" s="27"/>
      <c r="E22" s="27"/>
      <c r="F22" s="27"/>
      <c r="G22" s="27"/>
      <c r="H22" s="27"/>
      <c r="I22" s="27"/>
      <c r="J22" s="28">
        <f t="shared" si="0"/>
        <v>0</v>
      </c>
      <c r="K22" s="40"/>
      <c r="L22" s="29"/>
    </row>
    <row r="23" spans="1:12" x14ac:dyDescent="0.3">
      <c r="A23" s="39">
        <v>9</v>
      </c>
      <c r="B23" s="40"/>
      <c r="C23" s="47"/>
      <c r="D23" s="27"/>
      <c r="E23" s="27"/>
      <c r="F23" s="27"/>
      <c r="G23" s="27"/>
      <c r="H23" s="27"/>
      <c r="I23" s="27"/>
      <c r="J23" s="28">
        <f t="shared" si="0"/>
        <v>0</v>
      </c>
      <c r="K23" s="40"/>
      <c r="L23" s="29"/>
    </row>
    <row r="24" spans="1:12" x14ac:dyDescent="0.3">
      <c r="A24" s="39">
        <v>10</v>
      </c>
      <c r="B24" s="40"/>
      <c r="C24" s="47"/>
      <c r="D24" s="27"/>
      <c r="E24" s="27"/>
      <c r="F24" s="27"/>
      <c r="G24" s="27"/>
      <c r="H24" s="27"/>
      <c r="I24" s="27"/>
      <c r="J24" s="28">
        <f t="shared" si="0"/>
        <v>0</v>
      </c>
      <c r="K24" s="40"/>
      <c r="L24" s="29"/>
    </row>
    <row r="25" spans="1:12" x14ac:dyDescent="0.3">
      <c r="A25" s="95" t="s">
        <v>40</v>
      </c>
      <c r="B25" s="58"/>
      <c r="C25" s="58"/>
      <c r="D25" s="28">
        <f t="shared" ref="D25:J25" si="1">SUM(D15:D24)</f>
        <v>100</v>
      </c>
      <c r="E25" s="28">
        <f t="shared" si="1"/>
        <v>5</v>
      </c>
      <c r="F25" s="28">
        <f t="shared" si="1"/>
        <v>5</v>
      </c>
      <c r="G25" s="28">
        <f t="shared" si="1"/>
        <v>150</v>
      </c>
      <c r="H25" s="28">
        <f t="shared" si="1"/>
        <v>8</v>
      </c>
      <c r="I25" s="28">
        <f t="shared" si="1"/>
        <v>7</v>
      </c>
      <c r="J25" s="28">
        <f t="shared" si="1"/>
        <v>-41</v>
      </c>
    </row>
    <row r="33" spans="1:9" x14ac:dyDescent="0.3">
      <c r="A33" s="45" t="s">
        <v>143</v>
      </c>
      <c r="B33" s="23"/>
      <c r="C33" s="23"/>
      <c r="F33" s="43" t="s">
        <v>144</v>
      </c>
      <c r="G33" s="23"/>
      <c r="H33" s="23"/>
      <c r="I33" s="23"/>
    </row>
    <row r="34" spans="1:9" x14ac:dyDescent="0.3">
      <c r="A34" s="44" t="s">
        <v>145</v>
      </c>
      <c r="F34" s="44" t="s">
        <v>145</v>
      </c>
    </row>
    <row r="43" spans="1:9" x14ac:dyDescent="0.3">
      <c r="A43" s="37" t="str">
        <f>HYPERLINK("#'INDICE'!A19","&lt;&lt; Volver al Indice")</f>
        <v>&lt;&lt; Volver al Indice</v>
      </c>
    </row>
  </sheetData>
  <mergeCells count="3">
    <mergeCell ref="A9:L9"/>
    <mergeCell ref="A13:L13"/>
    <mergeCell ref="A25:C25"/>
  </mergeCells>
  <hyperlinks>
    <hyperlink ref="A1" location="ÍNDICE!A1" display="← VOLVER AL ÍNDICE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3"/>
  <sheetViews>
    <sheetView workbookViewId="0">
      <selection activeCell="E7" sqref="E7"/>
    </sheetView>
  </sheetViews>
  <sheetFormatPr baseColWidth="10" defaultColWidth="9.109375" defaultRowHeight="15.05" x14ac:dyDescent="0.3"/>
  <cols>
    <col min="1" max="10" width="16" customWidth="1"/>
    <col min="12" max="12" width="17.88671875" customWidth="1"/>
    <col min="13" max="13" width="12.5546875" customWidth="1"/>
  </cols>
  <sheetData>
    <row r="1" spans="1:13" x14ac:dyDescent="0.3">
      <c r="A1" s="8" t="s">
        <v>30</v>
      </c>
    </row>
    <row r="3" spans="1:13" ht="25.55" customHeight="1" x14ac:dyDescent="0.3">
      <c r="D3" s="48"/>
      <c r="E3" s="48"/>
      <c r="F3" s="48"/>
      <c r="G3" s="48"/>
      <c r="H3" s="48"/>
      <c r="I3" s="48"/>
      <c r="J3" s="48"/>
      <c r="K3" s="48"/>
      <c r="L3" s="48"/>
      <c r="M3" s="49"/>
    </row>
    <row r="4" spans="1:13" ht="18.850000000000001" customHeight="1" x14ac:dyDescent="0.3">
      <c r="D4" s="48"/>
      <c r="E4" s="48"/>
      <c r="F4" s="50" t="s">
        <v>182</v>
      </c>
      <c r="G4" s="48"/>
      <c r="H4" s="48"/>
      <c r="I4" s="48"/>
      <c r="J4" s="48"/>
      <c r="K4" s="48"/>
      <c r="L4" s="48"/>
      <c r="M4" s="48"/>
    </row>
    <row r="5" spans="1:13" x14ac:dyDescent="0.3">
      <c r="D5" s="48"/>
      <c r="E5" s="48"/>
      <c r="F5" s="50" t="s">
        <v>184</v>
      </c>
      <c r="G5" s="48"/>
      <c r="H5" s="48"/>
      <c r="I5" s="48"/>
      <c r="J5" s="48"/>
      <c r="K5" s="48"/>
      <c r="L5" s="51" t="s">
        <v>55</v>
      </c>
      <c r="M5" s="51"/>
    </row>
    <row r="6" spans="1:13" x14ac:dyDescent="0.3">
      <c r="D6" s="48"/>
      <c r="E6" s="48"/>
      <c r="F6" s="50" t="s">
        <v>183</v>
      </c>
      <c r="G6" s="48"/>
      <c r="H6" s="48"/>
      <c r="I6" s="48"/>
      <c r="J6" s="48"/>
      <c r="K6" s="48"/>
      <c r="L6" s="51" t="s">
        <v>56</v>
      </c>
      <c r="M6" s="51"/>
    </row>
    <row r="7" spans="1:13" x14ac:dyDescent="0.3">
      <c r="D7" s="48"/>
      <c r="E7" s="48"/>
      <c r="F7" s="48" t="s">
        <v>185</v>
      </c>
      <c r="G7" s="48"/>
      <c r="H7" s="48"/>
      <c r="I7" s="48"/>
      <c r="J7" s="48"/>
      <c r="K7" s="48"/>
      <c r="L7" s="51" t="s">
        <v>57</v>
      </c>
      <c r="M7" s="51"/>
    </row>
    <row r="8" spans="1:13" x14ac:dyDescent="0.3">
      <c r="D8" s="48"/>
      <c r="E8" s="48"/>
      <c r="F8" s="48"/>
      <c r="G8" s="48"/>
      <c r="H8" s="48"/>
      <c r="I8" s="48"/>
      <c r="J8" s="48"/>
      <c r="K8" s="48"/>
      <c r="L8" s="51" t="s">
        <v>58</v>
      </c>
      <c r="M8" s="51"/>
    </row>
    <row r="10" spans="1:13" ht="18.350000000000001" x14ac:dyDescent="0.3">
      <c r="A10" s="93" t="s">
        <v>162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</row>
    <row r="11" spans="1:13" x14ac:dyDescent="0.3">
      <c r="A11" t="s">
        <v>131</v>
      </c>
      <c r="B11" s="13"/>
    </row>
    <row r="12" spans="1:13" x14ac:dyDescent="0.3">
      <c r="A12" t="s">
        <v>87</v>
      </c>
      <c r="B12" s="13"/>
    </row>
    <row r="13" spans="1:13" x14ac:dyDescent="0.3">
      <c r="A13" s="80" t="s">
        <v>163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13" ht="30.15" x14ac:dyDescent="0.3">
      <c r="A14" s="25" t="s">
        <v>41</v>
      </c>
      <c r="B14" s="25" t="s">
        <v>148</v>
      </c>
      <c r="C14" s="25" t="s">
        <v>164</v>
      </c>
      <c r="D14" s="25" t="s">
        <v>165</v>
      </c>
      <c r="E14" s="25" t="s">
        <v>166</v>
      </c>
      <c r="F14" s="25" t="s">
        <v>167</v>
      </c>
      <c r="G14" s="25" t="s">
        <v>168</v>
      </c>
      <c r="H14" s="25" t="s">
        <v>169</v>
      </c>
      <c r="I14" s="25" t="s">
        <v>170</v>
      </c>
      <c r="J14" s="25" t="s">
        <v>171</v>
      </c>
      <c r="K14" s="25" t="s">
        <v>141</v>
      </c>
    </row>
    <row r="15" spans="1:13" x14ac:dyDescent="0.3">
      <c r="A15" s="39">
        <v>1</v>
      </c>
      <c r="B15" s="40"/>
      <c r="C15" s="27">
        <v>750</v>
      </c>
      <c r="D15" s="27">
        <v>1</v>
      </c>
      <c r="E15" s="52">
        <f t="shared" ref="E15:E29" si="0">IF(C15&gt;D15,C15-D15,0)</f>
        <v>749</v>
      </c>
      <c r="F15" s="27"/>
      <c r="G15" s="28">
        <f t="shared" ref="G15:G29" si="1">E15-F15</f>
        <v>749</v>
      </c>
      <c r="H15" s="27"/>
      <c r="I15" s="40"/>
      <c r="J15" s="40"/>
      <c r="K15" s="40"/>
    </row>
    <row r="16" spans="1:13" x14ac:dyDescent="0.3">
      <c r="A16" s="39">
        <v>2</v>
      </c>
      <c r="B16" s="40"/>
      <c r="C16" s="27"/>
      <c r="D16" s="27"/>
      <c r="E16" s="52">
        <f t="shared" si="0"/>
        <v>0</v>
      </c>
      <c r="F16" s="27"/>
      <c r="G16" s="28">
        <f t="shared" si="1"/>
        <v>0</v>
      </c>
      <c r="H16" s="27"/>
      <c r="I16" s="40"/>
      <c r="J16" s="40"/>
      <c r="K16" s="40"/>
    </row>
    <row r="17" spans="1:11" x14ac:dyDescent="0.3">
      <c r="A17" s="39">
        <v>3</v>
      </c>
      <c r="B17" s="40"/>
      <c r="C17" s="27"/>
      <c r="D17" s="27"/>
      <c r="E17" s="52">
        <f t="shared" si="0"/>
        <v>0</v>
      </c>
      <c r="F17" s="27"/>
      <c r="G17" s="28">
        <f t="shared" si="1"/>
        <v>0</v>
      </c>
      <c r="H17" s="27"/>
      <c r="I17" s="40"/>
      <c r="J17" s="40"/>
      <c r="K17" s="40"/>
    </row>
    <row r="18" spans="1:11" x14ac:dyDescent="0.3">
      <c r="A18" s="39">
        <v>4</v>
      </c>
      <c r="B18" s="40"/>
      <c r="C18" s="27"/>
      <c r="D18" s="27"/>
      <c r="E18" s="52">
        <f t="shared" si="0"/>
        <v>0</v>
      </c>
      <c r="F18" s="27"/>
      <c r="G18" s="28">
        <f t="shared" si="1"/>
        <v>0</v>
      </c>
      <c r="H18" s="27"/>
      <c r="I18" s="40"/>
      <c r="J18" s="40"/>
      <c r="K18" s="40"/>
    </row>
    <row r="19" spans="1:11" x14ac:dyDescent="0.3">
      <c r="A19" s="39">
        <v>5</v>
      </c>
      <c r="B19" s="40"/>
      <c r="C19" s="27"/>
      <c r="D19" s="27"/>
      <c r="E19" s="52">
        <f t="shared" si="0"/>
        <v>0</v>
      </c>
      <c r="F19" s="27"/>
      <c r="G19" s="28">
        <f t="shared" si="1"/>
        <v>0</v>
      </c>
      <c r="H19" s="27"/>
      <c r="I19" s="40"/>
      <c r="J19" s="40"/>
      <c r="K19" s="40"/>
    </row>
    <row r="20" spans="1:11" x14ac:dyDescent="0.3">
      <c r="A20" s="39">
        <v>6</v>
      </c>
      <c r="B20" s="40"/>
      <c r="C20" s="27"/>
      <c r="D20" s="27"/>
      <c r="E20" s="52">
        <f t="shared" si="0"/>
        <v>0</v>
      </c>
      <c r="F20" s="27"/>
      <c r="G20" s="28">
        <f t="shared" si="1"/>
        <v>0</v>
      </c>
      <c r="H20" s="27"/>
      <c r="I20" s="40"/>
      <c r="J20" s="40"/>
      <c r="K20" s="40"/>
    </row>
    <row r="21" spans="1:11" x14ac:dyDescent="0.3">
      <c r="A21" s="39">
        <v>7</v>
      </c>
      <c r="B21" s="40"/>
      <c r="C21" s="27"/>
      <c r="D21" s="27"/>
      <c r="E21" s="52">
        <f t="shared" si="0"/>
        <v>0</v>
      </c>
      <c r="F21" s="27"/>
      <c r="G21" s="28">
        <f t="shared" si="1"/>
        <v>0</v>
      </c>
      <c r="H21" s="27"/>
      <c r="I21" s="40"/>
      <c r="J21" s="40"/>
      <c r="K21" s="40"/>
    </row>
    <row r="22" spans="1:11" x14ac:dyDescent="0.3">
      <c r="A22" s="39">
        <v>8</v>
      </c>
      <c r="B22" s="40"/>
      <c r="C22" s="27"/>
      <c r="D22" s="27"/>
      <c r="E22" s="52">
        <f t="shared" si="0"/>
        <v>0</v>
      </c>
      <c r="F22" s="27"/>
      <c r="G22" s="28">
        <f t="shared" si="1"/>
        <v>0</v>
      </c>
      <c r="H22" s="27"/>
      <c r="I22" s="40"/>
      <c r="J22" s="40"/>
      <c r="K22" s="40"/>
    </row>
    <row r="23" spans="1:11" x14ac:dyDescent="0.3">
      <c r="A23" s="39">
        <v>9</v>
      </c>
      <c r="B23" s="40"/>
      <c r="C23" s="27"/>
      <c r="D23" s="27"/>
      <c r="E23" s="52">
        <f t="shared" si="0"/>
        <v>0</v>
      </c>
      <c r="F23" s="27"/>
      <c r="G23" s="28">
        <f t="shared" si="1"/>
        <v>0</v>
      </c>
      <c r="H23" s="27"/>
      <c r="I23" s="40"/>
      <c r="J23" s="40"/>
      <c r="K23" s="40"/>
    </row>
    <row r="24" spans="1:11" x14ac:dyDescent="0.3">
      <c r="A24" s="39">
        <v>10</v>
      </c>
      <c r="B24" s="40"/>
      <c r="C24" s="27"/>
      <c r="D24" s="27"/>
      <c r="E24" s="52">
        <f t="shared" si="0"/>
        <v>0</v>
      </c>
      <c r="F24" s="27"/>
      <c r="G24" s="28">
        <f t="shared" si="1"/>
        <v>0</v>
      </c>
      <c r="H24" s="27"/>
      <c r="I24" s="40"/>
      <c r="J24" s="40"/>
      <c r="K24" s="40"/>
    </row>
    <row r="25" spans="1:11" x14ac:dyDescent="0.3">
      <c r="A25" s="39">
        <v>11</v>
      </c>
      <c r="B25" s="40"/>
      <c r="C25" s="27"/>
      <c r="D25" s="27"/>
      <c r="E25" s="52">
        <f t="shared" si="0"/>
        <v>0</v>
      </c>
      <c r="F25" s="27"/>
      <c r="G25" s="28">
        <f t="shared" si="1"/>
        <v>0</v>
      </c>
      <c r="H25" s="27"/>
      <c r="I25" s="40"/>
      <c r="J25" s="40"/>
      <c r="K25" s="40"/>
    </row>
    <row r="26" spans="1:11" x14ac:dyDescent="0.3">
      <c r="A26" s="39">
        <v>12</v>
      </c>
      <c r="B26" s="40"/>
      <c r="C26" s="27"/>
      <c r="D26" s="27"/>
      <c r="E26" s="52">
        <f t="shared" si="0"/>
        <v>0</v>
      </c>
      <c r="F26" s="27"/>
      <c r="G26" s="28">
        <f t="shared" si="1"/>
        <v>0</v>
      </c>
      <c r="H26" s="27"/>
      <c r="I26" s="40"/>
      <c r="J26" s="40"/>
      <c r="K26" s="40"/>
    </row>
    <row r="27" spans="1:11" x14ac:dyDescent="0.3">
      <c r="A27" s="39">
        <v>13</v>
      </c>
      <c r="B27" s="40"/>
      <c r="C27" s="27"/>
      <c r="D27" s="27"/>
      <c r="E27" s="52">
        <f t="shared" si="0"/>
        <v>0</v>
      </c>
      <c r="F27" s="27"/>
      <c r="G27" s="28">
        <f t="shared" si="1"/>
        <v>0</v>
      </c>
      <c r="H27" s="27"/>
      <c r="I27" s="40"/>
      <c r="J27" s="40"/>
      <c r="K27" s="40"/>
    </row>
    <row r="28" spans="1:11" x14ac:dyDescent="0.3">
      <c r="A28" s="39">
        <v>14</v>
      </c>
      <c r="B28" s="40"/>
      <c r="C28" s="27"/>
      <c r="D28" s="27"/>
      <c r="E28" s="52">
        <f t="shared" si="0"/>
        <v>0</v>
      </c>
      <c r="F28" s="27"/>
      <c r="G28" s="28">
        <f t="shared" si="1"/>
        <v>0</v>
      </c>
      <c r="H28" s="27"/>
      <c r="I28" s="40"/>
      <c r="J28" s="40"/>
      <c r="K28" s="40"/>
    </row>
    <row r="29" spans="1:11" x14ac:dyDescent="0.3">
      <c r="A29" s="39">
        <v>15</v>
      </c>
      <c r="B29" s="40"/>
      <c r="C29" s="27"/>
      <c r="D29" s="27"/>
      <c r="E29" s="52">
        <f t="shared" si="0"/>
        <v>0</v>
      </c>
      <c r="F29" s="27"/>
      <c r="G29" s="28">
        <f t="shared" si="1"/>
        <v>0</v>
      </c>
      <c r="H29" s="27"/>
      <c r="I29" s="40"/>
      <c r="J29" s="40"/>
      <c r="K29" s="40"/>
    </row>
    <row r="30" spans="1:11" x14ac:dyDescent="0.3">
      <c r="A30" s="95" t="s">
        <v>40</v>
      </c>
      <c r="B30" s="58"/>
      <c r="C30" s="28">
        <f t="shared" ref="C30:H30" si="2">SUM(C15:C29)</f>
        <v>750</v>
      </c>
      <c r="D30" s="28">
        <f t="shared" si="2"/>
        <v>1</v>
      </c>
      <c r="E30" s="28">
        <f t="shared" si="2"/>
        <v>749</v>
      </c>
      <c r="F30" s="28">
        <f t="shared" si="2"/>
        <v>0</v>
      </c>
      <c r="G30" s="28">
        <f t="shared" si="2"/>
        <v>749</v>
      </c>
      <c r="H30" s="28">
        <f t="shared" si="2"/>
        <v>0</v>
      </c>
    </row>
    <row r="38" spans="1:9" x14ac:dyDescent="0.3">
      <c r="A38" s="45" t="s">
        <v>143</v>
      </c>
      <c r="B38" s="23"/>
      <c r="C38" s="23"/>
      <c r="F38" s="43" t="s">
        <v>144</v>
      </c>
      <c r="G38" s="23"/>
      <c r="H38" s="23"/>
      <c r="I38" s="23"/>
    </row>
    <row r="39" spans="1:9" x14ac:dyDescent="0.3">
      <c r="A39" s="44" t="s">
        <v>145</v>
      </c>
      <c r="F39" s="44" t="s">
        <v>145</v>
      </c>
    </row>
    <row r="53" spans="1:1" x14ac:dyDescent="0.3">
      <c r="A53" s="37" t="str">
        <f>HYPERLINK("#'INDICE'!A19","&lt;&lt; Volver al Indice")</f>
        <v>&lt;&lt; Volver al Indice</v>
      </c>
    </row>
  </sheetData>
  <mergeCells count="3">
    <mergeCell ref="A10:K10"/>
    <mergeCell ref="A13:K13"/>
    <mergeCell ref="A30:B30"/>
  </mergeCells>
  <hyperlinks>
    <hyperlink ref="A1" location="ÍNDICE!A1" display="← VOLVER AL ÍNDICE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workbookViewId="0">
      <selection activeCell="E4" sqref="E4:E7"/>
    </sheetView>
  </sheetViews>
  <sheetFormatPr baseColWidth="10" defaultColWidth="9.109375" defaultRowHeight="15.05" x14ac:dyDescent="0.3"/>
  <cols>
    <col min="1" max="10" width="16" customWidth="1"/>
    <col min="11" max="11" width="16.5546875" customWidth="1"/>
    <col min="12" max="12" width="12.44140625" customWidth="1"/>
  </cols>
  <sheetData>
    <row r="1" spans="1:12" x14ac:dyDescent="0.3">
      <c r="A1" s="8" t="s">
        <v>30</v>
      </c>
    </row>
    <row r="3" spans="1:12" ht="26.2" customHeight="1" x14ac:dyDescent="0.3">
      <c r="L3" s="42" t="s">
        <v>23</v>
      </c>
    </row>
    <row r="4" spans="1:12" x14ac:dyDescent="0.3">
      <c r="E4" s="99" t="s">
        <v>182</v>
      </c>
    </row>
    <row r="5" spans="1:12" x14ac:dyDescent="0.3">
      <c r="E5" s="99" t="s">
        <v>184</v>
      </c>
      <c r="K5" s="17" t="s">
        <v>55</v>
      </c>
      <c r="L5" s="17"/>
    </row>
    <row r="6" spans="1:12" x14ac:dyDescent="0.3">
      <c r="E6" s="99" t="s">
        <v>183</v>
      </c>
      <c r="K6" s="17" t="s">
        <v>56</v>
      </c>
      <c r="L6" s="17"/>
    </row>
    <row r="7" spans="1:12" x14ac:dyDescent="0.3">
      <c r="E7" s="99" t="s">
        <v>185</v>
      </c>
      <c r="K7" s="17" t="s">
        <v>57</v>
      </c>
      <c r="L7" s="17"/>
    </row>
    <row r="8" spans="1:12" x14ac:dyDescent="0.3">
      <c r="K8" s="17" t="s">
        <v>58</v>
      </c>
      <c r="L8" s="17"/>
    </row>
    <row r="9" spans="1:12" ht="18.350000000000001" x14ac:dyDescent="0.3">
      <c r="A9" s="93" t="s">
        <v>172</v>
      </c>
      <c r="B9" s="58"/>
      <c r="C9" s="58"/>
      <c r="D9" s="58"/>
      <c r="E9" s="58"/>
      <c r="F9" s="58"/>
      <c r="G9" s="58"/>
      <c r="H9" s="58"/>
      <c r="I9" s="58"/>
      <c r="J9" s="58"/>
    </row>
    <row r="10" spans="1:12" x14ac:dyDescent="0.3">
      <c r="A10" t="s">
        <v>131</v>
      </c>
      <c r="B10" s="13"/>
      <c r="F10" s="13"/>
    </row>
    <row r="11" spans="1:12" x14ac:dyDescent="0.3">
      <c r="A11" t="s">
        <v>87</v>
      </c>
      <c r="B11" s="13"/>
      <c r="F11" s="13"/>
    </row>
    <row r="12" spans="1:12" x14ac:dyDescent="0.3">
      <c r="A12" s="96" t="s">
        <v>173</v>
      </c>
      <c r="B12" s="64"/>
      <c r="C12" s="64"/>
      <c r="D12" s="64"/>
      <c r="E12" s="64"/>
      <c r="F12" s="64"/>
      <c r="G12" s="64"/>
      <c r="H12" s="64"/>
      <c r="I12" s="64"/>
      <c r="J12" s="64"/>
    </row>
    <row r="13" spans="1:12" ht="30.15" x14ac:dyDescent="0.3">
      <c r="A13" s="25" t="s">
        <v>41</v>
      </c>
      <c r="B13" s="25" t="s">
        <v>148</v>
      </c>
      <c r="C13" s="25" t="s">
        <v>174</v>
      </c>
      <c r="D13" s="25" t="s">
        <v>175</v>
      </c>
      <c r="E13" s="25" t="s">
        <v>176</v>
      </c>
      <c r="F13" s="25" t="s">
        <v>177</v>
      </c>
      <c r="G13" s="25" t="s">
        <v>178</v>
      </c>
      <c r="H13" s="25" t="s">
        <v>179</v>
      </c>
      <c r="I13" s="25" t="s">
        <v>180</v>
      </c>
      <c r="J13" s="25" t="s">
        <v>96</v>
      </c>
    </row>
    <row r="14" spans="1:12" x14ac:dyDescent="0.3">
      <c r="A14" s="39">
        <v>1</v>
      </c>
      <c r="B14" s="40"/>
      <c r="C14" s="40"/>
      <c r="D14" s="47"/>
      <c r="E14" s="27"/>
      <c r="F14" s="27">
        <v>50</v>
      </c>
      <c r="G14" s="27">
        <v>100</v>
      </c>
      <c r="H14" s="53">
        <f t="shared" ref="H14:H28" si="0">F14-G14</f>
        <v>-50</v>
      </c>
      <c r="I14" s="40"/>
      <c r="J14" s="29"/>
    </row>
    <row r="15" spans="1:12" x14ac:dyDescent="0.3">
      <c r="A15" s="39">
        <v>2</v>
      </c>
      <c r="B15" s="40"/>
      <c r="C15" s="40"/>
      <c r="D15" s="47"/>
      <c r="E15" s="27"/>
      <c r="F15" s="27"/>
      <c r="G15" s="27"/>
      <c r="H15" s="53">
        <f t="shared" si="0"/>
        <v>0</v>
      </c>
      <c r="I15" s="40"/>
      <c r="J15" s="29"/>
    </row>
    <row r="16" spans="1:12" x14ac:dyDescent="0.3">
      <c r="A16" s="39">
        <v>3</v>
      </c>
      <c r="B16" s="40"/>
      <c r="C16" s="40"/>
      <c r="D16" s="47"/>
      <c r="E16" s="27"/>
      <c r="F16" s="27"/>
      <c r="G16" s="27"/>
      <c r="H16" s="53">
        <f t="shared" si="0"/>
        <v>0</v>
      </c>
      <c r="I16" s="40"/>
      <c r="J16" s="29"/>
    </row>
    <row r="17" spans="1:10" x14ac:dyDescent="0.3">
      <c r="A17" s="39">
        <v>4</v>
      </c>
      <c r="B17" s="40"/>
      <c r="C17" s="40"/>
      <c r="D17" s="47"/>
      <c r="E17" s="27"/>
      <c r="F17" s="27"/>
      <c r="G17" s="27"/>
      <c r="H17" s="53">
        <f t="shared" si="0"/>
        <v>0</v>
      </c>
      <c r="I17" s="40"/>
      <c r="J17" s="29"/>
    </row>
    <row r="18" spans="1:10" x14ac:dyDescent="0.3">
      <c r="A18" s="39">
        <v>5</v>
      </c>
      <c r="B18" s="40"/>
      <c r="C18" s="40"/>
      <c r="D18" s="47"/>
      <c r="E18" s="27"/>
      <c r="F18" s="27"/>
      <c r="G18" s="27"/>
      <c r="H18" s="53">
        <f t="shared" si="0"/>
        <v>0</v>
      </c>
      <c r="I18" s="40"/>
      <c r="J18" s="29"/>
    </row>
    <row r="19" spans="1:10" x14ac:dyDescent="0.3">
      <c r="A19" s="39">
        <v>6</v>
      </c>
      <c r="B19" s="40"/>
      <c r="C19" s="40"/>
      <c r="D19" s="47"/>
      <c r="E19" s="27"/>
      <c r="F19" s="27"/>
      <c r="G19" s="27"/>
      <c r="H19" s="53">
        <f t="shared" si="0"/>
        <v>0</v>
      </c>
      <c r="I19" s="40"/>
      <c r="J19" s="29"/>
    </row>
    <row r="20" spans="1:10" x14ac:dyDescent="0.3">
      <c r="A20" s="39">
        <v>7</v>
      </c>
      <c r="B20" s="40"/>
      <c r="C20" s="40"/>
      <c r="D20" s="47"/>
      <c r="E20" s="27"/>
      <c r="F20" s="27"/>
      <c r="G20" s="27"/>
      <c r="H20" s="53">
        <f t="shared" si="0"/>
        <v>0</v>
      </c>
      <c r="I20" s="40"/>
      <c r="J20" s="29"/>
    </row>
    <row r="21" spans="1:10" x14ac:dyDescent="0.3">
      <c r="A21" s="39">
        <v>8</v>
      </c>
      <c r="B21" s="40"/>
      <c r="C21" s="40"/>
      <c r="D21" s="47"/>
      <c r="E21" s="27"/>
      <c r="F21" s="27"/>
      <c r="G21" s="27"/>
      <c r="H21" s="53">
        <f t="shared" si="0"/>
        <v>0</v>
      </c>
      <c r="I21" s="40"/>
      <c r="J21" s="29"/>
    </row>
    <row r="22" spans="1:10" x14ac:dyDescent="0.3">
      <c r="A22" s="39">
        <v>9</v>
      </c>
      <c r="B22" s="40"/>
      <c r="C22" s="40"/>
      <c r="D22" s="47"/>
      <c r="E22" s="27"/>
      <c r="F22" s="27"/>
      <c r="G22" s="27"/>
      <c r="H22" s="53">
        <f t="shared" si="0"/>
        <v>0</v>
      </c>
      <c r="I22" s="40"/>
      <c r="J22" s="29"/>
    </row>
    <row r="23" spans="1:10" x14ac:dyDescent="0.3">
      <c r="A23" s="39">
        <v>10</v>
      </c>
      <c r="B23" s="40"/>
      <c r="C23" s="40"/>
      <c r="D23" s="47"/>
      <c r="E23" s="27"/>
      <c r="F23" s="27"/>
      <c r="G23" s="27"/>
      <c r="H23" s="53">
        <f t="shared" si="0"/>
        <v>0</v>
      </c>
      <c r="I23" s="40"/>
      <c r="J23" s="29"/>
    </row>
    <row r="24" spans="1:10" x14ac:dyDescent="0.3">
      <c r="A24" s="39">
        <v>11</v>
      </c>
      <c r="B24" s="40"/>
      <c r="C24" s="40"/>
      <c r="D24" s="47"/>
      <c r="E24" s="27"/>
      <c r="F24" s="27"/>
      <c r="G24" s="27"/>
      <c r="H24" s="53">
        <f t="shared" si="0"/>
        <v>0</v>
      </c>
      <c r="I24" s="40"/>
      <c r="J24" s="29"/>
    </row>
    <row r="25" spans="1:10" x14ac:dyDescent="0.3">
      <c r="A25" s="39">
        <v>12</v>
      </c>
      <c r="B25" s="40"/>
      <c r="C25" s="40"/>
      <c r="D25" s="47"/>
      <c r="E25" s="27"/>
      <c r="F25" s="27"/>
      <c r="G25" s="27"/>
      <c r="H25" s="53">
        <f t="shared" si="0"/>
        <v>0</v>
      </c>
      <c r="I25" s="40"/>
      <c r="J25" s="29"/>
    </row>
    <row r="26" spans="1:10" x14ac:dyDescent="0.3">
      <c r="A26" s="39">
        <v>13</v>
      </c>
      <c r="B26" s="40"/>
      <c r="C26" s="40"/>
      <c r="D26" s="47"/>
      <c r="E26" s="27"/>
      <c r="F26" s="27"/>
      <c r="G26" s="27"/>
      <c r="H26" s="53">
        <f t="shared" si="0"/>
        <v>0</v>
      </c>
      <c r="I26" s="40"/>
      <c r="J26" s="29"/>
    </row>
    <row r="27" spans="1:10" x14ac:dyDescent="0.3">
      <c r="A27" s="39">
        <v>14</v>
      </c>
      <c r="B27" s="40"/>
      <c r="C27" s="40"/>
      <c r="D27" s="47"/>
      <c r="E27" s="27"/>
      <c r="F27" s="27"/>
      <c r="G27" s="27"/>
      <c r="H27" s="53">
        <f t="shared" si="0"/>
        <v>0</v>
      </c>
      <c r="I27" s="40"/>
      <c r="J27" s="29"/>
    </row>
    <row r="28" spans="1:10" x14ac:dyDescent="0.3">
      <c r="A28" s="39">
        <v>15</v>
      </c>
      <c r="B28" s="40"/>
      <c r="C28" s="40"/>
      <c r="D28" s="47"/>
      <c r="E28" s="27"/>
      <c r="F28" s="27"/>
      <c r="G28" s="27"/>
      <c r="H28" s="53">
        <f t="shared" si="0"/>
        <v>0</v>
      </c>
      <c r="I28" s="40"/>
      <c r="J28" s="29"/>
    </row>
    <row r="29" spans="1:10" x14ac:dyDescent="0.3">
      <c r="A29" s="97" t="s">
        <v>40</v>
      </c>
      <c r="B29" s="82"/>
      <c r="C29" s="82"/>
      <c r="D29" s="82"/>
      <c r="E29" s="83"/>
      <c r="F29" s="28">
        <f>SUM(F14:F28)</f>
        <v>50</v>
      </c>
      <c r="G29" s="28">
        <f>SUM(G14:G28)</f>
        <v>100</v>
      </c>
      <c r="H29" s="28">
        <f>SUM(H14:H28)</f>
        <v>-50</v>
      </c>
    </row>
    <row r="37" spans="1:9" x14ac:dyDescent="0.3">
      <c r="A37" s="45" t="s">
        <v>143</v>
      </c>
      <c r="B37" s="23"/>
      <c r="C37" s="23"/>
      <c r="F37" s="43" t="s">
        <v>144</v>
      </c>
      <c r="G37" s="23"/>
      <c r="H37" s="23"/>
      <c r="I37" s="23"/>
    </row>
    <row r="38" spans="1:9" x14ac:dyDescent="0.3">
      <c r="A38" s="44" t="s">
        <v>145</v>
      </c>
      <c r="F38" s="44" t="s">
        <v>145</v>
      </c>
    </row>
    <row r="51" spans="1:1" x14ac:dyDescent="0.3">
      <c r="A51" s="37" t="str">
        <f>HYPERLINK("#'INDICE'!A21","&lt;&lt; Volver al Indice")</f>
        <v>&lt;&lt; Volver al Indice</v>
      </c>
    </row>
  </sheetData>
  <mergeCells count="3">
    <mergeCell ref="A9:J9"/>
    <mergeCell ref="A12:J12"/>
    <mergeCell ref="A29:E29"/>
  </mergeCells>
  <hyperlinks>
    <hyperlink ref="A1" location="ÍNDICE!A1" display="← VOLVER AL ÍNDICE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4"/>
  <sheetViews>
    <sheetView workbookViewId="0">
      <selection activeCell="C5" sqref="C5:C8"/>
    </sheetView>
  </sheetViews>
  <sheetFormatPr baseColWidth="10" defaultColWidth="9.109375" defaultRowHeight="15.05" x14ac:dyDescent="0.3"/>
  <cols>
    <col min="1" max="1" width="30" customWidth="1"/>
    <col min="2" max="2" width="35" customWidth="1"/>
    <col min="3" max="6" width="15" customWidth="1"/>
    <col min="7" max="7" width="28.88671875" customWidth="1"/>
    <col min="9" max="9" width="16.6640625" customWidth="1"/>
    <col min="10" max="10" width="14.6640625" customWidth="1"/>
  </cols>
  <sheetData>
    <row r="1" spans="1:10" x14ac:dyDescent="0.3">
      <c r="A1" s="8" t="s">
        <v>30</v>
      </c>
    </row>
    <row r="4" spans="1:10" ht="19.649999999999999" x14ac:dyDescent="0.3">
      <c r="J4" s="42" t="s">
        <v>25</v>
      </c>
    </row>
    <row r="5" spans="1:10" x14ac:dyDescent="0.3">
      <c r="C5" s="99" t="s">
        <v>182</v>
      </c>
    </row>
    <row r="6" spans="1:10" x14ac:dyDescent="0.3">
      <c r="C6" s="99" t="s">
        <v>184</v>
      </c>
      <c r="I6" s="17" t="s">
        <v>55</v>
      </c>
      <c r="J6" s="17"/>
    </row>
    <row r="7" spans="1:10" x14ac:dyDescent="0.3">
      <c r="C7" s="99" t="s">
        <v>183</v>
      </c>
      <c r="I7" s="17" t="s">
        <v>56</v>
      </c>
      <c r="J7" s="17"/>
    </row>
    <row r="8" spans="1:10" x14ac:dyDescent="0.3">
      <c r="C8" s="99" t="s">
        <v>185</v>
      </c>
      <c r="I8" s="17" t="s">
        <v>57</v>
      </c>
      <c r="J8" s="17"/>
    </row>
    <row r="9" spans="1:10" x14ac:dyDescent="0.3">
      <c r="I9" s="17" t="s">
        <v>58</v>
      </c>
      <c r="J9" s="17"/>
    </row>
    <row r="12" spans="1:10" ht="20.3" customHeight="1" x14ac:dyDescent="0.3">
      <c r="A12" s="98" t="s">
        <v>43</v>
      </c>
      <c r="B12" s="58"/>
      <c r="C12" s="58"/>
      <c r="D12" s="58"/>
      <c r="E12" s="58"/>
      <c r="F12" s="58"/>
      <c r="G12" s="58"/>
    </row>
    <row r="13" spans="1:10" ht="27" customHeight="1" x14ac:dyDescent="0.3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49</v>
      </c>
      <c r="G13" s="1" t="s">
        <v>50</v>
      </c>
    </row>
    <row r="14" spans="1:10" ht="35.200000000000003" customHeight="1" x14ac:dyDescent="0.3">
      <c r="A14" s="10"/>
      <c r="B14" s="10"/>
      <c r="C14" s="10">
        <v>100</v>
      </c>
      <c r="D14" s="10">
        <v>25</v>
      </c>
      <c r="E14" s="11">
        <f>C14-D14</f>
        <v>75</v>
      </c>
      <c r="F14" s="12">
        <f>IF(D14=0,0,(C14-D14)/D14)</f>
        <v>3</v>
      </c>
      <c r="G14" s="10"/>
    </row>
    <row r="15" spans="1:10" ht="35.200000000000003" customHeight="1" x14ac:dyDescent="0.3">
      <c r="A15" s="10"/>
      <c r="B15" s="10"/>
      <c r="C15" s="10"/>
      <c r="D15" s="10"/>
      <c r="E15" s="11">
        <f>C15-D15</f>
        <v>0</v>
      </c>
      <c r="F15" s="12">
        <f>IF(D15=0,0,(C15-D15)/D15)</f>
        <v>0</v>
      </c>
      <c r="G15" s="10"/>
    </row>
    <row r="16" spans="1:10" ht="35.200000000000003" customHeight="1" x14ac:dyDescent="0.3">
      <c r="A16" s="10"/>
      <c r="B16" s="10"/>
      <c r="C16" s="10"/>
      <c r="D16" s="10"/>
      <c r="E16" s="11">
        <f>C16-D16</f>
        <v>0</v>
      </c>
      <c r="F16" s="12">
        <f>IF(D16=0,0,(C16-D16)/D16)</f>
        <v>0</v>
      </c>
      <c r="G16" s="10"/>
    </row>
    <row r="30" spans="1:8" x14ac:dyDescent="0.3">
      <c r="A30" s="45" t="s">
        <v>143</v>
      </c>
      <c r="B30" s="23"/>
      <c r="F30" s="43" t="s">
        <v>144</v>
      </c>
      <c r="G30" s="23"/>
      <c r="H30" s="23"/>
    </row>
    <row r="31" spans="1:8" x14ac:dyDescent="0.3">
      <c r="A31" s="44" t="s">
        <v>145</v>
      </c>
      <c r="F31" s="44" t="s">
        <v>145</v>
      </c>
    </row>
    <row r="44" spans="1:1" x14ac:dyDescent="0.3">
      <c r="A44" s="37" t="str">
        <f>HYPERLINK("#'INDICE'!A21","&lt;&lt; Volver al Indice")</f>
        <v>&lt;&lt; Volver al Indice</v>
      </c>
    </row>
  </sheetData>
  <mergeCells count="1">
    <mergeCell ref="A12:G12"/>
  </mergeCells>
  <hyperlinks>
    <hyperlink ref="A1" location="ÍNDICE!A1" display="← VOLVER AL ÍNDICE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workbookViewId="0">
      <selection activeCell="D4" sqref="D4:D7"/>
    </sheetView>
  </sheetViews>
  <sheetFormatPr baseColWidth="10" defaultColWidth="9.109375" defaultRowHeight="15.05" x14ac:dyDescent="0.3"/>
  <cols>
    <col min="1" max="1" width="8" customWidth="1"/>
    <col min="2" max="2" width="35" customWidth="1"/>
    <col min="3" max="3" width="20" customWidth="1"/>
    <col min="4" max="4" width="35" customWidth="1"/>
    <col min="5" max="5" width="30.44140625" customWidth="1"/>
    <col min="6" max="6" width="15" customWidth="1"/>
    <col min="8" max="8" width="17" customWidth="1"/>
    <col min="9" max="9" width="12.44140625" customWidth="1"/>
  </cols>
  <sheetData>
    <row r="1" spans="1:9" x14ac:dyDescent="0.3">
      <c r="A1" s="8" t="s">
        <v>30</v>
      </c>
    </row>
    <row r="3" spans="1:9" ht="23.25" customHeight="1" x14ac:dyDescent="0.3">
      <c r="I3" s="42" t="s">
        <v>27</v>
      </c>
    </row>
    <row r="4" spans="1:9" x14ac:dyDescent="0.3">
      <c r="D4" s="99" t="s">
        <v>182</v>
      </c>
    </row>
    <row r="5" spans="1:9" x14ac:dyDescent="0.3">
      <c r="D5" s="99" t="s">
        <v>184</v>
      </c>
      <c r="H5" s="17" t="s">
        <v>55</v>
      </c>
      <c r="I5" s="17"/>
    </row>
    <row r="6" spans="1:9" x14ac:dyDescent="0.3">
      <c r="D6" s="99" t="s">
        <v>183</v>
      </c>
      <c r="H6" s="17" t="s">
        <v>56</v>
      </c>
      <c r="I6" s="17"/>
    </row>
    <row r="7" spans="1:9" x14ac:dyDescent="0.3">
      <c r="D7" s="99" t="s">
        <v>185</v>
      </c>
      <c r="H7" s="17" t="s">
        <v>57</v>
      </c>
      <c r="I7" s="17"/>
    </row>
    <row r="8" spans="1:9" x14ac:dyDescent="0.3">
      <c r="H8" s="17" t="s">
        <v>58</v>
      </c>
      <c r="I8" s="17"/>
    </row>
    <row r="10" spans="1:9" ht="25.55" customHeight="1" x14ac:dyDescent="0.3">
      <c r="A10" s="98" t="s">
        <v>181</v>
      </c>
      <c r="B10" s="58"/>
      <c r="C10" s="58"/>
      <c r="D10" s="58"/>
      <c r="E10" s="58"/>
      <c r="F10" s="58"/>
    </row>
    <row r="14" spans="1:9" x14ac:dyDescent="0.3">
      <c r="A14" s="1" t="s">
        <v>41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32</v>
      </c>
    </row>
    <row r="15" spans="1:9" ht="35.200000000000003" customHeight="1" x14ac:dyDescent="0.3">
      <c r="A15" s="54">
        <v>1</v>
      </c>
      <c r="B15" s="10"/>
      <c r="C15" s="10"/>
      <c r="D15" s="10"/>
      <c r="E15" s="10"/>
      <c r="F15" s="10"/>
    </row>
    <row r="16" spans="1:9" ht="35.200000000000003" customHeight="1" x14ac:dyDescent="0.3">
      <c r="A16" s="56">
        <v>2</v>
      </c>
      <c r="B16" s="55"/>
      <c r="C16" s="10"/>
      <c r="D16" s="10"/>
      <c r="E16" s="10"/>
      <c r="F16" s="10"/>
    </row>
    <row r="17" spans="1:6" ht="35.200000000000003" customHeight="1" x14ac:dyDescent="0.3">
      <c r="A17" s="56">
        <v>3</v>
      </c>
      <c r="B17" s="55"/>
      <c r="C17" s="10"/>
      <c r="D17" s="10"/>
      <c r="E17" s="10"/>
      <c r="F17" s="10"/>
    </row>
    <row r="18" spans="1:6" ht="35.200000000000003" customHeight="1" x14ac:dyDescent="0.3">
      <c r="A18" s="56">
        <v>4</v>
      </c>
      <c r="B18" s="55"/>
      <c r="C18" s="10"/>
      <c r="D18" s="10"/>
      <c r="E18" s="10"/>
      <c r="F18" s="10"/>
    </row>
    <row r="19" spans="1:6" ht="35.200000000000003" customHeight="1" x14ac:dyDescent="0.3">
      <c r="A19" s="56">
        <v>5</v>
      </c>
      <c r="B19" s="55"/>
      <c r="C19" s="10"/>
      <c r="D19" s="10"/>
      <c r="E19" s="10"/>
      <c r="F19" s="10"/>
    </row>
  </sheetData>
  <mergeCells count="1">
    <mergeCell ref="A10:F10"/>
  </mergeCells>
  <hyperlinks>
    <hyperlink ref="A1" location="ÍNDICE!A1" display="← VOLVER AL ÍNDICE" xr:uid="{00000000-0004-0000-09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PB-1 PROGRAMA</vt:lpstr>
      <vt:lpstr>B-SUM CÉDULA SUMARIA</vt:lpstr>
      <vt:lpstr>B-1 CONFIRMACIONES</vt:lpstr>
      <vt:lpstr>B-2 VALORACIÓN</vt:lpstr>
      <vt:lpstr>B-3 ASOCIADAS</vt:lpstr>
      <vt:lpstr>B-4 DETERIORO</vt:lpstr>
      <vt:lpstr>B-5 RENDIMIENTOS</vt:lpstr>
      <vt:lpstr>B-6 PRUEBAS ANALÍTICAS</vt:lpstr>
      <vt:lpstr>B-7 HALLAZGOS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2025-11-12T17:40:18Z</dcterms:created>
  <dcterms:modified xsi:type="dcterms:W3CDTF">2025-12-08T02:41:45Z</dcterms:modified>
</cp:coreProperties>
</file>