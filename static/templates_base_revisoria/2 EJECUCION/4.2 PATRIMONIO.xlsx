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uisc\Desktop\Proyectos Freelancer\sistema-audita-revisoria\static\templates_base_revisoria\2 EJECUCION\"/>
    </mc:Choice>
  </mc:AlternateContent>
  <xr:revisionPtr revIDLastSave="0" documentId="13_ncr:1_{A545E141-B8DF-46BB-BC9E-D4A1274073D7}" xr6:coauthVersionLast="47" xr6:coauthVersionMax="47" xr10:uidLastSave="{00000000-0000-0000-0000-000000000000}"/>
  <bookViews>
    <workbookView xWindow="-118" yWindow="-118" windowWidth="25370" windowHeight="13667" xr2:uid="{00000000-000D-0000-FFFF-FFFF00000000}"/>
  </bookViews>
  <sheets>
    <sheet name="INDICE" sheetId="1" r:id="rId1"/>
    <sheet name="Programa" sheetId="2" r:id="rId2"/>
    <sheet name="G" sheetId="3" r:id="rId3"/>
    <sheet name="G-SUM" sheetId="4" r:id="rId4"/>
    <sheet name="G-1" sheetId="5" r:id="rId5"/>
    <sheet name="G-1.1" sheetId="6" r:id="rId6"/>
    <sheet name="G-1.2" sheetId="7" r:id="rId7"/>
    <sheet name="G-2" sheetId="8" r:id="rId8"/>
    <sheet name="G-3" sheetId="9" r:id="rId9"/>
    <sheet name="G-4" sheetId="10" r:id="rId10"/>
    <sheet name="G-5" sheetId="11" r:id="rId11"/>
    <sheet name="G-6" sheetId="12" r:id="rId12"/>
    <sheet name="G-7"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8" i="13" l="1"/>
  <c r="G19" i="13"/>
  <c r="F19" i="13"/>
  <c r="D19" i="13"/>
  <c r="C19" i="13"/>
  <c r="B19" i="13"/>
  <c r="H18" i="13"/>
  <c r="E18" i="13"/>
  <c r="H17" i="13"/>
  <c r="E17" i="13"/>
  <c r="H16" i="13"/>
  <c r="E16" i="13"/>
  <c r="H15" i="13"/>
  <c r="E15" i="13"/>
  <c r="H14" i="13"/>
  <c r="E14" i="13"/>
  <c r="H13" i="13"/>
  <c r="E13" i="13"/>
  <c r="A47" i="12"/>
  <c r="C20" i="12"/>
  <c r="B20" i="12"/>
  <c r="B22" i="12" s="1"/>
  <c r="C19" i="12"/>
  <c r="C18" i="12"/>
  <c r="C17" i="12"/>
  <c r="A39" i="11"/>
  <c r="G18" i="11"/>
  <c r="G17" i="11"/>
  <c r="G16" i="11"/>
  <c r="G15" i="11"/>
  <c r="A42" i="10"/>
  <c r="G18" i="10"/>
  <c r="G17" i="10"/>
  <c r="G16" i="10"/>
  <c r="G15" i="10"/>
  <c r="G14" i="10"/>
  <c r="A47" i="9"/>
  <c r="D19" i="9"/>
  <c r="C19" i="9"/>
  <c r="B19" i="9"/>
  <c r="E19" i="9" s="1"/>
  <c r="E18" i="9"/>
  <c r="E17" i="9"/>
  <c r="E16" i="9"/>
  <c r="E15" i="9"/>
  <c r="E14" i="9"/>
  <c r="G13" i="9"/>
  <c r="A56" i="8"/>
  <c r="E31" i="8"/>
  <c r="G29" i="8"/>
  <c r="G28" i="8"/>
  <c r="G27" i="8"/>
  <c r="G26" i="8"/>
  <c r="G25" i="8"/>
  <c r="G24" i="8"/>
  <c r="G23" i="8"/>
  <c r="G22" i="8"/>
  <c r="G21" i="8"/>
  <c r="G20" i="8"/>
  <c r="G19" i="8"/>
  <c r="G18" i="8"/>
  <c r="G17" i="8"/>
  <c r="G16" i="8"/>
  <c r="A45" i="7"/>
  <c r="A59" i="6"/>
  <c r="D41" i="6"/>
  <c r="G39" i="6" s="1"/>
  <c r="F39" i="6"/>
  <c r="F38" i="6"/>
  <c r="F37" i="6"/>
  <c r="F36" i="6"/>
  <c r="F35" i="6"/>
  <c r="F34" i="6"/>
  <c r="F33" i="6"/>
  <c r="F32" i="6"/>
  <c r="F31" i="6"/>
  <c r="F30" i="6"/>
  <c r="F29" i="6"/>
  <c r="F28" i="6"/>
  <c r="F27" i="6"/>
  <c r="F26" i="6"/>
  <c r="F25" i="6"/>
  <c r="F24" i="6"/>
  <c r="F23" i="6"/>
  <c r="F22" i="6"/>
  <c r="F21" i="6"/>
  <c r="F20" i="6"/>
  <c r="F19" i="6"/>
  <c r="F18" i="6"/>
  <c r="F17" i="6"/>
  <c r="F16" i="6"/>
  <c r="A45" i="5"/>
  <c r="C29" i="5"/>
  <c r="E28" i="5"/>
  <c r="E27" i="5"/>
  <c r="E26" i="5"/>
  <c r="E25" i="5"/>
  <c r="E24" i="5"/>
  <c r="E23" i="5"/>
  <c r="E22" i="5"/>
  <c r="F16" i="5"/>
  <c r="A58" i="4"/>
  <c r="J26" i="4"/>
  <c r="H26" i="4"/>
  <c r="F26" i="4"/>
  <c r="E26" i="4"/>
  <c r="D26" i="4"/>
  <c r="C26" i="4"/>
  <c r="G25" i="4"/>
  <c r="I25" i="4" s="1"/>
  <c r="G24" i="4"/>
  <c r="I24" i="4" s="1"/>
  <c r="G23" i="4"/>
  <c r="I23" i="4" s="1"/>
  <c r="G22" i="4"/>
  <c r="I22" i="4" s="1"/>
  <c r="G21" i="4"/>
  <c r="I21" i="4" s="1"/>
  <c r="G20" i="4"/>
  <c r="I20" i="4" s="1"/>
  <c r="G19" i="4"/>
  <c r="I19" i="4" s="1"/>
  <c r="G18" i="4"/>
  <c r="I18" i="4" s="1"/>
  <c r="G17" i="4"/>
  <c r="I17" i="4" s="1"/>
  <c r="A27" i="3"/>
  <c r="A108" i="2"/>
  <c r="D15" i="1"/>
  <c r="D14" i="1"/>
  <c r="D13" i="1"/>
  <c r="D12" i="1"/>
  <c r="D11" i="1"/>
  <c r="D10" i="1"/>
  <c r="D9" i="1"/>
  <c r="D8" i="1"/>
  <c r="D7" i="1"/>
  <c r="D6" i="1"/>
  <c r="D4" i="1"/>
  <c r="F41" i="6" l="1"/>
  <c r="G20" i="10"/>
  <c r="G31" i="8"/>
  <c r="E19" i="13"/>
  <c r="E29" i="5"/>
  <c r="H19" i="13"/>
  <c r="I26" i="4"/>
  <c r="G16" i="6"/>
  <c r="G18" i="6"/>
  <c r="G20" i="6"/>
  <c r="G22" i="6"/>
  <c r="G24" i="6"/>
  <c r="G26" i="6"/>
  <c r="G28" i="6"/>
  <c r="G30" i="6"/>
  <c r="G32" i="6"/>
  <c r="G34" i="6"/>
  <c r="G36" i="6"/>
  <c r="G38" i="6"/>
  <c r="G26" i="4"/>
  <c r="G17" i="6"/>
  <c r="G19" i="6"/>
  <c r="G21" i="6"/>
  <c r="G23" i="6"/>
  <c r="G25" i="6"/>
  <c r="G27" i="6"/>
  <c r="G29" i="6"/>
  <c r="G31" i="6"/>
  <c r="G33" i="6"/>
  <c r="G35" i="6"/>
  <c r="G37" i="6"/>
  <c r="G41" i="6" l="1"/>
</calcChain>
</file>

<file path=xl/sharedStrings.xml><?xml version="1.0" encoding="utf-8"?>
<sst xmlns="http://schemas.openxmlformats.org/spreadsheetml/2006/main" count="561" uniqueCount="318">
  <si>
    <t>Auditoria y Revisoria Fiscal</t>
  </si>
  <si>
    <t>FASE</t>
  </si>
  <si>
    <t>REFERENCIA</t>
  </si>
  <si>
    <t>DESCRIPCION</t>
  </si>
  <si>
    <t>ACCESO</t>
  </si>
  <si>
    <t>2. EJECUCION</t>
  </si>
  <si>
    <t>G</t>
  </si>
  <si>
    <t>PATRIMONIO</t>
  </si>
  <si>
    <t>Programa</t>
  </si>
  <si>
    <t>IR A HOJA &gt;&gt;</t>
  </si>
  <si>
    <t>G-SUM</t>
  </si>
  <si>
    <t>Cedula sumaria de patrimonio</t>
  </si>
  <si>
    <t>G-1</t>
  </si>
  <si>
    <t>Analisis de capital social</t>
  </si>
  <si>
    <t>G-1.1</t>
  </si>
  <si>
    <t>Libro de accionistas</t>
  </si>
  <si>
    <t>G-1.2</t>
  </si>
  <si>
    <t>Movimiento de acciones</t>
  </si>
  <si>
    <t>G-2</t>
  </si>
  <si>
    <t>Prima en colocacion de acciones</t>
  </si>
  <si>
    <t>G-3</t>
  </si>
  <si>
    <t>Reservas legales y estatutarias</t>
  </si>
  <si>
    <t>G-4</t>
  </si>
  <si>
    <t>Resultados de ejercicios anteriores</t>
  </si>
  <si>
    <t>G-5</t>
  </si>
  <si>
    <t>Resultado del ejercicio</t>
  </si>
  <si>
    <t>G-6</t>
  </si>
  <si>
    <t>Distribucion de utilidades</t>
  </si>
  <si>
    <t>G-7</t>
  </si>
  <si>
    <t>Otros resultados integrales ORI</t>
  </si>
  <si>
    <t>PG-1</t>
  </si>
  <si>
    <t xml:space="preserve">Auditor </t>
  </si>
  <si>
    <t>Fecha Elaboración</t>
  </si>
  <si>
    <t xml:space="preserve">Supervisor </t>
  </si>
  <si>
    <t xml:space="preserve">Fecha Aprobación </t>
  </si>
  <si>
    <t>INSTRUCCIONES:</t>
  </si>
  <si>
    <t>HECHO POR: Ingrese iniciales | FECHA: DD/MM/AAAA | RESULTADO: Seleccione SI, NO o N/A</t>
  </si>
  <si>
    <t>PROGRAMA DE AUDITORÍA - PATRIMONIO (G)</t>
  </si>
  <si>
    <t>No.</t>
  </si>
  <si>
    <t>REF</t>
  </si>
  <si>
    <t>PROCEDIMIENTO DE AUDITORÍA</t>
  </si>
  <si>
    <t>HECHO POR</t>
  </si>
  <si>
    <t>FECHA</t>
  </si>
  <si>
    <t>RESULTADO</t>
  </si>
  <si>
    <t>OBSERVACIONES</t>
  </si>
  <si>
    <t>OBJETIVOS GENERALES</t>
  </si>
  <si>
    <t>Verificar que el patrimonio esté correctamente presentado y revelado según normativa aplicable</t>
  </si>
  <si>
    <t>Validar que los movimientos patrimoniales estén debidamente autorizados y registrados</t>
  </si>
  <si>
    <t>Comprobar el cumplimiento de disposiciones legales y estatutarias</t>
  </si>
  <si>
    <t>1. CAPITAL SOCIAL Y ESTRUCTURA ACCIONARIA</t>
  </si>
  <si>
    <t>1</t>
  </si>
  <si>
    <t>Analizar el capital social autorizado, suscrito y pagado según escritura de constitución</t>
  </si>
  <si>
    <t>2</t>
  </si>
  <si>
    <t>Obtener y revisar el libro de accionistas actualizado</t>
  </si>
  <si>
    <t>3</t>
  </si>
  <si>
    <t>Verificar movimientos de acciones durante el período auditado</t>
  </si>
  <si>
    <t>4</t>
  </si>
  <si>
    <t>Confirmar el cumplimiento del capital mínimo legal requerido</t>
  </si>
  <si>
    <t>5</t>
  </si>
  <si>
    <t>Verificar si existen acciones en colocación o procesos de emisión en curso</t>
  </si>
  <si>
    <t>2. PRIMA EN COLOCACIÓN DE ACCIONES</t>
  </si>
  <si>
    <t>6</t>
  </si>
  <si>
    <t>Revisar documentación de colocaciones de acciones sobre la par</t>
  </si>
  <si>
    <t>7</t>
  </si>
  <si>
    <t>Verificar el cálculo correcto de la prima en colocación</t>
  </si>
  <si>
    <t>8</t>
  </si>
  <si>
    <t>Confirmar el registro contable adecuado de las primas generadas</t>
  </si>
  <si>
    <t>3. RESERVAS LEGALES Y ESTATUTARIAS</t>
  </si>
  <si>
    <t>9</t>
  </si>
  <si>
    <t>Verificar el cálculo y creación de reserva legal según porcentaje establecido</t>
  </si>
  <si>
    <t>10</t>
  </si>
  <si>
    <t>Revisar el cumplimiento de límite legal de la reserva (5% o porcentaje aplicable)</t>
  </si>
  <si>
    <t>11</t>
  </si>
  <si>
    <t>Evaluar la existencia y cálculo de reservas estatutarias según escritura social</t>
  </si>
  <si>
    <t>12</t>
  </si>
  <si>
    <t>Confirmar aprobación en asamblea de las reservas constituidas</t>
  </si>
  <si>
    <t>4. RESULTADOS ACUMULADOS</t>
  </si>
  <si>
    <t>13</t>
  </si>
  <si>
    <t>Revisar resultados de ejercicios anteriores y su conciliación</t>
  </si>
  <si>
    <t>14</t>
  </si>
  <si>
    <t>Analizar el resultado del ejercicio actual y su razonabilidad</t>
  </si>
  <si>
    <t>15</t>
  </si>
  <si>
    <t>Verificar aplicación de resultados según acta de asamblea</t>
  </si>
  <si>
    <t>16</t>
  </si>
  <si>
    <t>Confirmar tratamiento de pérdidas acumuladas si aplicable</t>
  </si>
  <si>
    <t>5. DISTRIBUCIÓN DE UTILIDADES</t>
  </si>
  <si>
    <t>17</t>
  </si>
  <si>
    <t>Revisar actas de asamblea que aprueban distribución de utilidades</t>
  </si>
  <si>
    <t>18</t>
  </si>
  <si>
    <t>Verificar cálculo de dividendos según participación accionaria</t>
  </si>
  <si>
    <t>19</t>
  </si>
  <si>
    <t>Confirmar cumplimiento de retenciones de ISR sobre dividendos</t>
  </si>
  <si>
    <t>20</t>
  </si>
  <si>
    <t>Validar que no se distribuyan utilidades sin cubrir pérdidas anteriores</t>
  </si>
  <si>
    <t>21</t>
  </si>
  <si>
    <t>Revisar pagos efectivos de dividendos decretados</t>
  </si>
  <si>
    <t>6. OTROS RESULTADOS INTEGRALES (ORI)</t>
  </si>
  <si>
    <t>22</t>
  </si>
  <si>
    <t>Identificar componentes del ORI registrados durante el período</t>
  </si>
  <si>
    <t>23</t>
  </si>
  <si>
    <t>Verificar valuación de instrumentos financieros disponibles para la venta</t>
  </si>
  <si>
    <t>24</t>
  </si>
  <si>
    <t>Revisar diferencias de conversión por subsidiarias extranjeras si aplica</t>
  </si>
  <si>
    <t>25</t>
  </si>
  <si>
    <t>Confirmar reclasificaciones de ORI a resultados cuando corresponda</t>
  </si>
  <si>
    <t>26</t>
  </si>
  <si>
    <t>Validar revelación adecuada de movimientos en ORI</t>
  </si>
  <si>
    <t>7. ANÁLISIS GENERAL DEL PATRIMONIO</t>
  </si>
  <si>
    <t>27</t>
  </si>
  <si>
    <t>Preparar cédula sumaria del patrimonio con movimientos del período</t>
  </si>
  <si>
    <t>28</t>
  </si>
  <si>
    <t>Verificar que el patrimonio total sea positivo (no patrimonio negativo)</t>
  </si>
  <si>
    <t>29</t>
  </si>
  <si>
    <t>Analizar razones financieras relacionadas con patrimonio (ROE, leverage)</t>
  </si>
  <si>
    <t>30</t>
  </si>
  <si>
    <t>Revisar cumplimiento de convenios de deuda relacionados con patrimonio mínimo</t>
  </si>
  <si>
    <t>8. REVELACIONES Y PRESENTACIÓN</t>
  </si>
  <si>
    <t>31</t>
  </si>
  <si>
    <t>Verificar revelación adecuada en notas a los estados financieros</t>
  </si>
  <si>
    <t>32</t>
  </si>
  <si>
    <t>Confirmar clasificación correcta entre capital y otras partidas patrimoniales</t>
  </si>
  <si>
    <t>33</t>
  </si>
  <si>
    <t>Revisar cumplimiento de NIC 1 en presentación del estado de cambios en patrimonio</t>
  </si>
  <si>
    <t>34</t>
  </si>
  <si>
    <t>Validar revelación de restricciones sobre distribución de utilidades</t>
  </si>
  <si>
    <t>9. CUMPLIMIENTO LEGAL Y ESTATUTARIO</t>
  </si>
  <si>
    <t>35</t>
  </si>
  <si>
    <t>Verificar cumplimiento de requisitos del Código de Comercio</t>
  </si>
  <si>
    <t>36</t>
  </si>
  <si>
    <t>Confirmar que las decisiones sobre patrimonio cuenten con actas de asamblea</t>
  </si>
  <si>
    <t>37</t>
  </si>
  <si>
    <t>Revisar inscripción de modificaciones al capital en Registro Mercantil</t>
  </si>
  <si>
    <t>38</t>
  </si>
  <si>
    <t>Evaluar cumplimiento de estatutos sociales en materia patrimonial</t>
  </si>
  <si>
    <t>CONCLUSIONES DEL PROGRAMA</t>
  </si>
  <si>
    <t>Basado en los procedimientos de auditoría ejecutados sobre el rubro de Patrimonio:
1. El capital social está debidamente autorizado, suscrito y registrado conforme a escritura pública.
2. Las reservas legales y estatutarias cumplen con los requisitos legales y estatutarios aplicables.
3. Los resultados acumulados y del ejercicio están correctamente presentados y concilian con registros contables.
4. Las distribuciones de utilidades cuentan con la debida autorización y documentación de respaldo.
5. Los otros resultados integrales están adecuadamente clasificados y revelados.
6. La presentación y revelación del patrimonio cumple con NIC 1 y normativa aplicable.
HALLAZGOS IDENTIFICADOS: [Detallar si existen]
RECOMENDACIONES: [Incluir recomendaciones específicas]</t>
  </si>
  <si>
    <t>Preparado por: Firma</t>
  </si>
  <si>
    <t xml:space="preserve">Revisado por: </t>
  </si>
  <si>
    <t xml:space="preserve">Nombre </t>
  </si>
  <si>
    <t>ÍNDICE DE PROCEDIMIENTOS DE AUDITORÍA - PATRIMONIO</t>
  </si>
  <si>
    <t>Ref.</t>
  </si>
  <si>
    <t>Procedimiento</t>
  </si>
  <si>
    <t>Estado</t>
  </si>
  <si>
    <t>Hoja</t>
  </si>
  <si>
    <t>Cédula sumaria de patrimonio</t>
  </si>
  <si>
    <t>☐</t>
  </si>
  <si>
    <t>Análisis de capital social</t>
  </si>
  <si>
    <t>Prima en colocación de acciones</t>
  </si>
  <si>
    <t>Distribución de utilidades</t>
  </si>
  <si>
    <t>INSTRUCCIONES DE USO:</t>
  </si>
  <si>
    <t>1. Complete la información general en la hoja G-SUM</t>
  </si>
  <si>
    <t>2. Ingrese los datos en celdas con fondo gris (valores en AZUL)</t>
  </si>
  <si>
    <t>3. Las celdas en NEGRO contienen fórmulas automáticas</t>
  </si>
  <si>
    <t>4. Las referencias en VERDE enlazan con otras hojas</t>
  </si>
  <si>
    <t>5. Marque ✓ al completar cada procedimiento</t>
  </si>
  <si>
    <t>6. Revise alertas en celdas con fondo NARANJA</t>
  </si>
  <si>
    <t>NOTA: Esta herramienta cumple con NIC 1, NIC 8, NIC 33 y Sección 22 NIIF PYMES</t>
  </si>
  <si>
    <t xml:space="preserve">                                                                                              G-SUM: CÉDULA SUMARIA DE PATRIMONIO</t>
  </si>
  <si>
    <t>ENTIDAD:</t>
  </si>
  <si>
    <t>ABC COMERCIALIZADORA S.A.S.</t>
  </si>
  <si>
    <t>PERÍODO:</t>
  </si>
  <si>
    <t>2024</t>
  </si>
  <si>
    <t>CÓDIGO</t>
  </si>
  <si>
    <t>CUENTA</t>
  </si>
  <si>
    <t>SALDO INICIAL</t>
  </si>
  <si>
    <t>AUMENTOS</t>
  </si>
  <si>
    <t>DISMINUCIONES</t>
  </si>
  <si>
    <t>RESULTADO EJERCICIO</t>
  </si>
  <si>
    <t>SALDO FINAL LIBROS</t>
  </si>
  <si>
    <t>SALDO AUDITORÍA</t>
  </si>
  <si>
    <t>DIFERENCIA</t>
  </si>
  <si>
    <t>AJUSTES</t>
  </si>
  <si>
    <t>REF.</t>
  </si>
  <si>
    <t>3105</t>
  </si>
  <si>
    <t>Capital suscrito y pagado</t>
  </si>
  <si>
    <t>3115</t>
  </si>
  <si>
    <t>Aportes sociales</t>
  </si>
  <si>
    <t>3120</t>
  </si>
  <si>
    <t>3205</t>
  </si>
  <si>
    <t>Reserva legal</t>
  </si>
  <si>
    <t>3210</t>
  </si>
  <si>
    <t>Reservas estatutarias</t>
  </si>
  <si>
    <t>3305</t>
  </si>
  <si>
    <t>3605</t>
  </si>
  <si>
    <t>3705</t>
  </si>
  <si>
    <t>Superávit por valorización</t>
  </si>
  <si>
    <t>3805</t>
  </si>
  <si>
    <t>Otros resultados integrales (ORI)</t>
  </si>
  <si>
    <t>TOTAL PATRIMONIO</t>
  </si>
  <si>
    <t xml:space="preserve">                                                                                                                                            G-1: ANÁLISIS DE CAPITAL SOCIAL</t>
  </si>
  <si>
    <t>INFORMACIÓN DEL CAPITAL</t>
  </si>
  <si>
    <t>Capital autorizado:</t>
  </si>
  <si>
    <t>1,000,000,000</t>
  </si>
  <si>
    <t>Número de acciones autorizadas:</t>
  </si>
  <si>
    <t>1,000,000</t>
  </si>
  <si>
    <t>Capital suscrito:</t>
  </si>
  <si>
    <t>800,000,000</t>
  </si>
  <si>
    <t>Número de acciones suscritas:</t>
  </si>
  <si>
    <t>800,000</t>
  </si>
  <si>
    <t>Capital pagado:</t>
  </si>
  <si>
    <t>Valor nominal por acción:</t>
  </si>
  <si>
    <t>COMPOSICIÓN ACCIONARIA</t>
  </si>
  <si>
    <t>ACCIONISTA</t>
  </si>
  <si>
    <t>IDENTIFICACIÓN</t>
  </si>
  <si>
    <t>NRO. ACCIONES</t>
  </si>
  <si>
    <t>VALOR NOMINAL</t>
  </si>
  <si>
    <t>VALOR TOTAL</t>
  </si>
  <si>
    <t>% PARTICIPACIÓN</t>
  </si>
  <si>
    <t>TIPO ACCIÓN</t>
  </si>
  <si>
    <t>FECHA SUSCRIPCIÓN</t>
  </si>
  <si>
    <t>ESTADO</t>
  </si>
  <si>
    <t>CERTIFICADO</t>
  </si>
  <si>
    <t>DERECHOS</t>
  </si>
  <si>
    <t>OBS.</t>
  </si>
  <si>
    <t>TOTALES</t>
  </si>
  <si>
    <t xml:space="preserve">                                                                                                                                              G-1.1: LIBRO DE ACCIONISTAS</t>
  </si>
  <si>
    <t>Objetivo: Verificar existencia y actualización del libro de registro de accionistas</t>
  </si>
  <si>
    <t>Accionista</t>
  </si>
  <si>
    <t>Identificación</t>
  </si>
  <si>
    <t>Tipo Acción</t>
  </si>
  <si>
    <t>No. Acciones</t>
  </si>
  <si>
    <t>Valor Nominal</t>
  </si>
  <si>
    <t>Valor Total</t>
  </si>
  <si>
    <t>Participación %</t>
  </si>
  <si>
    <t>Fecha Compra</t>
  </si>
  <si>
    <t>Certificado No.</t>
  </si>
  <si>
    <t>Verificado</t>
  </si>
  <si>
    <t>✓</t>
  </si>
  <si>
    <t>TOTALES:</t>
  </si>
  <si>
    <t xml:space="preserve">                                                                                                                                                                                             G-1.1: LIBRO DE ACCIONISTAS</t>
  </si>
  <si>
    <t>OBJETIVO: Verificar que el libro de accionistas esté actualizado y cumpla requisitos legales</t>
  </si>
  <si>
    <t>DIRECCIÓN</t>
  </si>
  <si>
    <t>TELÉFONO</t>
  </si>
  <si>
    <t>CORREO ELECTRÓNICO</t>
  </si>
  <si>
    <t>FECHA INSCRIPCIÓN</t>
  </si>
  <si>
    <t>ACTUALIZADO</t>
  </si>
  <si>
    <t xml:space="preserve">                                                                                                                                                      G-1.2: MOVIMIENTO DE ACCIONES</t>
  </si>
  <si>
    <t>Objetivo: Verificar todos los movimientos de acciones durante el período</t>
  </si>
  <si>
    <t>Fecha</t>
  </si>
  <si>
    <t>Tipo Movimiento</t>
  </si>
  <si>
    <t>Vendedor/Emisor</t>
  </si>
  <si>
    <t>Comprador/Suscriptor</t>
  </si>
  <si>
    <t>Valor Unitario</t>
  </si>
  <si>
    <t>Acta No.</t>
  </si>
  <si>
    <t>Protocolización</t>
  </si>
  <si>
    <t>Registro CCio</t>
  </si>
  <si>
    <t>Contabilizado</t>
  </si>
  <si>
    <t>G-3: RESERVAS LEGALES Y ESTATUTARIAS</t>
  </si>
  <si>
    <t>Objetivo: Verificar cumplimiento de requisitos legales y estatutarios para reservas</t>
  </si>
  <si>
    <t>Tipo de Reserva</t>
  </si>
  <si>
    <t>Saldo Inicial</t>
  </si>
  <si>
    <t>Apropiación Período</t>
  </si>
  <si>
    <t>Liberaciones</t>
  </si>
  <si>
    <t>Saldo Final</t>
  </si>
  <si>
    <t>% Legal Req.</t>
  </si>
  <si>
    <t>Cumple</t>
  </si>
  <si>
    <t>Acta</t>
  </si>
  <si>
    <t>Reserva Legal</t>
  </si>
  <si>
    <t>Reserva para Readquisición de Acciones</t>
  </si>
  <si>
    <t>N/A</t>
  </si>
  <si>
    <t>Reserva para Futuras Capitalizaciones</t>
  </si>
  <si>
    <t>Reserva para Reposición de Activos</t>
  </si>
  <si>
    <t>Reserva para Protección Inversiones</t>
  </si>
  <si>
    <t>Otras Reservas Estatutarias</t>
  </si>
  <si>
    <t>TOTAL RESERVAS</t>
  </si>
  <si>
    <t>NOTA: Según normativa local, la reserva legal debe ser mínimo 10% de utilidad neta hasta alcanzar 50% del capital.</t>
  </si>
  <si>
    <t xml:space="preserve">                   G-4: RESULTADOS DE EJERCICIOS ANTERIORES</t>
  </si>
  <si>
    <t>Objetivo: Verificar movimientos y correcta reclasificación de resultados acumulados</t>
  </si>
  <si>
    <t>Año</t>
  </si>
  <si>
    <t>Utilidad/Pérdida Año</t>
  </si>
  <si>
    <t>Apropiaciones Reservas</t>
  </si>
  <si>
    <t>Distribución Dividendos</t>
  </si>
  <si>
    <t>Ajustes</t>
  </si>
  <si>
    <t>SALDO ACUMULADO</t>
  </si>
  <si>
    <t>G-4: RESULTADOS DE EJERCICIOS ANTERIORES</t>
  </si>
  <si>
    <t>AÑO</t>
  </si>
  <si>
    <t>UTILIDAD/PÉRDIDA</t>
  </si>
  <si>
    <t>DISTRIBUCIÓN</t>
  </si>
  <si>
    <t>CAPITALIZACIÓN</t>
  </si>
  <si>
    <t>RESERVAS</t>
  </si>
  <si>
    <t>DIVIDENDOS</t>
  </si>
  <si>
    <t>SALDO NO DISTRIBUIDO</t>
  </si>
  <si>
    <t>ACTA ASAMBLEA</t>
  </si>
  <si>
    <t>APROPIADO</t>
  </si>
  <si>
    <t>G-6: DISTRIBUCIÓN DE UTILIDADES</t>
  </si>
  <si>
    <t>Objetivo: Verificar correcta distribución según acta de asamblea</t>
  </si>
  <si>
    <t>Concepto</t>
  </si>
  <si>
    <t>Valor</t>
  </si>
  <si>
    <t>% s/Utilidad</t>
  </si>
  <si>
    <t>Fecha Acta</t>
  </si>
  <si>
    <t>Fecha Pago</t>
  </si>
  <si>
    <t>Base Legal</t>
  </si>
  <si>
    <t>UTILIDAD NETA DEL EJERCICIO</t>
  </si>
  <si>
    <t>Reserva Legal (10%)</t>
  </si>
  <si>
    <t>Dividendos Accionistas</t>
  </si>
  <si>
    <t>Utilidades Retenidas</t>
  </si>
  <si>
    <t>TOTAL DISTRIBUIDO</t>
  </si>
  <si>
    <t>Diferencia:</t>
  </si>
  <si>
    <t xml:space="preserve">                              G-7: OTROS RESULTADOS INTEGRALES (ORI)</t>
  </si>
  <si>
    <t>Objetivo: Verificar correcta clasificación de ORI según NIC 1 / Sección 5 NIIF PYMES</t>
  </si>
  <si>
    <t>Concepto ORI</t>
  </si>
  <si>
    <t>Movimiento Período</t>
  </si>
  <si>
    <t>Reclasif. P&amp;L</t>
  </si>
  <si>
    <t>Bruto</t>
  </si>
  <si>
    <t>Impuesto</t>
  </si>
  <si>
    <t>Neto</t>
  </si>
  <si>
    <t>Revaluación propiedades, planta y equipo</t>
  </si>
  <si>
    <t>Ganancias/pérdidas actuariales</t>
  </si>
  <si>
    <t>Diferencias en cambio por conversión</t>
  </si>
  <si>
    <t>Ganancias/pérdidas en instrumentos cobertura</t>
  </si>
  <si>
    <t>Inversiones a valor razonable con cambios ORI</t>
  </si>
  <si>
    <t>Otros componentes ORI</t>
  </si>
  <si>
    <t>TOTAL ORI</t>
  </si>
  <si>
    <t>NOTA: Los ORI no transitan por el estado de resultados pero sí afectan el patrimonio</t>
  </si>
  <si>
    <t>Entidad XXXXXXX</t>
  </si>
  <si>
    <t>Revisoría Fiscal</t>
  </si>
  <si>
    <t>Del 01 de Enero al 31 de Diciembre de 2024</t>
  </si>
  <si>
    <t>Cifras expresadas en [MONEDA]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</si>
</sst>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quot;#,##0\);\-"/>
    <numFmt numFmtId="165" formatCode="dd/mm/yyyy"/>
  </numFmts>
  <fonts count="33" x14ac:knownFonts="1">
    <font>
      <sz val="11"/>
      <color theme="1"/>
      <name val="Calibri"/>
      <family val="2"/>
      <scheme val="minor"/>
    </font>
    <font>
      <b/>
      <sz val="14"/>
      <color rgb="FFFFFFFF"/>
      <name val="Arial"/>
      <family val="2"/>
    </font>
    <font>
      <b/>
      <sz val="10"/>
      <name val="Arial"/>
      <family val="2"/>
    </font>
    <font>
      <sz val="10"/>
      <name val="Arial"/>
      <family val="2"/>
    </font>
    <font>
      <b/>
      <sz val="11"/>
      <color rgb="FFFFFFFF"/>
      <name val="Arial"/>
      <family val="2"/>
    </font>
    <font>
      <u/>
      <sz val="10"/>
      <color rgb="FF0563C1"/>
      <name val="Arial"/>
      <family val="2"/>
    </font>
    <font>
      <b/>
      <u/>
      <sz val="11"/>
      <color rgb="FF0563C1"/>
      <name val="Arial"/>
      <family val="2"/>
    </font>
    <font>
      <b/>
      <sz val="11"/>
      <name val="Cambria"/>
      <family val="1"/>
    </font>
    <font>
      <b/>
      <sz val="11"/>
      <color rgb="FFFFFFFF"/>
      <name val="Cambria"/>
      <family val="1"/>
    </font>
    <font>
      <b/>
      <sz val="14"/>
      <color rgb="FFFFFFFF"/>
      <name val="Cambria"/>
      <family val="1"/>
    </font>
    <font>
      <sz val="12"/>
      <color rgb="FF0000FF"/>
      <name val="Cambria"/>
      <family val="1"/>
    </font>
    <font>
      <sz val="11"/>
      <color rgb="FF008000"/>
      <name val="Cambria"/>
      <family val="1"/>
    </font>
    <font>
      <sz val="9"/>
      <name val="Cambria"/>
      <family val="1"/>
    </font>
    <font>
      <i/>
      <sz val="9"/>
      <color rgb="FFFF0000"/>
      <name val="Cambria"/>
      <family val="1"/>
    </font>
    <font>
      <sz val="11"/>
      <color rgb="FF0000FF"/>
      <name val="Cambria"/>
      <family val="1"/>
    </font>
    <font>
      <b/>
      <sz val="13"/>
      <color rgb="FFFFFFFF"/>
      <name val="Cambria"/>
      <family val="1"/>
    </font>
    <font>
      <i/>
      <sz val="9"/>
      <name val="Cambria"/>
      <family val="1"/>
    </font>
    <font>
      <b/>
      <sz val="11"/>
      <color rgb="FF0000FF"/>
      <name val="Cambria"/>
      <family val="1"/>
    </font>
    <font>
      <b/>
      <sz val="11"/>
      <color rgb="FFFF0000"/>
      <name val="Cambria"/>
      <family val="1"/>
    </font>
    <font>
      <i/>
      <sz val="9"/>
      <color rgb="FF0066CC"/>
      <name val="Cambria"/>
      <family val="1"/>
    </font>
    <font>
      <b/>
      <sz val="15"/>
      <color rgb="FFC00000"/>
      <name val="Calibri"/>
      <family val="2"/>
    </font>
    <font>
      <b/>
      <sz val="12"/>
      <color rgb="FFFFFFFF"/>
      <name val="Calibri"/>
      <family val="2"/>
    </font>
    <font>
      <b/>
      <sz val="10"/>
      <color rgb="FFFFFFFF"/>
      <name val="Calibri"/>
      <family val="2"/>
    </font>
    <font>
      <b/>
      <sz val="11"/>
      <name val="Calibri"/>
      <family val="2"/>
    </font>
    <font>
      <sz val="10"/>
      <name val="Calibri"/>
      <family val="2"/>
    </font>
    <font>
      <sz val="9"/>
      <name val="Calibri"/>
      <family val="2"/>
    </font>
    <font>
      <i/>
      <sz val="11"/>
      <name val="Calibri"/>
      <family val="2"/>
    </font>
    <font>
      <b/>
      <sz val="15"/>
      <color rgb="FFC00000"/>
      <name val="Arial"/>
      <family val="2"/>
    </font>
    <font>
      <b/>
      <sz val="14"/>
      <color rgb="FFFFFFFF"/>
      <name val="Calibri"/>
      <family val="2"/>
    </font>
    <font>
      <b/>
      <sz val="11"/>
      <name val="Calibri"/>
      <family val="2"/>
    </font>
    <font>
      <b/>
      <sz val="10"/>
      <name val="Calibri"/>
      <family val="2"/>
    </font>
    <font>
      <i/>
      <sz val="9"/>
      <color rgb="FF0000FF"/>
      <name val="Calibri"/>
      <family val="2"/>
    </font>
    <font>
      <sz val="12"/>
      <color theme="10"/>
      <name val="Calibri"/>
      <family val="2"/>
      <scheme val="minor"/>
    </font>
  </fonts>
  <fills count="18">
    <fill>
      <patternFill patternType="none"/>
    </fill>
    <fill>
      <patternFill patternType="gray125"/>
    </fill>
    <fill>
      <patternFill patternType="solid">
        <fgColor rgb="FF1F4E78"/>
        <bgColor rgb="FF1F4E78"/>
      </patternFill>
    </fill>
    <fill>
      <patternFill patternType="solid">
        <fgColor rgb="FF4472C4"/>
        <bgColor rgb="FF4472C4"/>
      </patternFill>
    </fill>
    <fill>
      <patternFill patternType="solid">
        <fgColor rgb="FFD9E1F2"/>
        <bgColor rgb="FFD9E1F2"/>
      </patternFill>
    </fill>
    <fill>
      <patternFill patternType="solid">
        <fgColor theme="0"/>
        <bgColor indexed="64"/>
      </patternFill>
    </fill>
    <fill>
      <patternFill patternType="solid">
        <fgColor rgb="FF366092"/>
        <bgColor rgb="FF333399"/>
      </patternFill>
    </fill>
    <fill>
      <patternFill patternType="solid">
        <fgColor rgb="FFD9E1F2"/>
        <bgColor rgb="FFE7E6E6"/>
      </patternFill>
    </fill>
    <fill>
      <patternFill patternType="solid">
        <fgColor rgb="FFFFC000"/>
        <bgColor rgb="FFFF9900"/>
      </patternFill>
    </fill>
    <fill>
      <patternFill patternType="solid">
        <fgColor rgb="FFE7E6E6"/>
        <bgColor rgb="FFD9E1F2"/>
      </patternFill>
    </fill>
    <fill>
      <patternFill patternType="solid">
        <fgColor theme="0"/>
        <bgColor rgb="FFFFF2CC"/>
      </patternFill>
    </fill>
    <fill>
      <patternFill patternType="solid">
        <fgColor rgb="FFFFFF00"/>
        <bgColor rgb="FFFFFF00"/>
      </patternFill>
    </fill>
    <fill>
      <patternFill patternType="solid">
        <fgColor rgb="FFC6EFCE"/>
        <bgColor rgb="FFC6EFCE"/>
      </patternFill>
    </fill>
    <fill>
      <patternFill patternType="solid">
        <fgColor rgb="FFD9D9D9"/>
        <bgColor rgb="FFD9D9D9"/>
      </patternFill>
    </fill>
    <fill>
      <patternFill patternType="solid">
        <fgColor rgb="FF0066CC"/>
        <bgColor rgb="FF0066CC"/>
      </patternFill>
    </fill>
    <fill>
      <patternFill patternType="solid">
        <fgColor rgb="FFB4C7E7"/>
        <bgColor rgb="FFB4C7E7"/>
      </patternFill>
    </fill>
    <fill>
      <patternFill patternType="solid">
        <fgColor rgb="FFE7E6E6"/>
        <bgColor rgb="FFE7E6E6"/>
      </patternFill>
    </fill>
    <fill>
      <patternFill patternType="solid">
        <fgColor rgb="FFFFF2CC"/>
        <bgColor rgb="FFFFF2CC"/>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right/>
      <top/>
      <bottom style="thin">
        <color auto="1"/>
      </bottom>
      <diagonal/>
    </border>
    <border>
      <left/>
      <right style="thin">
        <color rgb="FF000000"/>
      </right>
      <top style="thin">
        <color rgb="FF000000"/>
      </top>
      <bottom style="thin">
        <color rgb="FF000000"/>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2">
    <xf numFmtId="0" fontId="0" fillId="0" borderId="0"/>
    <xf numFmtId="0" fontId="32" fillId="0" borderId="0"/>
  </cellStyleXfs>
  <cellXfs count="94">
    <xf numFmtId="0" fontId="0" fillId="0" borderId="0" xfId="0"/>
    <xf numFmtId="0" fontId="4" fillId="3" borderId="1" xfId="0" applyFont="1" applyFill="1" applyBorder="1" applyAlignment="1">
      <alignment horizontal="center" vertical="center"/>
    </xf>
    <xf numFmtId="0" fontId="2" fillId="4" borderId="1" xfId="0" applyFont="1" applyFill="1" applyBorder="1" applyAlignment="1">
      <alignment horizontal="left" vertical="center"/>
    </xf>
    <xf numFmtId="0" fontId="2" fillId="4" borderId="1" xfId="0" applyFont="1" applyFill="1" applyBorder="1" applyAlignment="1">
      <alignment horizontal="center" vertical="center"/>
    </xf>
    <xf numFmtId="0" fontId="3" fillId="4" borderId="1" xfId="0" applyFont="1" applyFill="1" applyBorder="1" applyAlignment="1">
      <alignment horizontal="left" vertical="center"/>
    </xf>
    <xf numFmtId="0" fontId="5" fillId="0" borderId="1" xfId="0" applyFont="1" applyBorder="1" applyAlignment="1">
      <alignment horizontal="center" vertical="center"/>
    </xf>
    <xf numFmtId="0" fontId="3" fillId="0" borderId="1" xfId="0" applyFont="1" applyBorder="1" applyAlignment="1">
      <alignment horizontal="left" vertical="center"/>
    </xf>
    <xf numFmtId="0" fontId="2" fillId="0" borderId="1" xfId="0" applyFont="1" applyBorder="1" applyAlignment="1">
      <alignment horizontal="center" vertical="center"/>
    </xf>
    <xf numFmtId="0" fontId="6" fillId="0" borderId="0" xfId="0" applyFont="1"/>
    <xf numFmtId="0" fontId="8" fillId="6" borderId="2" xfId="0" applyFont="1" applyFill="1" applyBorder="1" applyAlignment="1">
      <alignment horizontal="center"/>
    </xf>
    <xf numFmtId="0" fontId="8" fillId="6" borderId="2" xfId="0" applyFont="1" applyFill="1" applyBorder="1" applyAlignment="1">
      <alignment horizontal="center" wrapText="1"/>
    </xf>
    <xf numFmtId="0" fontId="10" fillId="0" borderId="2" xfId="0" applyFont="1" applyBorder="1"/>
    <xf numFmtId="0" fontId="11" fillId="0" borderId="2" xfId="0" applyFont="1" applyBorder="1"/>
    <xf numFmtId="0" fontId="7" fillId="0" borderId="0" xfId="0" applyFont="1"/>
    <xf numFmtId="0" fontId="12" fillId="0" borderId="0" xfId="0" applyFont="1"/>
    <xf numFmtId="0" fontId="13" fillId="0" borderId="0" xfId="0" applyFont="1"/>
    <xf numFmtId="164" fontId="14" fillId="0" borderId="2" xfId="0" applyNumberFormat="1" applyFont="1" applyBorder="1"/>
    <xf numFmtId="164" fontId="0" fillId="0" borderId="2" xfId="0" applyNumberFormat="1" applyBorder="1"/>
    <xf numFmtId="0" fontId="16" fillId="0" borderId="0" xfId="0" applyFont="1"/>
    <xf numFmtId="10" fontId="0" fillId="0" borderId="2" xfId="0" applyNumberFormat="1" applyBorder="1"/>
    <xf numFmtId="164" fontId="7" fillId="0" borderId="0" xfId="0" applyNumberFormat="1" applyFont="1"/>
    <xf numFmtId="9" fontId="14" fillId="0" borderId="2" xfId="0" applyNumberFormat="1" applyFont="1" applyBorder="1"/>
    <xf numFmtId="0" fontId="14" fillId="0" borderId="2" xfId="0" applyFont="1" applyBorder="1"/>
    <xf numFmtId="10" fontId="7" fillId="0" borderId="0" xfId="0" applyNumberFormat="1" applyFont="1"/>
    <xf numFmtId="164" fontId="7" fillId="7" borderId="0" xfId="0" applyNumberFormat="1" applyFont="1" applyFill="1"/>
    <xf numFmtId="0" fontId="17" fillId="9" borderId="0" xfId="0" applyFont="1" applyFill="1"/>
    <xf numFmtId="164" fontId="18" fillId="8" borderId="0" xfId="0" applyNumberFormat="1" applyFont="1" applyFill="1"/>
    <xf numFmtId="0" fontId="19" fillId="0" borderId="0" xfId="0" applyFont="1"/>
    <xf numFmtId="0" fontId="3" fillId="0" borderId="3" xfId="0" applyFont="1" applyBorder="1" applyAlignment="1">
      <alignment horizontal="left" vertical="center"/>
    </xf>
    <xf numFmtId="0" fontId="5" fillId="0" borderId="3" xfId="0" applyFont="1" applyBorder="1" applyAlignment="1">
      <alignment horizontal="center" vertical="center"/>
    </xf>
    <xf numFmtId="0" fontId="3" fillId="0" borderId="0" xfId="0" applyFont="1" applyAlignment="1">
      <alignment horizontal="left" vertical="center"/>
    </xf>
    <xf numFmtId="0" fontId="2" fillId="5" borderId="0" xfId="0" applyFont="1" applyFill="1" applyAlignment="1">
      <alignment horizontal="center" vertical="center"/>
    </xf>
    <xf numFmtId="0" fontId="3" fillId="5" borderId="0" xfId="0" applyFont="1" applyFill="1" applyAlignment="1">
      <alignment horizontal="left" vertical="center"/>
    </xf>
    <xf numFmtId="0" fontId="5" fillId="0" borderId="0" xfId="0" applyFont="1" applyAlignment="1">
      <alignment horizontal="center" vertical="center"/>
    </xf>
    <xf numFmtId="0" fontId="2" fillId="0" borderId="3" xfId="0" applyFont="1" applyBorder="1" applyAlignment="1">
      <alignment horizontal="center" vertical="center"/>
    </xf>
    <xf numFmtId="0" fontId="3" fillId="0" borderId="2" xfId="0" applyFont="1" applyBorder="1" applyAlignment="1">
      <alignment horizontal="left" vertic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20" fillId="10" borderId="2" xfId="0" applyFont="1" applyFill="1" applyBorder="1" applyAlignment="1">
      <alignment horizontal="center" vertical="center"/>
    </xf>
    <xf numFmtId="0" fontId="0" fillId="0" borderId="2" xfId="0" applyBorder="1"/>
    <xf numFmtId="0" fontId="22" fillId="3" borderId="1" xfId="0" applyFont="1" applyFill="1" applyBorder="1" applyAlignment="1">
      <alignment horizontal="center" vertical="center" wrapText="1"/>
    </xf>
    <xf numFmtId="0" fontId="0" fillId="0" borderId="1" xfId="0" applyBorder="1"/>
    <xf numFmtId="3" fontId="0" fillId="11" borderId="1" xfId="0" applyNumberFormat="1" applyFill="1" applyBorder="1"/>
    <xf numFmtId="3" fontId="0" fillId="12" borderId="1" xfId="0" applyNumberFormat="1" applyFill="1" applyBorder="1"/>
    <xf numFmtId="0" fontId="0" fillId="13" borderId="1" xfId="0" applyFill="1" applyBorder="1"/>
    <xf numFmtId="0" fontId="23" fillId="13" borderId="1" xfId="0" applyFont="1" applyFill="1" applyBorder="1"/>
    <xf numFmtId="3" fontId="0" fillId="13" borderId="1" xfId="0" applyNumberFormat="1" applyFill="1" applyBorder="1"/>
    <xf numFmtId="0" fontId="24" fillId="0" borderId="4" xfId="0" applyFont="1" applyBorder="1"/>
    <xf numFmtId="0" fontId="0" fillId="0" borderId="4" xfId="0" applyBorder="1"/>
    <xf numFmtId="0" fontId="24" fillId="0" borderId="0" xfId="0" applyFont="1"/>
    <xf numFmtId="0" fontId="25" fillId="0" borderId="0" xfId="0" applyFont="1"/>
    <xf numFmtId="0" fontId="0" fillId="11" borderId="1" xfId="0" applyFill="1" applyBorder="1"/>
    <xf numFmtId="10" fontId="0" fillId="12" borderId="1" xfId="0" applyNumberFormat="1" applyFill="1" applyBorder="1"/>
    <xf numFmtId="10" fontId="0" fillId="11" borderId="1" xfId="0" applyNumberFormat="1" applyFill="1" applyBorder="1"/>
    <xf numFmtId="0" fontId="27" fillId="0" borderId="1" xfId="0" applyFont="1" applyBorder="1" applyAlignment="1">
      <alignment horizontal="center" vertical="center"/>
    </xf>
    <xf numFmtId="3" fontId="0" fillId="11" borderId="5" xfId="0" applyNumberFormat="1" applyFill="1" applyBorder="1"/>
    <xf numFmtId="0" fontId="22" fillId="3" borderId="3" xfId="0" applyFont="1" applyFill="1" applyBorder="1" applyAlignment="1">
      <alignment horizontal="center" vertical="center" wrapText="1"/>
    </xf>
    <xf numFmtId="0" fontId="0" fillId="0" borderId="2" xfId="0" applyBorder="1" applyAlignment="1">
      <alignment horizontal="center" vertical="center"/>
    </xf>
    <xf numFmtId="0" fontId="29" fillId="15" borderId="2"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left" vertical="center" wrapText="1"/>
    </xf>
    <xf numFmtId="0" fontId="30" fillId="0" borderId="0" xfId="0" applyFont="1"/>
    <xf numFmtId="0" fontId="31" fillId="0" borderId="0" xfId="0" applyFont="1"/>
    <xf numFmtId="0" fontId="0" fillId="16" borderId="2" xfId="0" applyFill="1" applyBorder="1" applyAlignment="1">
      <alignment horizontal="center" vertical="center" wrapText="1"/>
    </xf>
    <xf numFmtId="165" fontId="0" fillId="17" borderId="2" xfId="0" applyNumberFormat="1" applyFill="1" applyBorder="1" applyAlignment="1">
      <alignment horizontal="center" vertical="center" wrapText="1"/>
    </xf>
    <xf numFmtId="0" fontId="32" fillId="0" borderId="0" xfId="1"/>
    <xf numFmtId="0" fontId="1" fillId="2" borderId="0" xfId="0" applyFont="1" applyFill="1" applyAlignment="1">
      <alignment horizontal="center" vertical="center"/>
    </xf>
    <xf numFmtId="0" fontId="0" fillId="0" borderId="0" xfId="0"/>
    <xf numFmtId="0" fontId="28" fillId="14" borderId="0" xfId="0" applyFont="1" applyFill="1" applyAlignment="1">
      <alignment horizontal="center" vertical="center"/>
    </xf>
    <xf numFmtId="0" fontId="29" fillId="4" borderId="2" xfId="0" applyFont="1" applyFill="1" applyBorder="1" applyAlignment="1">
      <alignment horizontal="left" vertical="center"/>
    </xf>
    <xf numFmtId="0" fontId="0" fillId="0" borderId="8" xfId="0" applyBorder="1"/>
    <xf numFmtId="0" fontId="0" fillId="0" borderId="9" xfId="0" applyBorder="1"/>
    <xf numFmtId="0" fontId="0" fillId="0" borderId="2" xfId="0" applyBorder="1" applyAlignment="1">
      <alignment horizontal="left" vertical="top" wrapText="1"/>
    </xf>
    <xf numFmtId="0" fontId="0" fillId="0" borderId="6" xfId="0" applyBorder="1"/>
    <xf numFmtId="0" fontId="0" fillId="0" borderId="7" xfId="0" applyBorder="1"/>
    <xf numFmtId="0" fontId="0" fillId="0" borderId="10" xfId="0" applyBorder="1"/>
    <xf numFmtId="0" fontId="0" fillId="0" borderId="11" xfId="0" applyBorder="1"/>
    <xf numFmtId="0" fontId="0" fillId="0" borderId="12" xfId="0" applyBorder="1"/>
    <xf numFmtId="0" fontId="0" fillId="0" borderId="4" xfId="0" applyBorder="1"/>
    <xf numFmtId="0" fontId="0" fillId="0" borderId="13" xfId="0" applyBorder="1"/>
    <xf numFmtId="0" fontId="29" fillId="15" borderId="2" xfId="0" applyFont="1" applyFill="1" applyBorder="1" applyAlignment="1">
      <alignment horizontal="center" vertical="center"/>
    </xf>
    <xf numFmtId="0" fontId="9" fillId="6" borderId="0" xfId="0" applyFont="1" applyFill="1"/>
    <xf numFmtId="0" fontId="21" fillId="2" borderId="0" xfId="0" applyFont="1" applyFill="1" applyAlignment="1">
      <alignment horizontal="left" vertical="center" wrapText="1"/>
    </xf>
    <xf numFmtId="0" fontId="0" fillId="11" borderId="0" xfId="0" applyFill="1"/>
    <xf numFmtId="3" fontId="0" fillId="12" borderId="0" xfId="0" applyNumberFormat="1" applyFill="1"/>
    <xf numFmtId="3" fontId="0" fillId="11" borderId="0" xfId="0" applyNumberFormat="1" applyFill="1"/>
    <xf numFmtId="0" fontId="23" fillId="13" borderId="0" xfId="0" applyFont="1" applyFill="1"/>
    <xf numFmtId="0" fontId="15" fillId="6" borderId="0" xfId="0" applyFont="1" applyFill="1"/>
    <xf numFmtId="0" fontId="26" fillId="0" borderId="0" xfId="0" applyFont="1"/>
    <xf numFmtId="0" fontId="15" fillId="6" borderId="0" xfId="0" applyFont="1" applyFill="1" applyAlignment="1">
      <alignment vertical="center"/>
    </xf>
    <xf numFmtId="0" fontId="15" fillId="6" borderId="0" xfId="0" applyFont="1" applyFill="1" applyAlignment="1">
      <alignment horizontal="center"/>
    </xf>
    <xf numFmtId="0" fontId="15" fillId="6" borderId="0" xfId="0" applyFont="1" applyFill="1" applyAlignment="1">
      <alignment horizontal="center" vertical="center"/>
    </xf>
    <xf numFmtId="0" fontId="21" fillId="2" borderId="0" xfId="0" applyFont="1" applyFill="1" applyAlignment="1">
      <alignment horizontal="center" vertical="center" wrapText="1"/>
    </xf>
    <xf numFmtId="0" fontId="0" fillId="0" borderId="0" xfId="0" applyAlignment="1">
      <alignment horizontal="center"/>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0"/>
  <sheetViews>
    <sheetView tabSelected="1" workbookViewId="0">
      <selection activeCell="E1" sqref="E1"/>
    </sheetView>
  </sheetViews>
  <sheetFormatPr baseColWidth="10" defaultColWidth="9.109375" defaultRowHeight="15.05" x14ac:dyDescent="0.3"/>
  <cols>
    <col min="1" max="1" width="20" customWidth="1"/>
    <col min="2" max="2" width="15" customWidth="1"/>
    <col min="3" max="3" width="45" customWidth="1"/>
    <col min="4" max="4" width="15" customWidth="1"/>
  </cols>
  <sheetData>
    <row r="1" spans="1:4" ht="29.95" customHeight="1" x14ac:dyDescent="0.3">
      <c r="A1" s="66" t="s">
        <v>0</v>
      </c>
      <c r="B1" s="67"/>
      <c r="C1" s="67"/>
      <c r="D1" s="67"/>
    </row>
    <row r="2" spans="1:4" x14ac:dyDescent="0.3">
      <c r="A2" s="1" t="s">
        <v>1</v>
      </c>
      <c r="B2" s="1" t="s">
        <v>2</v>
      </c>
      <c r="C2" s="1" t="s">
        <v>3</v>
      </c>
      <c r="D2" s="1" t="s">
        <v>4</v>
      </c>
    </row>
    <row r="3" spans="1:4" x14ac:dyDescent="0.3">
      <c r="A3" s="2" t="s">
        <v>5</v>
      </c>
      <c r="B3" s="3"/>
      <c r="C3" s="4"/>
      <c r="D3" s="5"/>
    </row>
    <row r="4" spans="1:4" x14ac:dyDescent="0.3">
      <c r="A4" s="6"/>
      <c r="B4" s="7" t="s">
        <v>6</v>
      </c>
      <c r="C4" s="6" t="s">
        <v>7</v>
      </c>
      <c r="D4" s="5" t="str">
        <f>HYPERLINK("#'G'!A1","IR A HOJA &gt;&gt;")</f>
        <v>IR A HOJA &gt;&gt;</v>
      </c>
    </row>
    <row r="5" spans="1:4" ht="15.75" x14ac:dyDescent="0.3">
      <c r="A5" s="6"/>
      <c r="B5" s="7" t="s">
        <v>8</v>
      </c>
      <c r="C5" s="6" t="s">
        <v>8</v>
      </c>
      <c r="D5" s="65" t="s">
        <v>9</v>
      </c>
    </row>
    <row r="6" spans="1:4" x14ac:dyDescent="0.3">
      <c r="A6" s="6"/>
      <c r="B6" s="7" t="s">
        <v>10</v>
      </c>
      <c r="C6" s="6" t="s">
        <v>11</v>
      </c>
      <c r="D6" s="5" t="str">
        <f>HYPERLINK("#'G-SUM'!A1","IR A HOJA &gt;&gt;")</f>
        <v>IR A HOJA &gt;&gt;</v>
      </c>
    </row>
    <row r="7" spans="1:4" x14ac:dyDescent="0.3">
      <c r="A7" s="6"/>
      <c r="B7" s="7" t="s">
        <v>12</v>
      </c>
      <c r="C7" s="6" t="s">
        <v>13</v>
      </c>
      <c r="D7" s="5" t="str">
        <f>HYPERLINK("#'G-1'!A1","IR A HOJA &gt;&gt;")</f>
        <v>IR A HOJA &gt;&gt;</v>
      </c>
    </row>
    <row r="8" spans="1:4" x14ac:dyDescent="0.3">
      <c r="A8" s="6"/>
      <c r="B8" s="7" t="s">
        <v>14</v>
      </c>
      <c r="C8" s="6" t="s">
        <v>15</v>
      </c>
      <c r="D8" s="5" t="str">
        <f>HYPERLINK("#'G-1.1'!A1","IR A HOJA &gt;&gt;")</f>
        <v>IR A HOJA &gt;&gt;</v>
      </c>
    </row>
    <row r="9" spans="1:4" x14ac:dyDescent="0.3">
      <c r="A9" s="6"/>
      <c r="B9" s="7" t="s">
        <v>16</v>
      </c>
      <c r="C9" s="6" t="s">
        <v>17</v>
      </c>
      <c r="D9" s="5" t="str">
        <f>HYPERLINK("#'G-1.2'!A1","IR A HOJA &gt;&gt;")</f>
        <v>IR A HOJA &gt;&gt;</v>
      </c>
    </row>
    <row r="10" spans="1:4" x14ac:dyDescent="0.3">
      <c r="A10" s="6"/>
      <c r="B10" s="7" t="s">
        <v>18</v>
      </c>
      <c r="C10" s="6" t="s">
        <v>19</v>
      </c>
      <c r="D10" s="5" t="str">
        <f>HYPERLINK("#'G-2'!A1","IR A HOJA &gt;&gt;")</f>
        <v>IR A HOJA &gt;&gt;</v>
      </c>
    </row>
    <row r="11" spans="1:4" x14ac:dyDescent="0.3">
      <c r="A11" s="6"/>
      <c r="B11" s="7" t="s">
        <v>20</v>
      </c>
      <c r="C11" s="6" t="s">
        <v>21</v>
      </c>
      <c r="D11" s="5" t="str">
        <f>HYPERLINK("#'G-3'!A1","IR A HOJA &gt;&gt;")</f>
        <v>IR A HOJA &gt;&gt;</v>
      </c>
    </row>
    <row r="12" spans="1:4" x14ac:dyDescent="0.3">
      <c r="A12" s="6"/>
      <c r="B12" s="7" t="s">
        <v>22</v>
      </c>
      <c r="C12" s="6" t="s">
        <v>23</v>
      </c>
      <c r="D12" s="5" t="str">
        <f>HYPERLINK("#'G-4'!A1","IR A HOJA &gt;&gt;")</f>
        <v>IR A HOJA &gt;&gt;</v>
      </c>
    </row>
    <row r="13" spans="1:4" x14ac:dyDescent="0.3">
      <c r="A13" s="6"/>
      <c r="B13" s="7" t="s">
        <v>24</v>
      </c>
      <c r="C13" s="6" t="s">
        <v>25</v>
      </c>
      <c r="D13" s="5" t="str">
        <f>HYPERLINK("#'G-5'!A1","IR A HOJA &gt;&gt;")</f>
        <v>IR A HOJA &gt;&gt;</v>
      </c>
    </row>
    <row r="14" spans="1:4" x14ac:dyDescent="0.3">
      <c r="A14" s="28"/>
      <c r="B14" s="34" t="s">
        <v>26</v>
      </c>
      <c r="C14" s="28" t="s">
        <v>27</v>
      </c>
      <c r="D14" s="29" t="str">
        <f>HYPERLINK("#'G-6'!A1","IR A HOJA &gt;&gt;")</f>
        <v>IR A HOJA &gt;&gt;</v>
      </c>
    </row>
    <row r="15" spans="1:4" x14ac:dyDescent="0.3">
      <c r="A15" s="35"/>
      <c r="B15" s="37" t="s">
        <v>28</v>
      </c>
      <c r="C15" s="35" t="s">
        <v>29</v>
      </c>
      <c r="D15" s="36" t="str">
        <f>HYPERLINK("#'G-7'!A1","IR A HOJA &gt;&gt;")</f>
        <v>IR A HOJA &gt;&gt;</v>
      </c>
    </row>
    <row r="16" spans="1:4" x14ac:dyDescent="0.3">
      <c r="A16" s="30"/>
      <c r="B16" s="31"/>
      <c r="C16" s="32"/>
      <c r="D16" s="33"/>
    </row>
    <row r="17" spans="1:4" x14ac:dyDescent="0.3">
      <c r="A17" s="30"/>
      <c r="B17" s="31"/>
      <c r="C17" s="32"/>
      <c r="D17" s="33"/>
    </row>
    <row r="18" spans="1:4" x14ac:dyDescent="0.3">
      <c r="A18" s="30"/>
      <c r="B18" s="31"/>
      <c r="C18" s="32"/>
      <c r="D18" s="33"/>
    </row>
    <row r="19" spans="1:4" x14ac:dyDescent="0.3">
      <c r="A19" s="30"/>
      <c r="B19" s="31"/>
      <c r="C19" s="32"/>
      <c r="D19" s="33"/>
    </row>
    <row r="20" spans="1:4" x14ac:dyDescent="0.3">
      <c r="A20" s="30"/>
      <c r="B20" s="31"/>
      <c r="C20" s="32"/>
      <c r="D20" s="33"/>
    </row>
    <row r="21" spans="1:4" x14ac:dyDescent="0.3">
      <c r="A21" s="30"/>
      <c r="B21" s="31"/>
      <c r="C21" s="32"/>
      <c r="D21" s="33"/>
    </row>
    <row r="22" spans="1:4" x14ac:dyDescent="0.3">
      <c r="A22" s="30"/>
      <c r="B22" s="31"/>
      <c r="C22" s="32"/>
      <c r="D22" s="33"/>
    </row>
    <row r="23" spans="1:4" x14ac:dyDescent="0.3">
      <c r="A23" s="30"/>
      <c r="B23" s="31"/>
      <c r="C23" s="32"/>
      <c r="D23" s="33"/>
    </row>
    <row r="24" spans="1:4" x14ac:dyDescent="0.3">
      <c r="A24" s="30"/>
      <c r="B24" s="31"/>
      <c r="C24" s="32"/>
      <c r="D24" s="33"/>
    </row>
    <row r="25" spans="1:4" x14ac:dyDescent="0.3">
      <c r="A25" s="30"/>
      <c r="B25" s="31"/>
      <c r="C25" s="32"/>
      <c r="D25" s="33"/>
    </row>
    <row r="26" spans="1:4" x14ac:dyDescent="0.3">
      <c r="A26" s="30"/>
      <c r="B26" s="31"/>
      <c r="C26" s="32"/>
      <c r="D26" s="33"/>
    </row>
    <row r="27" spans="1:4" x14ac:dyDescent="0.3">
      <c r="A27" s="30"/>
      <c r="B27" s="31"/>
      <c r="C27" s="32"/>
      <c r="D27" s="33"/>
    </row>
    <row r="28" spans="1:4" x14ac:dyDescent="0.3">
      <c r="A28" s="30"/>
      <c r="B28" s="31"/>
      <c r="C28" s="32"/>
      <c r="D28" s="33"/>
    </row>
    <row r="29" spans="1:4" x14ac:dyDescent="0.3">
      <c r="A29" s="30"/>
      <c r="B29" s="31"/>
      <c r="C29" s="32"/>
      <c r="D29" s="33"/>
    </row>
    <row r="30" spans="1:4" x14ac:dyDescent="0.3">
      <c r="A30" s="30"/>
      <c r="B30" s="31"/>
      <c r="C30" s="32"/>
      <c r="D30" s="33"/>
    </row>
    <row r="31" spans="1:4" x14ac:dyDescent="0.3">
      <c r="A31" s="30"/>
      <c r="B31" s="31"/>
      <c r="C31" s="32"/>
      <c r="D31" s="33"/>
    </row>
    <row r="32" spans="1:4" x14ac:dyDescent="0.3">
      <c r="A32" s="30"/>
      <c r="B32" s="31"/>
      <c r="C32" s="32"/>
      <c r="D32" s="33"/>
    </row>
    <row r="33" spans="1:4" x14ac:dyDescent="0.3">
      <c r="A33" s="30"/>
      <c r="B33" s="31"/>
      <c r="C33" s="32"/>
      <c r="D33" s="33"/>
    </row>
    <row r="34" spans="1:4" x14ac:dyDescent="0.3">
      <c r="A34" s="30"/>
      <c r="B34" s="31"/>
      <c r="C34" s="32"/>
      <c r="D34" s="33"/>
    </row>
    <row r="35" spans="1:4" x14ac:dyDescent="0.3">
      <c r="A35" s="30"/>
      <c r="B35" s="31"/>
      <c r="C35" s="32"/>
      <c r="D35" s="33"/>
    </row>
    <row r="36" spans="1:4" x14ac:dyDescent="0.3">
      <c r="A36" s="30"/>
      <c r="B36" s="31"/>
      <c r="C36" s="32"/>
      <c r="D36" s="33"/>
    </row>
    <row r="37" spans="1:4" x14ac:dyDescent="0.3">
      <c r="A37" s="30"/>
      <c r="B37" s="31"/>
      <c r="C37" s="32"/>
      <c r="D37" s="33"/>
    </row>
    <row r="38" spans="1:4" x14ac:dyDescent="0.3">
      <c r="A38" s="30"/>
      <c r="B38" s="31"/>
      <c r="C38" s="32"/>
      <c r="D38" s="33"/>
    </row>
    <row r="39" spans="1:4" x14ac:dyDescent="0.3">
      <c r="A39" s="30"/>
      <c r="B39" s="31"/>
      <c r="C39" s="32"/>
      <c r="D39" s="33"/>
    </row>
    <row r="40" spans="1:4" x14ac:dyDescent="0.3">
      <c r="A40" s="30"/>
      <c r="B40" s="31"/>
      <c r="C40" s="32"/>
      <c r="D40" s="33"/>
    </row>
    <row r="41" spans="1:4" x14ac:dyDescent="0.3">
      <c r="A41" s="30"/>
      <c r="B41" s="31"/>
      <c r="C41" s="32"/>
      <c r="D41" s="33"/>
    </row>
    <row r="42" spans="1:4" x14ac:dyDescent="0.3">
      <c r="A42" s="30"/>
      <c r="B42" s="31"/>
      <c r="C42" s="32"/>
      <c r="D42" s="33"/>
    </row>
    <row r="43" spans="1:4" x14ac:dyDescent="0.3">
      <c r="A43" s="30"/>
      <c r="B43" s="31"/>
      <c r="C43" s="32"/>
      <c r="D43" s="33"/>
    </row>
    <row r="44" spans="1:4" x14ac:dyDescent="0.3">
      <c r="A44" s="30"/>
      <c r="B44" s="31"/>
      <c r="C44" s="32"/>
      <c r="D44" s="33"/>
    </row>
    <row r="45" spans="1:4" x14ac:dyDescent="0.3">
      <c r="A45" s="30"/>
      <c r="B45" s="31"/>
      <c r="C45" s="32"/>
      <c r="D45" s="33"/>
    </row>
    <row r="46" spans="1:4" x14ac:dyDescent="0.3">
      <c r="A46" s="30"/>
      <c r="B46" s="31"/>
      <c r="C46" s="32"/>
      <c r="D46" s="33"/>
    </row>
    <row r="47" spans="1:4" x14ac:dyDescent="0.3">
      <c r="A47" s="30"/>
      <c r="B47" s="31"/>
      <c r="C47" s="32"/>
      <c r="D47" s="33"/>
    </row>
    <row r="48" spans="1:4" x14ac:dyDescent="0.3">
      <c r="A48" s="30"/>
      <c r="B48" s="31"/>
      <c r="C48" s="32"/>
      <c r="D48" s="33"/>
    </row>
    <row r="49" spans="1:4" x14ac:dyDescent="0.3">
      <c r="A49" s="30"/>
      <c r="B49" s="31"/>
      <c r="C49" s="32"/>
      <c r="D49" s="33"/>
    </row>
    <row r="50" spans="1:4" x14ac:dyDescent="0.3">
      <c r="A50" s="30"/>
      <c r="B50" s="31"/>
      <c r="C50" s="32"/>
      <c r="D50" s="33"/>
    </row>
    <row r="51" spans="1:4" x14ac:dyDescent="0.3">
      <c r="A51" s="30"/>
      <c r="B51" s="31"/>
      <c r="C51" s="32"/>
      <c r="D51" s="33"/>
    </row>
    <row r="52" spans="1:4" x14ac:dyDescent="0.3">
      <c r="A52" s="30"/>
      <c r="B52" s="31"/>
      <c r="C52" s="32"/>
      <c r="D52" s="33"/>
    </row>
    <row r="53" spans="1:4" x14ac:dyDescent="0.3">
      <c r="A53" s="30"/>
      <c r="B53" s="31"/>
      <c r="C53" s="32"/>
      <c r="D53" s="33"/>
    </row>
    <row r="54" spans="1:4" x14ac:dyDescent="0.3">
      <c r="A54" s="30"/>
      <c r="B54" s="31"/>
      <c r="C54" s="32"/>
      <c r="D54" s="33"/>
    </row>
    <row r="55" spans="1:4" x14ac:dyDescent="0.3">
      <c r="A55" s="30"/>
      <c r="B55" s="31"/>
      <c r="C55" s="32"/>
      <c r="D55" s="33"/>
    </row>
    <row r="56" spans="1:4" x14ac:dyDescent="0.3">
      <c r="A56" s="30"/>
      <c r="B56" s="31"/>
      <c r="C56" s="32"/>
      <c r="D56" s="33"/>
    </row>
    <row r="57" spans="1:4" x14ac:dyDescent="0.3">
      <c r="A57" s="30"/>
      <c r="B57" s="31"/>
      <c r="C57" s="32"/>
      <c r="D57" s="33"/>
    </row>
    <row r="58" spans="1:4" x14ac:dyDescent="0.3">
      <c r="A58" s="30"/>
      <c r="B58" s="31"/>
      <c r="C58" s="32"/>
      <c r="D58" s="33"/>
    </row>
    <row r="59" spans="1:4" x14ac:dyDescent="0.3">
      <c r="A59" s="30"/>
      <c r="B59" s="31"/>
      <c r="C59" s="32"/>
      <c r="D59" s="33"/>
    </row>
    <row r="60" spans="1:4" x14ac:dyDescent="0.3">
      <c r="A60" s="30"/>
      <c r="B60" s="31"/>
      <c r="C60" s="32"/>
      <c r="D60" s="33"/>
    </row>
    <row r="61" spans="1:4" x14ac:dyDescent="0.3">
      <c r="A61" s="30"/>
      <c r="B61" s="31"/>
      <c r="C61" s="32"/>
      <c r="D61" s="33"/>
    </row>
    <row r="62" spans="1:4" x14ac:dyDescent="0.3">
      <c r="A62" s="30"/>
      <c r="B62" s="31"/>
      <c r="C62" s="32"/>
      <c r="D62" s="33"/>
    </row>
    <row r="63" spans="1:4" x14ac:dyDescent="0.3">
      <c r="A63" s="30"/>
      <c r="B63" s="31"/>
      <c r="C63" s="32"/>
      <c r="D63" s="33"/>
    </row>
    <row r="64" spans="1:4" x14ac:dyDescent="0.3">
      <c r="A64" s="30"/>
      <c r="B64" s="31"/>
      <c r="C64" s="32"/>
      <c r="D64" s="33"/>
    </row>
    <row r="65" spans="1:4" x14ac:dyDescent="0.3">
      <c r="A65" s="30"/>
      <c r="B65" s="31"/>
      <c r="C65" s="32"/>
      <c r="D65" s="33"/>
    </row>
    <row r="66" spans="1:4" x14ac:dyDescent="0.3">
      <c r="A66" s="30"/>
      <c r="B66" s="31"/>
      <c r="C66" s="32"/>
      <c r="D66" s="33"/>
    </row>
    <row r="67" spans="1:4" x14ac:dyDescent="0.3">
      <c r="A67" s="30"/>
      <c r="B67" s="31"/>
      <c r="C67" s="32"/>
      <c r="D67" s="33"/>
    </row>
    <row r="68" spans="1:4" x14ac:dyDescent="0.3">
      <c r="A68" s="30"/>
      <c r="B68" s="31"/>
      <c r="C68" s="32"/>
      <c r="D68" s="33"/>
    </row>
    <row r="69" spans="1:4" x14ac:dyDescent="0.3">
      <c r="A69" s="30"/>
      <c r="B69" s="31"/>
      <c r="C69" s="32"/>
      <c r="D69" s="33"/>
    </row>
    <row r="70" spans="1:4" x14ac:dyDescent="0.3">
      <c r="A70" s="30"/>
      <c r="B70" s="31"/>
      <c r="C70" s="32"/>
      <c r="D70" s="33"/>
    </row>
    <row r="71" spans="1:4" x14ac:dyDescent="0.3">
      <c r="A71" s="30"/>
      <c r="B71" s="31"/>
      <c r="C71" s="32"/>
      <c r="D71" s="33"/>
    </row>
    <row r="72" spans="1:4" x14ac:dyDescent="0.3">
      <c r="A72" s="30"/>
      <c r="B72" s="31"/>
      <c r="C72" s="32"/>
      <c r="D72" s="33"/>
    </row>
    <row r="73" spans="1:4" x14ac:dyDescent="0.3">
      <c r="A73" s="30"/>
      <c r="B73" s="31"/>
      <c r="C73" s="32"/>
      <c r="D73" s="33"/>
    </row>
    <row r="74" spans="1:4" x14ac:dyDescent="0.3">
      <c r="A74" s="30"/>
      <c r="B74" s="31"/>
      <c r="C74" s="32"/>
      <c r="D74" s="33"/>
    </row>
    <row r="75" spans="1:4" x14ac:dyDescent="0.3">
      <c r="A75" s="30"/>
      <c r="B75" s="31"/>
      <c r="C75" s="32"/>
      <c r="D75" s="33"/>
    </row>
    <row r="76" spans="1:4" x14ac:dyDescent="0.3">
      <c r="A76" s="30"/>
      <c r="B76" s="31"/>
      <c r="C76" s="32"/>
      <c r="D76" s="33"/>
    </row>
    <row r="77" spans="1:4" x14ac:dyDescent="0.3">
      <c r="A77" s="30"/>
      <c r="B77" s="31"/>
      <c r="C77" s="32"/>
      <c r="D77" s="33"/>
    </row>
    <row r="78" spans="1:4" x14ac:dyDescent="0.3">
      <c r="A78" s="30"/>
      <c r="B78" s="31"/>
      <c r="C78" s="32"/>
      <c r="D78" s="33"/>
    </row>
    <row r="79" spans="1:4" x14ac:dyDescent="0.3">
      <c r="A79" s="30"/>
      <c r="B79" s="31"/>
      <c r="C79" s="32"/>
      <c r="D79" s="33"/>
    </row>
    <row r="80" spans="1:4" x14ac:dyDescent="0.3">
      <c r="A80" s="30"/>
      <c r="B80" s="31"/>
      <c r="C80" s="32"/>
      <c r="D80" s="33"/>
    </row>
    <row r="81" spans="1:4" x14ac:dyDescent="0.3">
      <c r="A81" s="30"/>
      <c r="B81" s="31"/>
      <c r="C81" s="32"/>
      <c r="D81" s="33"/>
    </row>
    <row r="82" spans="1:4" x14ac:dyDescent="0.3">
      <c r="A82" s="30"/>
      <c r="B82" s="31"/>
      <c r="C82" s="32"/>
      <c r="D82" s="33"/>
    </row>
    <row r="83" spans="1:4" x14ac:dyDescent="0.3">
      <c r="A83" s="30"/>
      <c r="B83" s="31"/>
      <c r="C83" s="32"/>
      <c r="D83" s="33"/>
    </row>
    <row r="84" spans="1:4" x14ac:dyDescent="0.3">
      <c r="A84" s="30"/>
      <c r="B84" s="31"/>
      <c r="C84" s="32"/>
      <c r="D84" s="33"/>
    </row>
    <row r="85" spans="1:4" x14ac:dyDescent="0.3">
      <c r="A85" s="30"/>
      <c r="B85" s="31"/>
      <c r="C85" s="32"/>
      <c r="D85" s="33"/>
    </row>
    <row r="86" spans="1:4" x14ac:dyDescent="0.3">
      <c r="A86" s="30"/>
      <c r="B86" s="31"/>
      <c r="C86" s="32"/>
      <c r="D86" s="33"/>
    </row>
    <row r="87" spans="1:4" x14ac:dyDescent="0.3">
      <c r="A87" s="30"/>
      <c r="B87" s="31"/>
      <c r="C87" s="32"/>
      <c r="D87" s="33"/>
    </row>
    <row r="88" spans="1:4" x14ac:dyDescent="0.3">
      <c r="A88" s="30"/>
      <c r="B88" s="31"/>
      <c r="C88" s="32"/>
      <c r="D88" s="33"/>
    </row>
    <row r="89" spans="1:4" x14ac:dyDescent="0.3">
      <c r="A89" s="30"/>
      <c r="B89" s="31"/>
      <c r="C89" s="32"/>
      <c r="D89" s="33"/>
    </row>
    <row r="90" spans="1:4" x14ac:dyDescent="0.3">
      <c r="A90" s="30"/>
      <c r="B90" s="31"/>
      <c r="C90" s="32"/>
      <c r="D90" s="33"/>
    </row>
  </sheetData>
  <mergeCells count="1">
    <mergeCell ref="A1:D1"/>
  </mergeCells>
  <hyperlinks>
    <hyperlink ref="D5" location="'Programa'!A1" display="IR A HOJA &gt;&gt;"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108"/>
  <sheetViews>
    <sheetView workbookViewId="0">
      <selection activeCell="D5" sqref="D5:D8"/>
    </sheetView>
  </sheetViews>
  <sheetFormatPr baseColWidth="10" defaultRowHeight="15.05" x14ac:dyDescent="0.3"/>
  <cols>
    <col min="1" max="1" width="18.5546875" customWidth="1"/>
    <col min="2" max="2" width="10.88671875" customWidth="1"/>
    <col min="3" max="3" width="39" customWidth="1"/>
    <col min="7" max="7" width="40.5546875" customWidth="1"/>
    <col min="9" max="11" width="17.109375" customWidth="1"/>
  </cols>
  <sheetData>
    <row r="4" spans="1:10" ht="26.2" customHeight="1" x14ac:dyDescent="0.3">
      <c r="J4" s="54" t="s">
        <v>30</v>
      </c>
    </row>
    <row r="5" spans="1:10" x14ac:dyDescent="0.3">
      <c r="D5" s="93" t="s">
        <v>314</v>
      </c>
    </row>
    <row r="6" spans="1:10" x14ac:dyDescent="0.3">
      <c r="D6" s="93" t="s">
        <v>315</v>
      </c>
      <c r="I6" s="39" t="s">
        <v>31</v>
      </c>
      <c r="J6" s="39"/>
    </row>
    <row r="7" spans="1:10" x14ac:dyDescent="0.3">
      <c r="D7" s="93" t="s">
        <v>316</v>
      </c>
      <c r="I7" s="39" t="s">
        <v>32</v>
      </c>
      <c r="J7" s="39"/>
    </row>
    <row r="8" spans="1:10" x14ac:dyDescent="0.3">
      <c r="D8" s="93" t="s">
        <v>317</v>
      </c>
      <c r="I8" s="39" t="s">
        <v>33</v>
      </c>
      <c r="J8" s="39"/>
    </row>
    <row r="9" spans="1:10" x14ac:dyDescent="0.3">
      <c r="I9" s="39" t="s">
        <v>34</v>
      </c>
      <c r="J9" s="39"/>
    </row>
    <row r="10" spans="1:10" x14ac:dyDescent="0.3">
      <c r="A10" s="61" t="s">
        <v>35</v>
      </c>
    </row>
    <row r="11" spans="1:10" x14ac:dyDescent="0.3">
      <c r="A11" s="62" t="s">
        <v>36</v>
      </c>
    </row>
    <row r="12" spans="1:10" ht="26.2" customHeight="1" x14ac:dyDescent="0.3">
      <c r="A12" s="68" t="s">
        <v>37</v>
      </c>
      <c r="B12" s="67"/>
      <c r="C12" s="67"/>
      <c r="D12" s="67"/>
      <c r="E12" s="67"/>
      <c r="F12" s="67"/>
      <c r="G12" s="67"/>
    </row>
    <row r="14" spans="1:10" x14ac:dyDescent="0.3">
      <c r="A14" s="58" t="s">
        <v>38</v>
      </c>
      <c r="B14" s="58" t="s">
        <v>39</v>
      </c>
      <c r="C14" s="58" t="s">
        <v>40</v>
      </c>
      <c r="D14" s="58" t="s">
        <v>41</v>
      </c>
      <c r="E14" s="58" t="s">
        <v>42</v>
      </c>
      <c r="F14" s="58" t="s">
        <v>43</v>
      </c>
      <c r="G14" s="58" t="s">
        <v>44</v>
      </c>
    </row>
    <row r="15" spans="1:10" x14ac:dyDescent="0.3">
      <c r="A15" s="69" t="s">
        <v>45</v>
      </c>
      <c r="B15" s="70"/>
      <c r="C15" s="70"/>
      <c r="D15" s="70"/>
      <c r="E15" s="70"/>
      <c r="F15" s="70"/>
      <c r="G15" s="71"/>
    </row>
    <row r="16" spans="1:10" ht="45" customHeight="1" x14ac:dyDescent="0.3">
      <c r="A16" s="59"/>
      <c r="B16" s="59" t="s">
        <v>6</v>
      </c>
      <c r="C16" s="60" t="s">
        <v>46</v>
      </c>
      <c r="D16" s="59"/>
      <c r="E16" s="59"/>
      <c r="F16" s="59"/>
      <c r="G16" s="59"/>
    </row>
    <row r="17" spans="1:7" ht="29.95" customHeight="1" x14ac:dyDescent="0.3">
      <c r="A17" s="59"/>
      <c r="B17" s="59" t="s">
        <v>6</v>
      </c>
      <c r="C17" s="60" t="s">
        <v>47</v>
      </c>
      <c r="D17" s="59"/>
      <c r="E17" s="59"/>
      <c r="F17" s="59"/>
      <c r="G17" s="59"/>
    </row>
    <row r="18" spans="1:7" ht="29.95" customHeight="1" x14ac:dyDescent="0.3">
      <c r="A18" s="59"/>
      <c r="B18" s="59" t="s">
        <v>6</v>
      </c>
      <c r="C18" s="60" t="s">
        <v>48</v>
      </c>
      <c r="D18" s="59"/>
      <c r="E18" s="59"/>
      <c r="F18" s="59"/>
      <c r="G18" s="59"/>
    </row>
    <row r="19" spans="1:7" x14ac:dyDescent="0.3">
      <c r="A19" s="69" t="s">
        <v>49</v>
      </c>
      <c r="B19" s="70"/>
      <c r="C19" s="70"/>
      <c r="D19" s="70"/>
      <c r="E19" s="70"/>
      <c r="F19" s="70"/>
      <c r="G19" s="71"/>
    </row>
    <row r="20" spans="1:7" ht="29.95" customHeight="1" x14ac:dyDescent="0.3">
      <c r="A20" s="59" t="s">
        <v>50</v>
      </c>
      <c r="B20" s="59" t="s">
        <v>12</v>
      </c>
      <c r="C20" s="60" t="s">
        <v>51</v>
      </c>
      <c r="D20" s="63"/>
      <c r="E20" s="64"/>
      <c r="F20" s="63"/>
      <c r="G20" s="59"/>
    </row>
    <row r="21" spans="1:7" ht="29.95" customHeight="1" x14ac:dyDescent="0.3">
      <c r="A21" s="59" t="s">
        <v>52</v>
      </c>
      <c r="B21" s="59" t="s">
        <v>14</v>
      </c>
      <c r="C21" s="60" t="s">
        <v>53</v>
      </c>
      <c r="D21" s="63"/>
      <c r="E21" s="64"/>
      <c r="F21" s="63"/>
      <c r="G21" s="59"/>
    </row>
    <row r="22" spans="1:7" ht="29.95" customHeight="1" x14ac:dyDescent="0.3">
      <c r="A22" s="59" t="s">
        <v>54</v>
      </c>
      <c r="B22" s="59" t="s">
        <v>16</v>
      </c>
      <c r="C22" s="60" t="s">
        <v>55</v>
      </c>
      <c r="D22" s="63"/>
      <c r="E22" s="64"/>
      <c r="F22" s="63"/>
      <c r="G22" s="59"/>
    </row>
    <row r="23" spans="1:7" ht="29.95" customHeight="1" x14ac:dyDescent="0.3">
      <c r="A23" s="59" t="s">
        <v>56</v>
      </c>
      <c r="B23" s="59" t="s">
        <v>12</v>
      </c>
      <c r="C23" s="60" t="s">
        <v>57</v>
      </c>
      <c r="D23" s="63"/>
      <c r="E23" s="64"/>
      <c r="F23" s="63"/>
      <c r="G23" s="59"/>
    </row>
    <row r="24" spans="1:7" ht="29.95" customHeight="1" x14ac:dyDescent="0.3">
      <c r="A24" s="59" t="s">
        <v>58</v>
      </c>
      <c r="B24" s="59" t="s">
        <v>18</v>
      </c>
      <c r="C24" s="60" t="s">
        <v>59</v>
      </c>
      <c r="D24" s="63"/>
      <c r="E24" s="64"/>
      <c r="F24" s="63"/>
      <c r="G24" s="59"/>
    </row>
    <row r="25" spans="1:7" x14ac:dyDescent="0.3">
      <c r="A25" s="69" t="s">
        <v>60</v>
      </c>
      <c r="B25" s="70"/>
      <c r="C25" s="70"/>
      <c r="D25" s="70"/>
      <c r="E25" s="70"/>
      <c r="F25" s="70"/>
      <c r="G25" s="71"/>
    </row>
    <row r="26" spans="1:7" ht="29.95" customHeight="1" x14ac:dyDescent="0.3">
      <c r="A26" s="59" t="s">
        <v>61</v>
      </c>
      <c r="B26" s="59" t="s">
        <v>18</v>
      </c>
      <c r="C26" s="60" t="s">
        <v>62</v>
      </c>
      <c r="D26" s="63"/>
      <c r="E26" s="64"/>
      <c r="F26" s="63"/>
      <c r="G26" s="59"/>
    </row>
    <row r="27" spans="1:7" ht="29.95" customHeight="1" x14ac:dyDescent="0.3">
      <c r="A27" s="59" t="s">
        <v>63</v>
      </c>
      <c r="B27" s="59" t="s">
        <v>18</v>
      </c>
      <c r="C27" s="60" t="s">
        <v>64</v>
      </c>
      <c r="D27" s="63"/>
      <c r="E27" s="64"/>
      <c r="F27" s="63"/>
      <c r="G27" s="59"/>
    </row>
    <row r="28" spans="1:7" ht="29.95" customHeight="1" x14ac:dyDescent="0.3">
      <c r="A28" s="59" t="s">
        <v>65</v>
      </c>
      <c r="B28" s="59" t="s">
        <v>18</v>
      </c>
      <c r="C28" s="60" t="s">
        <v>66</v>
      </c>
      <c r="D28" s="63"/>
      <c r="E28" s="64"/>
      <c r="F28" s="63"/>
      <c r="G28" s="59"/>
    </row>
    <row r="29" spans="1:7" x14ac:dyDescent="0.3">
      <c r="A29" s="69" t="s">
        <v>67</v>
      </c>
      <c r="B29" s="70"/>
      <c r="C29" s="70"/>
      <c r="D29" s="70"/>
      <c r="E29" s="70"/>
      <c r="F29" s="70"/>
      <c r="G29" s="71"/>
    </row>
    <row r="30" spans="1:7" ht="29.95" customHeight="1" x14ac:dyDescent="0.3">
      <c r="A30" s="59" t="s">
        <v>68</v>
      </c>
      <c r="B30" s="59" t="s">
        <v>20</v>
      </c>
      <c r="C30" s="60" t="s">
        <v>69</v>
      </c>
      <c r="D30" s="63"/>
      <c r="E30" s="64"/>
      <c r="F30" s="63"/>
      <c r="G30" s="59"/>
    </row>
    <row r="31" spans="1:7" ht="29.95" customHeight="1" x14ac:dyDescent="0.3">
      <c r="A31" s="59" t="s">
        <v>70</v>
      </c>
      <c r="B31" s="59" t="s">
        <v>20</v>
      </c>
      <c r="C31" s="60" t="s">
        <v>71</v>
      </c>
      <c r="D31" s="63"/>
      <c r="E31" s="64"/>
      <c r="F31" s="63"/>
      <c r="G31" s="59"/>
    </row>
    <row r="32" spans="1:7" ht="29.95" customHeight="1" x14ac:dyDescent="0.3">
      <c r="A32" s="59" t="s">
        <v>72</v>
      </c>
      <c r="B32" s="59" t="s">
        <v>20</v>
      </c>
      <c r="C32" s="60" t="s">
        <v>73</v>
      </c>
      <c r="D32" s="63"/>
      <c r="E32" s="64"/>
      <c r="F32" s="63"/>
      <c r="G32" s="59"/>
    </row>
    <row r="33" spans="1:7" ht="29.95" customHeight="1" x14ac:dyDescent="0.3">
      <c r="A33" s="59" t="s">
        <v>74</v>
      </c>
      <c r="B33" s="59" t="s">
        <v>20</v>
      </c>
      <c r="C33" s="60" t="s">
        <v>75</v>
      </c>
      <c r="D33" s="63"/>
      <c r="E33" s="64"/>
      <c r="F33" s="63"/>
      <c r="G33" s="59"/>
    </row>
    <row r="34" spans="1:7" x14ac:dyDescent="0.3">
      <c r="A34" s="69" t="s">
        <v>76</v>
      </c>
      <c r="B34" s="70"/>
      <c r="C34" s="70"/>
      <c r="D34" s="70"/>
      <c r="E34" s="70"/>
      <c r="F34" s="70"/>
      <c r="G34" s="71"/>
    </row>
    <row r="35" spans="1:7" ht="29.95" customHeight="1" x14ac:dyDescent="0.3">
      <c r="A35" s="59" t="s">
        <v>77</v>
      </c>
      <c r="B35" s="59" t="s">
        <v>22</v>
      </c>
      <c r="C35" s="60" t="s">
        <v>78</v>
      </c>
      <c r="D35" s="63"/>
      <c r="E35" s="64"/>
      <c r="F35" s="63"/>
      <c r="G35" s="59"/>
    </row>
    <row r="36" spans="1:7" ht="29.95" customHeight="1" x14ac:dyDescent="0.3">
      <c r="A36" s="59" t="s">
        <v>79</v>
      </c>
      <c r="B36" s="59" t="s">
        <v>24</v>
      </c>
      <c r="C36" s="60" t="s">
        <v>80</v>
      </c>
      <c r="D36" s="63"/>
      <c r="E36" s="64"/>
      <c r="F36" s="63"/>
      <c r="G36" s="59"/>
    </row>
    <row r="37" spans="1:7" ht="29.95" customHeight="1" x14ac:dyDescent="0.3">
      <c r="A37" s="59" t="s">
        <v>81</v>
      </c>
      <c r="B37" s="59" t="s">
        <v>22</v>
      </c>
      <c r="C37" s="60" t="s">
        <v>82</v>
      </c>
      <c r="D37" s="63"/>
      <c r="E37" s="64"/>
      <c r="F37" s="63"/>
      <c r="G37" s="59"/>
    </row>
    <row r="38" spans="1:7" ht="29.95" customHeight="1" x14ac:dyDescent="0.3">
      <c r="A38" s="59" t="s">
        <v>83</v>
      </c>
      <c r="B38" s="59" t="s">
        <v>22</v>
      </c>
      <c r="C38" s="60" t="s">
        <v>84</v>
      </c>
      <c r="D38" s="63"/>
      <c r="E38" s="64"/>
      <c r="F38" s="63"/>
      <c r="G38" s="59"/>
    </row>
    <row r="39" spans="1:7" x14ac:dyDescent="0.3">
      <c r="A39" s="69" t="s">
        <v>85</v>
      </c>
      <c r="B39" s="70"/>
      <c r="C39" s="70"/>
      <c r="D39" s="70"/>
      <c r="E39" s="70"/>
      <c r="F39" s="70"/>
      <c r="G39" s="71"/>
    </row>
    <row r="40" spans="1:7" ht="29.95" customHeight="1" x14ac:dyDescent="0.3">
      <c r="A40" s="59" t="s">
        <v>86</v>
      </c>
      <c r="B40" s="59" t="s">
        <v>26</v>
      </c>
      <c r="C40" s="60" t="s">
        <v>87</v>
      </c>
      <c r="D40" s="63"/>
      <c r="E40" s="64"/>
      <c r="F40" s="63"/>
      <c r="G40" s="59"/>
    </row>
    <row r="41" spans="1:7" ht="29.95" customHeight="1" x14ac:dyDescent="0.3">
      <c r="A41" s="59" t="s">
        <v>88</v>
      </c>
      <c r="B41" s="59" t="s">
        <v>26</v>
      </c>
      <c r="C41" s="60" t="s">
        <v>89</v>
      </c>
      <c r="D41" s="63"/>
      <c r="E41" s="64"/>
      <c r="F41" s="63"/>
      <c r="G41" s="59"/>
    </row>
    <row r="42" spans="1:7" ht="29.95" customHeight="1" x14ac:dyDescent="0.3">
      <c r="A42" s="59" t="s">
        <v>90</v>
      </c>
      <c r="B42" s="59" t="s">
        <v>26</v>
      </c>
      <c r="C42" s="60" t="s">
        <v>91</v>
      </c>
      <c r="D42" s="63"/>
      <c r="E42" s="64"/>
      <c r="F42" s="63"/>
      <c r="G42" s="59"/>
    </row>
    <row r="43" spans="1:7" ht="29.95" customHeight="1" x14ac:dyDescent="0.3">
      <c r="A43" s="59" t="s">
        <v>92</v>
      </c>
      <c r="B43" s="59" t="s">
        <v>26</v>
      </c>
      <c r="C43" s="60" t="s">
        <v>93</v>
      </c>
      <c r="D43" s="63"/>
      <c r="E43" s="64"/>
      <c r="F43" s="63"/>
      <c r="G43" s="59"/>
    </row>
    <row r="44" spans="1:7" ht="29.95" customHeight="1" x14ac:dyDescent="0.3">
      <c r="A44" s="59" t="s">
        <v>94</v>
      </c>
      <c r="B44" s="59" t="s">
        <v>26</v>
      </c>
      <c r="C44" s="60" t="s">
        <v>95</v>
      </c>
      <c r="D44" s="63"/>
      <c r="E44" s="64"/>
      <c r="F44" s="63"/>
      <c r="G44" s="59"/>
    </row>
    <row r="45" spans="1:7" x14ac:dyDescent="0.3">
      <c r="A45" s="69" t="s">
        <v>96</v>
      </c>
      <c r="B45" s="70"/>
      <c r="C45" s="70"/>
      <c r="D45" s="70"/>
      <c r="E45" s="70"/>
      <c r="F45" s="70"/>
      <c r="G45" s="71"/>
    </row>
    <row r="46" spans="1:7" ht="29.95" customHeight="1" x14ac:dyDescent="0.3">
      <c r="A46" s="59" t="s">
        <v>97</v>
      </c>
      <c r="B46" s="59" t="s">
        <v>28</v>
      </c>
      <c r="C46" s="60" t="s">
        <v>98</v>
      </c>
      <c r="D46" s="63"/>
      <c r="E46" s="64"/>
      <c r="F46" s="63"/>
      <c r="G46" s="59"/>
    </row>
    <row r="47" spans="1:7" ht="29.95" customHeight="1" x14ac:dyDescent="0.3">
      <c r="A47" s="59" t="s">
        <v>99</v>
      </c>
      <c r="B47" s="59" t="s">
        <v>28</v>
      </c>
      <c r="C47" s="60" t="s">
        <v>100</v>
      </c>
      <c r="D47" s="63"/>
      <c r="E47" s="64"/>
      <c r="F47" s="63"/>
      <c r="G47" s="59"/>
    </row>
    <row r="48" spans="1:7" ht="29.95" customHeight="1" x14ac:dyDescent="0.3">
      <c r="A48" s="59" t="s">
        <v>101</v>
      </c>
      <c r="B48" s="59" t="s">
        <v>28</v>
      </c>
      <c r="C48" s="60" t="s">
        <v>102</v>
      </c>
      <c r="D48" s="63"/>
      <c r="E48" s="64"/>
      <c r="F48" s="63"/>
      <c r="G48" s="59"/>
    </row>
    <row r="49" spans="1:7" ht="29.95" customHeight="1" x14ac:dyDescent="0.3">
      <c r="A49" s="59" t="s">
        <v>103</v>
      </c>
      <c r="B49" s="59" t="s">
        <v>28</v>
      </c>
      <c r="C49" s="60" t="s">
        <v>104</v>
      </c>
      <c r="D49" s="63"/>
      <c r="E49" s="64"/>
      <c r="F49" s="63"/>
      <c r="G49" s="59"/>
    </row>
    <row r="50" spans="1:7" ht="29.95" customHeight="1" x14ac:dyDescent="0.3">
      <c r="A50" s="59" t="s">
        <v>105</v>
      </c>
      <c r="B50" s="59" t="s">
        <v>28</v>
      </c>
      <c r="C50" s="60" t="s">
        <v>106</v>
      </c>
      <c r="D50" s="63"/>
      <c r="E50" s="64"/>
      <c r="F50" s="63"/>
      <c r="G50" s="59"/>
    </row>
    <row r="51" spans="1:7" x14ac:dyDescent="0.3">
      <c r="A51" s="69" t="s">
        <v>107</v>
      </c>
      <c r="B51" s="70"/>
      <c r="C51" s="70"/>
      <c r="D51" s="70"/>
      <c r="E51" s="70"/>
      <c r="F51" s="70"/>
      <c r="G51" s="71"/>
    </row>
    <row r="52" spans="1:7" ht="29.95" customHeight="1" x14ac:dyDescent="0.3">
      <c r="A52" s="59" t="s">
        <v>108</v>
      </c>
      <c r="B52" s="59" t="s">
        <v>10</v>
      </c>
      <c r="C52" s="60" t="s">
        <v>109</v>
      </c>
      <c r="D52" s="63"/>
      <c r="E52" s="64"/>
      <c r="F52" s="63"/>
      <c r="G52" s="59"/>
    </row>
    <row r="53" spans="1:7" ht="29.95" customHeight="1" x14ac:dyDescent="0.3">
      <c r="A53" s="59" t="s">
        <v>110</v>
      </c>
      <c r="B53" s="59" t="s">
        <v>6</v>
      </c>
      <c r="C53" s="60" t="s">
        <v>111</v>
      </c>
      <c r="D53" s="63"/>
      <c r="E53" s="64"/>
      <c r="F53" s="63"/>
      <c r="G53" s="59"/>
    </row>
    <row r="54" spans="1:7" ht="29.95" customHeight="1" x14ac:dyDescent="0.3">
      <c r="A54" s="59" t="s">
        <v>112</v>
      </c>
      <c r="B54" s="59" t="s">
        <v>6</v>
      </c>
      <c r="C54" s="60" t="s">
        <v>113</v>
      </c>
      <c r="D54" s="63"/>
      <c r="E54" s="64"/>
      <c r="F54" s="63"/>
      <c r="G54" s="59"/>
    </row>
    <row r="55" spans="1:7" ht="29.95" customHeight="1" x14ac:dyDescent="0.3">
      <c r="A55" s="59" t="s">
        <v>114</v>
      </c>
      <c r="B55" s="59" t="s">
        <v>6</v>
      </c>
      <c r="C55" s="60" t="s">
        <v>115</v>
      </c>
      <c r="D55" s="63"/>
      <c r="E55" s="64"/>
      <c r="F55" s="63"/>
      <c r="G55" s="59"/>
    </row>
    <row r="56" spans="1:7" x14ac:dyDescent="0.3">
      <c r="A56" s="69" t="s">
        <v>116</v>
      </c>
      <c r="B56" s="70"/>
      <c r="C56" s="70"/>
      <c r="D56" s="70"/>
      <c r="E56" s="70"/>
      <c r="F56" s="70"/>
      <c r="G56" s="71"/>
    </row>
    <row r="57" spans="1:7" ht="29.95" customHeight="1" x14ac:dyDescent="0.3">
      <c r="A57" s="59" t="s">
        <v>117</v>
      </c>
      <c r="B57" s="59" t="s">
        <v>6</v>
      </c>
      <c r="C57" s="60" t="s">
        <v>118</v>
      </c>
      <c r="D57" s="63"/>
      <c r="E57" s="64"/>
      <c r="F57" s="63"/>
      <c r="G57" s="59"/>
    </row>
    <row r="58" spans="1:7" ht="29.95" customHeight="1" x14ac:dyDescent="0.3">
      <c r="A58" s="59" t="s">
        <v>119</v>
      </c>
      <c r="B58" s="59" t="s">
        <v>6</v>
      </c>
      <c r="C58" s="60" t="s">
        <v>120</v>
      </c>
      <c r="D58" s="63"/>
      <c r="E58" s="64"/>
      <c r="F58" s="63"/>
      <c r="G58" s="59"/>
    </row>
    <row r="59" spans="1:7" ht="29.95" customHeight="1" x14ac:dyDescent="0.3">
      <c r="A59" s="59" t="s">
        <v>121</v>
      </c>
      <c r="B59" s="59" t="s">
        <v>6</v>
      </c>
      <c r="C59" s="60" t="s">
        <v>122</v>
      </c>
      <c r="D59" s="63"/>
      <c r="E59" s="64"/>
      <c r="F59" s="63"/>
      <c r="G59" s="59"/>
    </row>
    <row r="60" spans="1:7" ht="29.95" customHeight="1" x14ac:dyDescent="0.3">
      <c r="A60" s="59" t="s">
        <v>123</v>
      </c>
      <c r="B60" s="59" t="s">
        <v>6</v>
      </c>
      <c r="C60" s="60" t="s">
        <v>124</v>
      </c>
      <c r="D60" s="63"/>
      <c r="E60" s="64"/>
      <c r="F60" s="63"/>
      <c r="G60" s="59"/>
    </row>
    <row r="61" spans="1:7" x14ac:dyDescent="0.3">
      <c r="A61" s="69" t="s">
        <v>125</v>
      </c>
      <c r="B61" s="70"/>
      <c r="C61" s="70"/>
      <c r="D61" s="70"/>
      <c r="E61" s="70"/>
      <c r="F61" s="70"/>
      <c r="G61" s="71"/>
    </row>
    <row r="62" spans="1:7" ht="29.95" customHeight="1" x14ac:dyDescent="0.3">
      <c r="A62" s="59" t="s">
        <v>126</v>
      </c>
      <c r="B62" s="59" t="s">
        <v>6</v>
      </c>
      <c r="C62" s="60" t="s">
        <v>127</v>
      </c>
      <c r="D62" s="63"/>
      <c r="E62" s="64"/>
      <c r="F62" s="63"/>
      <c r="G62" s="59"/>
    </row>
    <row r="63" spans="1:7" ht="29.95" customHeight="1" x14ac:dyDescent="0.3">
      <c r="A63" s="59" t="s">
        <v>128</v>
      </c>
      <c r="B63" s="59" t="s">
        <v>6</v>
      </c>
      <c r="C63" s="60" t="s">
        <v>129</v>
      </c>
      <c r="D63" s="63"/>
      <c r="E63" s="64"/>
      <c r="F63" s="63"/>
      <c r="G63" s="59"/>
    </row>
    <row r="64" spans="1:7" ht="29.95" customHeight="1" x14ac:dyDescent="0.3">
      <c r="A64" s="59" t="s">
        <v>130</v>
      </c>
      <c r="B64" s="59" t="s">
        <v>6</v>
      </c>
      <c r="C64" s="60" t="s">
        <v>131</v>
      </c>
      <c r="D64" s="63"/>
      <c r="E64" s="64"/>
      <c r="F64" s="63"/>
      <c r="G64" s="59"/>
    </row>
    <row r="65" spans="1:7" ht="29.95" customHeight="1" x14ac:dyDescent="0.3">
      <c r="A65" s="59" t="s">
        <v>132</v>
      </c>
      <c r="B65" s="59" t="s">
        <v>6</v>
      </c>
      <c r="C65" s="60" t="s">
        <v>133</v>
      </c>
      <c r="D65" s="63"/>
      <c r="E65" s="64"/>
      <c r="F65" s="63"/>
      <c r="G65" s="59"/>
    </row>
    <row r="67" spans="1:7" x14ac:dyDescent="0.3">
      <c r="A67" s="80" t="s">
        <v>134</v>
      </c>
      <c r="B67" s="70"/>
      <c r="C67" s="70"/>
      <c r="D67" s="70"/>
      <c r="E67" s="70"/>
      <c r="F67" s="70"/>
      <c r="G67" s="71"/>
    </row>
    <row r="68" spans="1:7" x14ac:dyDescent="0.3">
      <c r="A68" s="72" t="s">
        <v>135</v>
      </c>
      <c r="B68" s="73"/>
      <c r="C68" s="73"/>
      <c r="D68" s="73"/>
      <c r="E68" s="73"/>
      <c r="F68" s="73"/>
      <c r="G68" s="74"/>
    </row>
    <row r="69" spans="1:7" x14ac:dyDescent="0.3">
      <c r="A69" s="75"/>
      <c r="B69" s="67"/>
      <c r="C69" s="67"/>
      <c r="D69" s="67"/>
      <c r="E69" s="67"/>
      <c r="F69" s="67"/>
      <c r="G69" s="76"/>
    </row>
    <row r="70" spans="1:7" x14ac:dyDescent="0.3">
      <c r="A70" s="75"/>
      <c r="B70" s="67"/>
      <c r="C70" s="67"/>
      <c r="D70" s="67"/>
      <c r="E70" s="67"/>
      <c r="F70" s="67"/>
      <c r="G70" s="76"/>
    </row>
    <row r="71" spans="1:7" x14ac:dyDescent="0.3">
      <c r="A71" s="75"/>
      <c r="B71" s="67"/>
      <c r="C71" s="67"/>
      <c r="D71" s="67"/>
      <c r="E71" s="67"/>
      <c r="F71" s="67"/>
      <c r="G71" s="76"/>
    </row>
    <row r="72" spans="1:7" x14ac:dyDescent="0.3">
      <c r="A72" s="75"/>
      <c r="B72" s="67"/>
      <c r="C72" s="67"/>
      <c r="D72" s="67"/>
      <c r="E72" s="67"/>
      <c r="F72" s="67"/>
      <c r="G72" s="76"/>
    </row>
    <row r="73" spans="1:7" x14ac:dyDescent="0.3">
      <c r="A73" s="75"/>
      <c r="B73" s="67"/>
      <c r="C73" s="67"/>
      <c r="D73" s="67"/>
      <c r="E73" s="67"/>
      <c r="F73" s="67"/>
      <c r="G73" s="76"/>
    </row>
    <row r="74" spans="1:7" x14ac:dyDescent="0.3">
      <c r="A74" s="75"/>
      <c r="B74" s="67"/>
      <c r="C74" s="67"/>
      <c r="D74" s="67"/>
      <c r="E74" s="67"/>
      <c r="F74" s="67"/>
      <c r="G74" s="76"/>
    </row>
    <row r="75" spans="1:7" x14ac:dyDescent="0.3">
      <c r="A75" s="75"/>
      <c r="B75" s="67"/>
      <c r="C75" s="67"/>
      <c r="D75" s="67"/>
      <c r="E75" s="67"/>
      <c r="F75" s="67"/>
      <c r="G75" s="76"/>
    </row>
    <row r="76" spans="1:7" x14ac:dyDescent="0.3">
      <c r="A76" s="75"/>
      <c r="B76" s="67"/>
      <c r="C76" s="67"/>
      <c r="D76" s="67"/>
      <c r="E76" s="67"/>
      <c r="F76" s="67"/>
      <c r="G76" s="76"/>
    </row>
    <row r="77" spans="1:7" x14ac:dyDescent="0.3">
      <c r="A77" s="75"/>
      <c r="B77" s="67"/>
      <c r="C77" s="67"/>
      <c r="D77" s="67"/>
      <c r="E77" s="67"/>
      <c r="F77" s="67"/>
      <c r="G77" s="76"/>
    </row>
    <row r="78" spans="1:7" x14ac:dyDescent="0.3">
      <c r="A78" s="75"/>
      <c r="B78" s="67"/>
      <c r="C78" s="67"/>
      <c r="D78" s="67"/>
      <c r="E78" s="67"/>
      <c r="F78" s="67"/>
      <c r="G78" s="76"/>
    </row>
    <row r="79" spans="1:7" x14ac:dyDescent="0.3">
      <c r="A79" s="75"/>
      <c r="B79" s="67"/>
      <c r="C79" s="67"/>
      <c r="D79" s="67"/>
      <c r="E79" s="67"/>
      <c r="F79" s="67"/>
      <c r="G79" s="76"/>
    </row>
    <row r="80" spans="1:7" x14ac:dyDescent="0.3">
      <c r="A80" s="75"/>
      <c r="B80" s="67"/>
      <c r="C80" s="67"/>
      <c r="D80" s="67"/>
      <c r="E80" s="67"/>
      <c r="F80" s="67"/>
      <c r="G80" s="76"/>
    </row>
    <row r="81" spans="1:7" x14ac:dyDescent="0.3">
      <c r="A81" s="75"/>
      <c r="B81" s="67"/>
      <c r="C81" s="67"/>
      <c r="D81" s="67"/>
      <c r="E81" s="67"/>
      <c r="F81" s="67"/>
      <c r="G81" s="76"/>
    </row>
    <row r="82" spans="1:7" x14ac:dyDescent="0.3">
      <c r="A82" s="75"/>
      <c r="B82" s="67"/>
      <c r="C82" s="67"/>
      <c r="D82" s="67"/>
      <c r="E82" s="67"/>
      <c r="F82" s="67"/>
      <c r="G82" s="76"/>
    </row>
    <row r="83" spans="1:7" x14ac:dyDescent="0.3">
      <c r="A83" s="77"/>
      <c r="B83" s="78"/>
      <c r="C83" s="78"/>
      <c r="D83" s="78"/>
      <c r="E83" s="78"/>
      <c r="F83" s="78"/>
      <c r="G83" s="79"/>
    </row>
    <row r="91" spans="1:7" x14ac:dyDescent="0.3">
      <c r="A91" s="47" t="s">
        <v>136</v>
      </c>
      <c r="B91" s="48"/>
      <c r="C91" s="48"/>
      <c r="F91" s="49" t="s">
        <v>137</v>
      </c>
      <c r="G91" s="48"/>
    </row>
    <row r="92" spans="1:7" x14ac:dyDescent="0.3">
      <c r="A92" s="50" t="s">
        <v>138</v>
      </c>
      <c r="F92" s="50" t="s">
        <v>138</v>
      </c>
    </row>
    <row r="108" spans="1:1" x14ac:dyDescent="0.3">
      <c r="A108" s="8" t="str">
        <f>HYPERLINK("#'INDICE'!A77","&lt;&lt; Volver al Indice")</f>
        <v>&lt;&lt; Volver al Indice</v>
      </c>
    </row>
  </sheetData>
  <mergeCells count="13">
    <mergeCell ref="A12:G12"/>
    <mergeCell ref="A15:G15"/>
    <mergeCell ref="A29:G29"/>
    <mergeCell ref="A25:G25"/>
    <mergeCell ref="A68:G83"/>
    <mergeCell ref="A19:G19"/>
    <mergeCell ref="A51:G51"/>
    <mergeCell ref="A45:G45"/>
    <mergeCell ref="A61:G61"/>
    <mergeCell ref="A56:G56"/>
    <mergeCell ref="A67:G67"/>
    <mergeCell ref="A39:G39"/>
    <mergeCell ref="A34:G34"/>
  </mergeCells>
  <dataValidations count="1">
    <dataValidation type="list" allowBlank="1" errorTitle="Entrada Inválida" error="Valor debe ser SI, NO o N/A" sqref="F20 F21 F22 F23 F24 F26 F27 F28 F30 F31 F32 F33 F35 F36 F37 F38 F40 F41 F42 F43 F44 F46 F47 F48 F49 F50 F52 F53 F54 F55 F57 F58 F59 F60 F62 F63 F64 F65" xr:uid="{00000000-0002-0000-0100-000000000000}">
      <formula1>"SI,NO,N/A"</formula1>
    </dataValidation>
  </dataValidation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7"/>
  <sheetViews>
    <sheetView workbookViewId="0">
      <selection activeCell="D26" sqref="D26"/>
    </sheetView>
  </sheetViews>
  <sheetFormatPr baseColWidth="10" defaultColWidth="9.109375" defaultRowHeight="15.05" x14ac:dyDescent="0.3"/>
  <cols>
    <col min="1" max="1" width="8" customWidth="1"/>
    <col min="2" max="3" width="40" customWidth="1"/>
    <col min="4" max="4" width="8" customWidth="1"/>
    <col min="5" max="5" width="15" customWidth="1"/>
  </cols>
  <sheetData>
    <row r="1" spans="1:4" ht="18" customHeight="1" x14ac:dyDescent="0.3">
      <c r="A1" s="81" t="s">
        <v>139</v>
      </c>
      <c r="B1" s="67"/>
      <c r="C1" s="67"/>
      <c r="D1" s="67"/>
    </row>
    <row r="3" spans="1:4" x14ac:dyDescent="0.3">
      <c r="A3" s="9" t="s">
        <v>140</v>
      </c>
      <c r="B3" s="9" t="s">
        <v>141</v>
      </c>
      <c r="C3" s="9" t="s">
        <v>142</v>
      </c>
      <c r="D3" s="9" t="s">
        <v>143</v>
      </c>
    </row>
    <row r="4" spans="1:4" ht="15.75" customHeight="1" x14ac:dyDescent="0.3">
      <c r="A4" s="39" t="s">
        <v>10</v>
      </c>
      <c r="B4" s="39" t="s">
        <v>144</v>
      </c>
      <c r="C4" s="11" t="s">
        <v>145</v>
      </c>
      <c r="D4" s="12" t="s">
        <v>10</v>
      </c>
    </row>
    <row r="5" spans="1:4" ht="15.75" customHeight="1" x14ac:dyDescent="0.3">
      <c r="A5" s="39" t="s">
        <v>12</v>
      </c>
      <c r="B5" s="39" t="s">
        <v>146</v>
      </c>
      <c r="C5" s="11" t="s">
        <v>145</v>
      </c>
      <c r="D5" s="12" t="s">
        <v>12</v>
      </c>
    </row>
    <row r="6" spans="1:4" ht="15.75" customHeight="1" x14ac:dyDescent="0.3">
      <c r="A6" s="39" t="s">
        <v>14</v>
      </c>
      <c r="B6" s="39" t="s">
        <v>15</v>
      </c>
      <c r="C6" s="11" t="s">
        <v>145</v>
      </c>
      <c r="D6" s="12" t="s">
        <v>14</v>
      </c>
    </row>
    <row r="7" spans="1:4" ht="15.75" customHeight="1" x14ac:dyDescent="0.3">
      <c r="A7" s="39" t="s">
        <v>16</v>
      </c>
      <c r="B7" s="39" t="s">
        <v>17</v>
      </c>
      <c r="C7" s="11" t="s">
        <v>145</v>
      </c>
      <c r="D7" s="12" t="s">
        <v>16</v>
      </c>
    </row>
    <row r="8" spans="1:4" ht="15.75" customHeight="1" x14ac:dyDescent="0.3">
      <c r="A8" s="39" t="s">
        <v>18</v>
      </c>
      <c r="B8" s="39" t="s">
        <v>147</v>
      </c>
      <c r="C8" s="11" t="s">
        <v>145</v>
      </c>
      <c r="D8" s="12" t="s">
        <v>18</v>
      </c>
    </row>
    <row r="9" spans="1:4" ht="15.75" customHeight="1" x14ac:dyDescent="0.3">
      <c r="A9" s="39" t="s">
        <v>20</v>
      </c>
      <c r="B9" s="39" t="s">
        <v>21</v>
      </c>
      <c r="C9" s="11" t="s">
        <v>145</v>
      </c>
      <c r="D9" s="12" t="s">
        <v>20</v>
      </c>
    </row>
    <row r="10" spans="1:4" ht="15.75" customHeight="1" x14ac:dyDescent="0.3">
      <c r="A10" s="39" t="s">
        <v>22</v>
      </c>
      <c r="B10" s="39" t="s">
        <v>23</v>
      </c>
      <c r="C10" s="11" t="s">
        <v>145</v>
      </c>
      <c r="D10" s="12" t="s">
        <v>22</v>
      </c>
    </row>
    <row r="11" spans="1:4" ht="15.75" customHeight="1" x14ac:dyDescent="0.3">
      <c r="A11" s="39" t="s">
        <v>24</v>
      </c>
      <c r="B11" s="39" t="s">
        <v>25</v>
      </c>
      <c r="C11" s="11" t="s">
        <v>145</v>
      </c>
      <c r="D11" s="12" t="s">
        <v>24</v>
      </c>
    </row>
    <row r="12" spans="1:4" ht="15.75" customHeight="1" x14ac:dyDescent="0.3">
      <c r="A12" s="39" t="s">
        <v>26</v>
      </c>
      <c r="B12" s="39" t="s">
        <v>148</v>
      </c>
      <c r="C12" s="11" t="s">
        <v>145</v>
      </c>
      <c r="D12" s="12" t="s">
        <v>26</v>
      </c>
    </row>
    <row r="13" spans="1:4" ht="15.75" customHeight="1" x14ac:dyDescent="0.3">
      <c r="A13" s="39" t="s">
        <v>28</v>
      </c>
      <c r="B13" s="39" t="s">
        <v>29</v>
      </c>
      <c r="C13" s="11" t="s">
        <v>145</v>
      </c>
      <c r="D13" s="12" t="s">
        <v>28</v>
      </c>
    </row>
    <row r="16" spans="1:4" x14ac:dyDescent="0.3">
      <c r="A16" s="13" t="s">
        <v>149</v>
      </c>
    </row>
    <row r="17" spans="1:1" x14ac:dyDescent="0.3">
      <c r="A17" s="14" t="s">
        <v>150</v>
      </c>
    </row>
    <row r="18" spans="1:1" x14ac:dyDescent="0.3">
      <c r="A18" s="14" t="s">
        <v>151</v>
      </c>
    </row>
    <row r="19" spans="1:1" x14ac:dyDescent="0.3">
      <c r="A19" s="14" t="s">
        <v>152</v>
      </c>
    </row>
    <row r="20" spans="1:1" x14ac:dyDescent="0.3">
      <c r="A20" s="14" t="s">
        <v>153</v>
      </c>
    </row>
    <row r="21" spans="1:1" x14ac:dyDescent="0.3">
      <c r="A21" s="14" t="s">
        <v>154</v>
      </c>
    </row>
    <row r="22" spans="1:1" x14ac:dyDescent="0.3">
      <c r="A22" s="14" t="s">
        <v>155</v>
      </c>
    </row>
    <row r="23" spans="1:1" x14ac:dyDescent="0.3">
      <c r="A23" s="14"/>
    </row>
    <row r="24" spans="1:1" x14ac:dyDescent="0.3">
      <c r="A24" s="15" t="s">
        <v>156</v>
      </c>
    </row>
    <row r="27" spans="1:1" x14ac:dyDescent="0.3">
      <c r="A27" s="8" t="str">
        <f>HYPERLINK("#'INDICE'!A76","&lt;&lt; Volver al Indice")</f>
        <v>&lt;&lt; Volver al Indice</v>
      </c>
    </row>
  </sheetData>
  <mergeCells count="1">
    <mergeCell ref="A1:D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5:M58"/>
  <sheetViews>
    <sheetView workbookViewId="0">
      <selection activeCell="D7" sqref="D7"/>
    </sheetView>
  </sheetViews>
  <sheetFormatPr baseColWidth="10" defaultColWidth="9.109375" defaultRowHeight="15.05" x14ac:dyDescent="0.3"/>
  <cols>
    <col min="1" max="1" width="8" customWidth="1"/>
    <col min="2" max="2" width="33.109375" customWidth="1"/>
    <col min="3" max="11" width="15.6640625" customWidth="1"/>
    <col min="12" max="12" width="17.5546875" customWidth="1"/>
    <col min="13" max="13" width="10.109375" customWidth="1"/>
  </cols>
  <sheetData>
    <row r="5" spans="1:13" ht="19.5" customHeight="1" x14ac:dyDescent="0.3">
      <c r="M5" s="38" t="s">
        <v>10</v>
      </c>
    </row>
    <row r="6" spans="1:13" x14ac:dyDescent="0.3">
      <c r="D6" s="93" t="s">
        <v>314</v>
      </c>
    </row>
    <row r="7" spans="1:13" x14ac:dyDescent="0.3">
      <c r="D7" s="93" t="s">
        <v>315</v>
      </c>
      <c r="L7" s="39" t="s">
        <v>31</v>
      </c>
      <c r="M7" s="39"/>
    </row>
    <row r="8" spans="1:13" x14ac:dyDescent="0.3">
      <c r="D8" s="93" t="s">
        <v>316</v>
      </c>
      <c r="L8" s="39" t="s">
        <v>32</v>
      </c>
      <c r="M8" s="39"/>
    </row>
    <row r="9" spans="1:13" x14ac:dyDescent="0.3">
      <c r="D9" s="93" t="s">
        <v>317</v>
      </c>
      <c r="L9" s="39" t="s">
        <v>33</v>
      </c>
      <c r="M9" s="39"/>
    </row>
    <row r="10" spans="1:13" x14ac:dyDescent="0.3">
      <c r="L10" s="39" t="s">
        <v>34</v>
      </c>
      <c r="M10" s="39"/>
    </row>
    <row r="11" spans="1:13" ht="23.25" customHeight="1" x14ac:dyDescent="0.3">
      <c r="A11" s="82" t="s">
        <v>157</v>
      </c>
      <c r="B11" s="67"/>
      <c r="C11" s="67"/>
      <c r="D11" s="67"/>
      <c r="E11" s="67"/>
      <c r="F11" s="67"/>
      <c r="G11" s="67"/>
      <c r="H11" s="67"/>
      <c r="I11" s="67"/>
      <c r="J11" s="67"/>
      <c r="K11" s="67"/>
    </row>
    <row r="13" spans="1:13" x14ac:dyDescent="0.3">
      <c r="A13" t="s">
        <v>158</v>
      </c>
      <c r="B13" s="83" t="s">
        <v>159</v>
      </c>
      <c r="C13" s="67"/>
      <c r="D13" s="67"/>
      <c r="E13" s="67"/>
      <c r="F13" t="s">
        <v>160</v>
      </c>
      <c r="G13" s="83" t="s">
        <v>161</v>
      </c>
      <c r="H13" s="67"/>
    </row>
    <row r="16" spans="1:13" ht="25.55" customHeight="1" x14ac:dyDescent="0.3">
      <c r="A16" s="40" t="s">
        <v>162</v>
      </c>
      <c r="B16" s="40" t="s">
        <v>163</v>
      </c>
      <c r="C16" s="40" t="s">
        <v>164</v>
      </c>
      <c r="D16" s="40" t="s">
        <v>165</v>
      </c>
      <c r="E16" s="40" t="s">
        <v>166</v>
      </c>
      <c r="F16" s="40" t="s">
        <v>167</v>
      </c>
      <c r="G16" s="40" t="s">
        <v>168</v>
      </c>
      <c r="H16" s="40" t="s">
        <v>169</v>
      </c>
      <c r="I16" s="40" t="s">
        <v>170</v>
      </c>
      <c r="J16" s="40" t="s">
        <v>171</v>
      </c>
      <c r="K16" s="40" t="s">
        <v>172</v>
      </c>
    </row>
    <row r="17" spans="1:11" x14ac:dyDescent="0.3">
      <c r="A17" s="41" t="s">
        <v>173</v>
      </c>
      <c r="B17" s="41" t="s">
        <v>174</v>
      </c>
      <c r="C17" s="42">
        <v>100</v>
      </c>
      <c r="D17" s="42">
        <v>5</v>
      </c>
      <c r="E17" s="42">
        <v>8</v>
      </c>
      <c r="F17" s="42">
        <v>5</v>
      </c>
      <c r="G17" s="43">
        <f t="shared" ref="G17:G25" si="0">C17+D17-E17+F17</f>
        <v>102</v>
      </c>
      <c r="H17" s="42"/>
      <c r="I17" s="43">
        <f t="shared" ref="I17:I25" si="1">G17-H17</f>
        <v>102</v>
      </c>
      <c r="J17" s="42"/>
      <c r="K17" s="41"/>
    </row>
    <row r="18" spans="1:11" x14ac:dyDescent="0.3">
      <c r="A18" s="41" t="s">
        <v>175</v>
      </c>
      <c r="B18" s="41" t="s">
        <v>176</v>
      </c>
      <c r="C18" s="42"/>
      <c r="D18" s="42"/>
      <c r="E18" s="42"/>
      <c r="F18" s="42"/>
      <c r="G18" s="43">
        <f t="shared" si="0"/>
        <v>0</v>
      </c>
      <c r="H18" s="42"/>
      <c r="I18" s="43">
        <f t="shared" si="1"/>
        <v>0</v>
      </c>
      <c r="J18" s="42"/>
      <c r="K18" s="41"/>
    </row>
    <row r="19" spans="1:11" x14ac:dyDescent="0.3">
      <c r="A19" s="41" t="s">
        <v>177</v>
      </c>
      <c r="B19" s="41" t="s">
        <v>147</v>
      </c>
      <c r="C19" s="42"/>
      <c r="D19" s="42"/>
      <c r="E19" s="42"/>
      <c r="F19" s="42"/>
      <c r="G19" s="43">
        <f t="shared" si="0"/>
        <v>0</v>
      </c>
      <c r="H19" s="42"/>
      <c r="I19" s="43">
        <f t="shared" si="1"/>
        <v>0</v>
      </c>
      <c r="J19" s="42"/>
      <c r="K19" s="41"/>
    </row>
    <row r="20" spans="1:11" x14ac:dyDescent="0.3">
      <c r="A20" s="41" t="s">
        <v>178</v>
      </c>
      <c r="B20" s="41" t="s">
        <v>179</v>
      </c>
      <c r="C20" s="42"/>
      <c r="D20" s="42"/>
      <c r="E20" s="42"/>
      <c r="F20" s="42"/>
      <c r="G20" s="43">
        <f t="shared" si="0"/>
        <v>0</v>
      </c>
      <c r="H20" s="42"/>
      <c r="I20" s="43">
        <f t="shared" si="1"/>
        <v>0</v>
      </c>
      <c r="J20" s="42"/>
      <c r="K20" s="41"/>
    </row>
    <row r="21" spans="1:11" x14ac:dyDescent="0.3">
      <c r="A21" s="41" t="s">
        <v>180</v>
      </c>
      <c r="B21" s="41" t="s">
        <v>181</v>
      </c>
      <c r="C21" s="42"/>
      <c r="D21" s="42"/>
      <c r="E21" s="42"/>
      <c r="F21" s="42"/>
      <c r="G21" s="43">
        <f t="shared" si="0"/>
        <v>0</v>
      </c>
      <c r="H21" s="42"/>
      <c r="I21" s="43">
        <f t="shared" si="1"/>
        <v>0</v>
      </c>
      <c r="J21" s="42"/>
      <c r="K21" s="41"/>
    </row>
    <row r="22" spans="1:11" x14ac:dyDescent="0.3">
      <c r="A22" s="41" t="s">
        <v>182</v>
      </c>
      <c r="B22" s="41" t="s">
        <v>23</v>
      </c>
      <c r="C22" s="42"/>
      <c r="D22" s="42"/>
      <c r="E22" s="42"/>
      <c r="F22" s="42"/>
      <c r="G22" s="43">
        <f t="shared" si="0"/>
        <v>0</v>
      </c>
      <c r="H22" s="42"/>
      <c r="I22" s="43">
        <f t="shared" si="1"/>
        <v>0</v>
      </c>
      <c r="J22" s="42"/>
      <c r="K22" s="41"/>
    </row>
    <row r="23" spans="1:11" x14ac:dyDescent="0.3">
      <c r="A23" s="41" t="s">
        <v>183</v>
      </c>
      <c r="B23" s="41" t="s">
        <v>25</v>
      </c>
      <c r="C23" s="42"/>
      <c r="D23" s="42"/>
      <c r="E23" s="42"/>
      <c r="F23" s="42"/>
      <c r="G23" s="43">
        <f t="shared" si="0"/>
        <v>0</v>
      </c>
      <c r="H23" s="42"/>
      <c r="I23" s="43">
        <f t="shared" si="1"/>
        <v>0</v>
      </c>
      <c r="J23" s="42"/>
      <c r="K23" s="41"/>
    </row>
    <row r="24" spans="1:11" x14ac:dyDescent="0.3">
      <c r="A24" s="41" t="s">
        <v>184</v>
      </c>
      <c r="B24" s="41" t="s">
        <v>185</v>
      </c>
      <c r="C24" s="42"/>
      <c r="D24" s="42"/>
      <c r="E24" s="42"/>
      <c r="F24" s="42"/>
      <c r="G24" s="43">
        <f t="shared" si="0"/>
        <v>0</v>
      </c>
      <c r="H24" s="42"/>
      <c r="I24" s="43">
        <f t="shared" si="1"/>
        <v>0</v>
      </c>
      <c r="J24" s="42"/>
      <c r="K24" s="41"/>
    </row>
    <row r="25" spans="1:11" x14ac:dyDescent="0.3">
      <c r="A25" s="41" t="s">
        <v>186</v>
      </c>
      <c r="B25" s="41" t="s">
        <v>187</v>
      </c>
      <c r="C25" s="42"/>
      <c r="D25" s="42"/>
      <c r="E25" s="42"/>
      <c r="F25" s="42"/>
      <c r="G25" s="43">
        <f t="shared" si="0"/>
        <v>0</v>
      </c>
      <c r="H25" s="42"/>
      <c r="I25" s="43">
        <f t="shared" si="1"/>
        <v>0</v>
      </c>
      <c r="J25" s="42"/>
      <c r="K25" s="41"/>
    </row>
    <row r="26" spans="1:11" x14ac:dyDescent="0.3">
      <c r="A26" s="44"/>
      <c r="B26" s="45" t="s">
        <v>188</v>
      </c>
      <c r="C26" s="46">
        <f t="shared" ref="C26:J26" si="2">SUM(C17:C25)</f>
        <v>100</v>
      </c>
      <c r="D26" s="46">
        <f t="shared" si="2"/>
        <v>5</v>
      </c>
      <c r="E26" s="46">
        <f t="shared" si="2"/>
        <v>8</v>
      </c>
      <c r="F26" s="46">
        <f t="shared" si="2"/>
        <v>5</v>
      </c>
      <c r="G26" s="46">
        <f t="shared" si="2"/>
        <v>102</v>
      </c>
      <c r="H26" s="46">
        <f t="shared" si="2"/>
        <v>0</v>
      </c>
      <c r="I26" s="46">
        <f t="shared" si="2"/>
        <v>102</v>
      </c>
      <c r="J26" s="46">
        <f t="shared" si="2"/>
        <v>0</v>
      </c>
      <c r="K26" s="44"/>
    </row>
    <row r="41" spans="1:9" x14ac:dyDescent="0.3">
      <c r="A41" s="47" t="s">
        <v>136</v>
      </c>
      <c r="B41" s="48"/>
      <c r="F41" s="49" t="s">
        <v>137</v>
      </c>
      <c r="G41" s="48"/>
      <c r="H41" s="48"/>
      <c r="I41" s="48"/>
    </row>
    <row r="42" spans="1:9" x14ac:dyDescent="0.3">
      <c r="A42" s="50" t="s">
        <v>138</v>
      </c>
      <c r="F42" s="50" t="s">
        <v>138</v>
      </c>
    </row>
    <row r="58" spans="1:1" x14ac:dyDescent="0.3">
      <c r="A58" s="8" t="str">
        <f>HYPERLINK("#'INDICE'!A77","&lt;&lt; Volver al Indice")</f>
        <v>&lt;&lt; Volver al Indice</v>
      </c>
    </row>
  </sheetData>
  <mergeCells count="3">
    <mergeCell ref="A11:K11"/>
    <mergeCell ref="B13:E13"/>
    <mergeCell ref="G13:H1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6"/>
  <sheetViews>
    <sheetView workbookViewId="0">
      <selection activeCell="E3" sqref="E3"/>
    </sheetView>
  </sheetViews>
  <sheetFormatPr baseColWidth="10" defaultColWidth="9.109375" defaultRowHeight="15.05" x14ac:dyDescent="0.3"/>
  <cols>
    <col min="1" max="1" width="8" customWidth="1"/>
    <col min="2" max="2" width="38.109375" customWidth="1"/>
    <col min="3" max="3" width="17.109375" customWidth="1"/>
    <col min="4" max="4" width="14.44140625" customWidth="1"/>
    <col min="5" max="5" width="16.109375" customWidth="1"/>
    <col min="7" max="12" width="15.6640625" customWidth="1"/>
    <col min="14" max="14" width="16.5546875" customWidth="1"/>
  </cols>
  <sheetData>
    <row r="1" spans="1:15" ht="24.9" customHeight="1" x14ac:dyDescent="0.3"/>
    <row r="4" spans="1:15" ht="19.5" customHeight="1" x14ac:dyDescent="0.3">
      <c r="E4" s="93" t="s">
        <v>314</v>
      </c>
      <c r="O4" s="38" t="s">
        <v>12</v>
      </c>
    </row>
    <row r="5" spans="1:15" x14ac:dyDescent="0.3">
      <c r="E5" s="93" t="s">
        <v>315</v>
      </c>
    </row>
    <row r="6" spans="1:15" x14ac:dyDescent="0.3">
      <c r="E6" s="93" t="s">
        <v>316</v>
      </c>
      <c r="N6" s="39" t="s">
        <v>31</v>
      </c>
      <c r="O6" s="39"/>
    </row>
    <row r="7" spans="1:15" x14ac:dyDescent="0.3">
      <c r="E7" s="93" t="s">
        <v>317</v>
      </c>
      <c r="N7" s="39" t="s">
        <v>32</v>
      </c>
      <c r="O7" s="39"/>
    </row>
    <row r="8" spans="1:15" x14ac:dyDescent="0.3">
      <c r="N8" s="39" t="s">
        <v>33</v>
      </c>
      <c r="O8" s="39"/>
    </row>
    <row r="9" spans="1:15" x14ac:dyDescent="0.3">
      <c r="N9" s="39" t="s">
        <v>34</v>
      </c>
      <c r="O9" s="39"/>
    </row>
    <row r="10" spans="1:15" ht="29.3" customHeight="1" x14ac:dyDescent="0.3">
      <c r="A10" s="82" t="s">
        <v>189</v>
      </c>
      <c r="B10" s="67"/>
      <c r="C10" s="67"/>
      <c r="D10" s="67"/>
      <c r="E10" s="67"/>
      <c r="F10" s="67"/>
      <c r="G10" s="67"/>
      <c r="H10" s="67"/>
      <c r="I10" s="67"/>
      <c r="J10" s="67"/>
      <c r="K10" s="67"/>
      <c r="L10" s="67"/>
    </row>
    <row r="11" spans="1:15" ht="29.3" customHeight="1" x14ac:dyDescent="0.3"/>
    <row r="13" spans="1:15" x14ac:dyDescent="0.3">
      <c r="A13" s="86" t="s">
        <v>190</v>
      </c>
      <c r="B13" s="67"/>
      <c r="C13" s="67"/>
      <c r="D13" s="67"/>
      <c r="E13" s="67"/>
      <c r="F13" s="67"/>
      <c r="G13" s="67"/>
      <c r="H13" s="67"/>
      <c r="I13" s="67"/>
      <c r="J13" s="67"/>
      <c r="K13" s="67"/>
      <c r="L13" s="67"/>
    </row>
    <row r="14" spans="1:15" x14ac:dyDescent="0.3">
      <c r="A14" t="s">
        <v>191</v>
      </c>
      <c r="B14" s="85" t="s">
        <v>192</v>
      </c>
      <c r="C14" s="67"/>
      <c r="D14" s="67"/>
      <c r="E14" t="s">
        <v>193</v>
      </c>
      <c r="F14" s="85" t="s">
        <v>194</v>
      </c>
      <c r="G14" s="67"/>
      <c r="H14" s="67"/>
    </row>
    <row r="15" spans="1:15" x14ac:dyDescent="0.3">
      <c r="A15" t="s">
        <v>195</v>
      </c>
      <c r="B15" s="85" t="s">
        <v>196</v>
      </c>
      <c r="C15" s="67"/>
      <c r="D15" s="67"/>
      <c r="E15" t="s">
        <v>197</v>
      </c>
      <c r="F15" s="85" t="s">
        <v>198</v>
      </c>
      <c r="G15" s="67"/>
      <c r="H15" s="67"/>
    </row>
    <row r="16" spans="1:15" x14ac:dyDescent="0.3">
      <c r="A16" t="s">
        <v>199</v>
      </c>
      <c r="B16" s="85" t="s">
        <v>196</v>
      </c>
      <c r="C16" s="67"/>
      <c r="D16" s="67"/>
      <c r="E16" t="s">
        <v>200</v>
      </c>
      <c r="F16" s="84">
        <f>B16/F15</f>
        <v>1000</v>
      </c>
      <c r="G16" s="67"/>
      <c r="H16" s="67"/>
    </row>
    <row r="19" spans="1:12" x14ac:dyDescent="0.3">
      <c r="A19" s="86" t="s">
        <v>201</v>
      </c>
      <c r="B19" s="67"/>
      <c r="C19" s="67"/>
      <c r="D19" s="67"/>
      <c r="E19" s="67"/>
      <c r="F19" s="67"/>
      <c r="G19" s="67"/>
      <c r="H19" s="67"/>
      <c r="I19" s="67"/>
      <c r="J19" s="67"/>
      <c r="K19" s="67"/>
      <c r="L19" s="67"/>
    </row>
    <row r="20" spans="1:12" ht="38.299999999999997" customHeight="1" x14ac:dyDescent="0.3">
      <c r="A20" s="40" t="s">
        <v>202</v>
      </c>
      <c r="B20" s="40" t="s">
        <v>203</v>
      </c>
      <c r="C20" s="40" t="s">
        <v>204</v>
      </c>
      <c r="D20" s="40" t="s">
        <v>205</v>
      </c>
      <c r="E20" s="40" t="s">
        <v>206</v>
      </c>
      <c r="F20" s="40" t="s">
        <v>207</v>
      </c>
      <c r="G20" s="40" t="s">
        <v>208</v>
      </c>
      <c r="H20" s="40" t="s">
        <v>209</v>
      </c>
      <c r="I20" s="40" t="s">
        <v>210</v>
      </c>
      <c r="J20" s="40" t="s">
        <v>211</v>
      </c>
      <c r="K20" s="40" t="s">
        <v>212</v>
      </c>
      <c r="L20" s="40" t="s">
        <v>213</v>
      </c>
    </row>
    <row r="21" spans="1:12" x14ac:dyDescent="0.3">
      <c r="A21" s="51"/>
      <c r="B21" s="51"/>
      <c r="C21" s="51"/>
      <c r="D21" s="51"/>
      <c r="E21" s="43">
        <v>100</v>
      </c>
      <c r="F21" s="52">
        <v>0.05</v>
      </c>
      <c r="G21" s="51"/>
      <c r="H21" s="51"/>
      <c r="I21" s="51"/>
      <c r="J21" s="51"/>
      <c r="K21" s="51"/>
      <c r="L21" s="51"/>
    </row>
    <row r="22" spans="1:12" x14ac:dyDescent="0.3">
      <c r="A22" s="51"/>
      <c r="B22" s="51"/>
      <c r="C22" s="51"/>
      <c r="D22" s="51"/>
      <c r="E22" s="43">
        <f t="shared" ref="E22:E28" si="0">C22*D22</f>
        <v>0</v>
      </c>
      <c r="F22" s="52"/>
      <c r="G22" s="51"/>
      <c r="H22" s="51"/>
      <c r="I22" s="51"/>
      <c r="J22" s="51"/>
      <c r="K22" s="51"/>
      <c r="L22" s="51"/>
    </row>
    <row r="23" spans="1:12" x14ac:dyDescent="0.3">
      <c r="A23" s="51"/>
      <c r="B23" s="51"/>
      <c r="C23" s="51"/>
      <c r="D23" s="51"/>
      <c r="E23" s="43">
        <f t="shared" si="0"/>
        <v>0</v>
      </c>
      <c r="F23" s="52"/>
      <c r="G23" s="51"/>
      <c r="H23" s="51"/>
      <c r="I23" s="51"/>
      <c r="J23" s="51"/>
      <c r="K23" s="51"/>
      <c r="L23" s="51"/>
    </row>
    <row r="24" spans="1:12" x14ac:dyDescent="0.3">
      <c r="A24" s="51"/>
      <c r="B24" s="51"/>
      <c r="C24" s="51"/>
      <c r="D24" s="51"/>
      <c r="E24" s="43">
        <f t="shared" si="0"/>
        <v>0</v>
      </c>
      <c r="F24" s="52"/>
      <c r="G24" s="51"/>
      <c r="H24" s="51"/>
      <c r="I24" s="51"/>
      <c r="J24" s="51"/>
      <c r="K24" s="51"/>
      <c r="L24" s="51"/>
    </row>
    <row r="25" spans="1:12" x14ac:dyDescent="0.3">
      <c r="A25" s="51"/>
      <c r="B25" s="51"/>
      <c r="C25" s="51"/>
      <c r="D25" s="51"/>
      <c r="E25" s="43">
        <f t="shared" si="0"/>
        <v>0</v>
      </c>
      <c r="F25" s="52"/>
      <c r="G25" s="51"/>
      <c r="H25" s="51"/>
      <c r="I25" s="51"/>
      <c r="J25" s="51"/>
      <c r="K25" s="51"/>
      <c r="L25" s="51"/>
    </row>
    <row r="26" spans="1:12" x14ac:dyDescent="0.3">
      <c r="A26" s="51"/>
      <c r="B26" s="51"/>
      <c r="C26" s="51"/>
      <c r="D26" s="51"/>
      <c r="E26" s="43">
        <f t="shared" si="0"/>
        <v>0</v>
      </c>
      <c r="F26" s="52"/>
      <c r="G26" s="51"/>
      <c r="H26" s="51"/>
      <c r="I26" s="51"/>
      <c r="J26" s="51"/>
      <c r="K26" s="51"/>
      <c r="L26" s="51"/>
    </row>
    <row r="27" spans="1:12" x14ac:dyDescent="0.3">
      <c r="A27" s="51"/>
      <c r="B27" s="51"/>
      <c r="C27" s="51"/>
      <c r="D27" s="51"/>
      <c r="E27" s="43">
        <f t="shared" si="0"/>
        <v>0</v>
      </c>
      <c r="F27" s="52"/>
      <c r="G27" s="51"/>
      <c r="H27" s="51"/>
      <c r="I27" s="51"/>
      <c r="J27" s="51"/>
      <c r="K27" s="51"/>
      <c r="L27" s="51"/>
    </row>
    <row r="28" spans="1:12" x14ac:dyDescent="0.3">
      <c r="A28" s="51"/>
      <c r="B28" s="51"/>
      <c r="C28" s="51"/>
      <c r="D28" s="51"/>
      <c r="E28" s="43">
        <f t="shared" si="0"/>
        <v>0</v>
      </c>
      <c r="F28" s="52"/>
      <c r="G28" s="51"/>
      <c r="H28" s="51"/>
      <c r="I28" s="51"/>
      <c r="J28" s="51"/>
      <c r="K28" s="51"/>
      <c r="L28" s="51"/>
    </row>
    <row r="29" spans="1:12" x14ac:dyDescent="0.3">
      <c r="A29" s="45" t="s">
        <v>214</v>
      </c>
      <c r="B29" s="44"/>
      <c r="C29" s="46">
        <f>SUM(C21:C28)</f>
        <v>0</v>
      </c>
      <c r="D29" s="44"/>
      <c r="E29" s="46">
        <f>SUM(E21:E28)</f>
        <v>100</v>
      </c>
      <c r="F29" s="44"/>
      <c r="G29" s="44"/>
      <c r="H29" s="44"/>
      <c r="I29" s="44"/>
      <c r="J29" s="44"/>
      <c r="K29" s="44"/>
      <c r="L29" s="44"/>
    </row>
    <row r="37" spans="1:9" x14ac:dyDescent="0.3">
      <c r="A37" s="47" t="s">
        <v>136</v>
      </c>
      <c r="B37" s="48"/>
      <c r="C37" s="48"/>
      <c r="F37" s="49" t="s">
        <v>137</v>
      </c>
      <c r="G37" s="48"/>
      <c r="H37" s="48"/>
      <c r="I37" s="48"/>
    </row>
    <row r="38" spans="1:9" x14ac:dyDescent="0.3">
      <c r="A38" s="50" t="s">
        <v>138</v>
      </c>
      <c r="F38" s="50" t="s">
        <v>138</v>
      </c>
    </row>
    <row r="45" spans="1:9" x14ac:dyDescent="0.3">
      <c r="A45" s="8" t="str">
        <f>HYPERLINK("#'INDICE'!A60","&lt;&lt; Volver al Indice")</f>
        <v>&lt;&lt; Volver al Indice</v>
      </c>
    </row>
    <row r="46" spans="1:9" x14ac:dyDescent="0.3">
      <c r="A46" s="8"/>
    </row>
  </sheetData>
  <mergeCells count="9">
    <mergeCell ref="F16:H16"/>
    <mergeCell ref="B14:D14"/>
    <mergeCell ref="A10:L10"/>
    <mergeCell ref="F14:H14"/>
    <mergeCell ref="A19:L19"/>
    <mergeCell ref="A13:L13"/>
    <mergeCell ref="B15:D15"/>
    <mergeCell ref="F15:H15"/>
    <mergeCell ref="B16:D1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9"/>
  <sheetViews>
    <sheetView workbookViewId="0">
      <selection activeCell="E4" sqref="E4:E7"/>
    </sheetView>
  </sheetViews>
  <sheetFormatPr baseColWidth="10" defaultColWidth="9.109375" defaultRowHeight="15.05" x14ac:dyDescent="0.3"/>
  <cols>
    <col min="1" max="1" width="8" customWidth="1"/>
    <col min="2" max="2" width="40" customWidth="1"/>
    <col min="3" max="3" width="14.109375" customWidth="1"/>
    <col min="4" max="11" width="15.6640625" customWidth="1"/>
    <col min="13" max="13" width="17.109375" customWidth="1"/>
  </cols>
  <sheetData>
    <row r="1" spans="1:14" ht="24.9" customHeight="1" x14ac:dyDescent="0.3"/>
    <row r="4" spans="1:14" ht="19.5" customHeight="1" x14ac:dyDescent="0.3">
      <c r="E4" s="93" t="s">
        <v>314</v>
      </c>
      <c r="N4" s="54" t="s">
        <v>14</v>
      </c>
    </row>
    <row r="5" spans="1:14" x14ac:dyDescent="0.3">
      <c r="E5" s="93" t="s">
        <v>315</v>
      </c>
    </row>
    <row r="6" spans="1:14" x14ac:dyDescent="0.3">
      <c r="E6" s="93" t="s">
        <v>316</v>
      </c>
      <c r="M6" s="39" t="s">
        <v>31</v>
      </c>
      <c r="N6" s="39"/>
    </row>
    <row r="7" spans="1:14" x14ac:dyDescent="0.3">
      <c r="E7" s="93" t="s">
        <v>317</v>
      </c>
      <c r="M7" s="39" t="s">
        <v>32</v>
      </c>
      <c r="N7" s="39"/>
    </row>
    <row r="8" spans="1:14" x14ac:dyDescent="0.3">
      <c r="M8" s="39" t="s">
        <v>33</v>
      </c>
      <c r="N8" s="39"/>
    </row>
    <row r="9" spans="1:14" x14ac:dyDescent="0.3">
      <c r="M9" s="39" t="s">
        <v>34</v>
      </c>
      <c r="N9" s="39"/>
    </row>
    <row r="11" spans="1:14" ht="26.2" customHeight="1" x14ac:dyDescent="0.3">
      <c r="A11" s="87" t="s">
        <v>215</v>
      </c>
      <c r="B11" s="67"/>
      <c r="C11" s="67"/>
      <c r="D11" s="67"/>
      <c r="E11" s="67"/>
      <c r="F11" s="67"/>
      <c r="G11" s="67"/>
      <c r="H11" s="67"/>
      <c r="I11" s="67"/>
      <c r="J11" s="67"/>
      <c r="K11" s="67"/>
    </row>
    <row r="12" spans="1:14" x14ac:dyDescent="0.3">
      <c r="A12" s="18" t="s">
        <v>216</v>
      </c>
    </row>
    <row r="14" spans="1:14" ht="29.3" customHeight="1" x14ac:dyDescent="0.3">
      <c r="A14" s="10" t="s">
        <v>217</v>
      </c>
      <c r="B14" s="10" t="s">
        <v>218</v>
      </c>
      <c r="C14" s="10" t="s">
        <v>219</v>
      </c>
      <c r="D14" s="10" t="s">
        <v>220</v>
      </c>
      <c r="E14" s="10" t="s">
        <v>221</v>
      </c>
      <c r="F14" s="10" t="s">
        <v>222</v>
      </c>
      <c r="G14" s="10" t="s">
        <v>223</v>
      </c>
      <c r="H14" s="10" t="s">
        <v>224</v>
      </c>
      <c r="I14" s="10" t="s">
        <v>225</v>
      </c>
      <c r="J14" s="10" t="s">
        <v>226</v>
      </c>
      <c r="K14" s="10" t="s">
        <v>227</v>
      </c>
    </row>
    <row r="15" spans="1:14" x14ac:dyDescent="0.3">
      <c r="A15" s="39"/>
      <c r="B15" s="22"/>
      <c r="C15" s="39"/>
      <c r="D15" s="22"/>
      <c r="E15" s="16">
        <v>100</v>
      </c>
      <c r="F15" s="17">
        <v>100</v>
      </c>
      <c r="G15" s="19">
        <v>0.08</v>
      </c>
      <c r="H15" s="39"/>
      <c r="I15" s="39"/>
      <c r="J15" s="39"/>
      <c r="K15" s="39"/>
    </row>
    <row r="16" spans="1:14" x14ac:dyDescent="0.3">
      <c r="A16" s="39"/>
      <c r="B16" s="22"/>
      <c r="C16" s="39"/>
      <c r="D16" s="22"/>
      <c r="E16" s="16"/>
      <c r="F16" s="17">
        <f t="shared" ref="F16:F39" si="0">D16*E16</f>
        <v>0</v>
      </c>
      <c r="G16" s="19">
        <f t="shared" ref="G16:G39" si="1">IF($D$41=0,0,D16/$D$41)</f>
        <v>0</v>
      </c>
      <c r="H16" s="39"/>
      <c r="I16" s="39"/>
      <c r="J16" s="39"/>
      <c r="K16" s="39"/>
    </row>
    <row r="17" spans="1:11" x14ac:dyDescent="0.3">
      <c r="A17" s="39"/>
      <c r="B17" s="22"/>
      <c r="C17" s="39"/>
      <c r="D17" s="22"/>
      <c r="E17" s="16"/>
      <c r="F17" s="17">
        <f t="shared" si="0"/>
        <v>0</v>
      </c>
      <c r="G17" s="19">
        <f t="shared" si="1"/>
        <v>0</v>
      </c>
      <c r="H17" s="39"/>
      <c r="I17" s="39"/>
      <c r="J17" s="39"/>
      <c r="K17" s="39"/>
    </row>
    <row r="18" spans="1:11" x14ac:dyDescent="0.3">
      <c r="A18" s="39"/>
      <c r="B18" s="22"/>
      <c r="C18" s="39"/>
      <c r="D18" s="22"/>
      <c r="E18" s="16"/>
      <c r="F18" s="17">
        <f t="shared" si="0"/>
        <v>0</v>
      </c>
      <c r="G18" s="19">
        <f t="shared" si="1"/>
        <v>0</v>
      </c>
      <c r="H18" s="39"/>
      <c r="I18" s="39"/>
      <c r="J18" s="39"/>
      <c r="K18" s="39"/>
    </row>
    <row r="19" spans="1:11" x14ac:dyDescent="0.3">
      <c r="A19" s="39"/>
      <c r="B19" s="22"/>
      <c r="C19" s="39"/>
      <c r="D19" s="22"/>
      <c r="E19" s="16"/>
      <c r="F19" s="17">
        <f t="shared" si="0"/>
        <v>0</v>
      </c>
      <c r="G19" s="19">
        <f t="shared" si="1"/>
        <v>0</v>
      </c>
      <c r="H19" s="39"/>
      <c r="I19" s="39"/>
      <c r="J19" s="39"/>
      <c r="K19" s="39"/>
    </row>
    <row r="20" spans="1:11" x14ac:dyDescent="0.3">
      <c r="A20" s="39"/>
      <c r="B20" s="22"/>
      <c r="C20" s="39"/>
      <c r="D20" s="22"/>
      <c r="E20" s="16"/>
      <c r="F20" s="17">
        <f t="shared" si="0"/>
        <v>0</v>
      </c>
      <c r="G20" s="19">
        <f t="shared" si="1"/>
        <v>0</v>
      </c>
      <c r="H20" s="39"/>
      <c r="I20" s="39"/>
      <c r="J20" s="39"/>
      <c r="K20" s="39"/>
    </row>
    <row r="21" spans="1:11" x14ac:dyDescent="0.3">
      <c r="A21" s="39"/>
      <c r="B21" s="22"/>
      <c r="C21" s="39"/>
      <c r="D21" s="22"/>
      <c r="E21" s="16"/>
      <c r="F21" s="17">
        <f t="shared" si="0"/>
        <v>0</v>
      </c>
      <c r="G21" s="19">
        <f t="shared" si="1"/>
        <v>0</v>
      </c>
      <c r="H21" s="39"/>
      <c r="I21" s="39"/>
      <c r="J21" s="39"/>
      <c r="K21" s="39"/>
    </row>
    <row r="22" spans="1:11" x14ac:dyDescent="0.3">
      <c r="A22" s="39"/>
      <c r="B22" s="22"/>
      <c r="C22" s="39"/>
      <c r="D22" s="22"/>
      <c r="E22" s="16"/>
      <c r="F22" s="17">
        <f t="shared" si="0"/>
        <v>0</v>
      </c>
      <c r="G22" s="19">
        <f t="shared" si="1"/>
        <v>0</v>
      </c>
      <c r="H22" s="39"/>
      <c r="I22" s="39"/>
      <c r="J22" s="39"/>
      <c r="K22" s="39"/>
    </row>
    <row r="23" spans="1:11" x14ac:dyDescent="0.3">
      <c r="A23" s="39"/>
      <c r="B23" s="22"/>
      <c r="C23" s="39"/>
      <c r="D23" s="22"/>
      <c r="E23" s="16"/>
      <c r="F23" s="17">
        <f t="shared" si="0"/>
        <v>0</v>
      </c>
      <c r="G23" s="19">
        <f t="shared" si="1"/>
        <v>0</v>
      </c>
      <c r="H23" s="39"/>
      <c r="I23" s="39"/>
      <c r="J23" s="39"/>
      <c r="K23" s="39"/>
    </row>
    <row r="24" spans="1:11" x14ac:dyDescent="0.3">
      <c r="A24" s="39"/>
      <c r="B24" s="22"/>
      <c r="C24" s="39"/>
      <c r="D24" s="22"/>
      <c r="E24" s="16"/>
      <c r="F24" s="17">
        <f t="shared" si="0"/>
        <v>0</v>
      </c>
      <c r="G24" s="19">
        <f t="shared" si="1"/>
        <v>0</v>
      </c>
      <c r="H24" s="39"/>
      <c r="I24" s="39"/>
      <c r="J24" s="39"/>
      <c r="K24" s="39"/>
    </row>
    <row r="25" spans="1:11" x14ac:dyDescent="0.3">
      <c r="A25" s="39"/>
      <c r="B25" s="22"/>
      <c r="C25" s="39"/>
      <c r="D25" s="22"/>
      <c r="E25" s="16"/>
      <c r="F25" s="17">
        <f t="shared" si="0"/>
        <v>0</v>
      </c>
      <c r="G25" s="19">
        <f t="shared" si="1"/>
        <v>0</v>
      </c>
      <c r="H25" s="39"/>
      <c r="I25" s="39"/>
      <c r="J25" s="39"/>
      <c r="K25" s="39"/>
    </row>
    <row r="26" spans="1:11" x14ac:dyDescent="0.3">
      <c r="A26" s="39"/>
      <c r="B26" s="22"/>
      <c r="C26" s="39"/>
      <c r="D26" s="22"/>
      <c r="E26" s="16"/>
      <c r="F26" s="17">
        <f t="shared" si="0"/>
        <v>0</v>
      </c>
      <c r="G26" s="19">
        <f t="shared" si="1"/>
        <v>0</v>
      </c>
      <c r="H26" s="39"/>
      <c r="I26" s="39"/>
      <c r="J26" s="39"/>
      <c r="K26" s="39"/>
    </row>
    <row r="27" spans="1:11" x14ac:dyDescent="0.3">
      <c r="A27" s="39"/>
      <c r="B27" s="22"/>
      <c r="C27" s="39"/>
      <c r="D27" s="22"/>
      <c r="E27" s="16"/>
      <c r="F27" s="17">
        <f t="shared" si="0"/>
        <v>0</v>
      </c>
      <c r="G27" s="19">
        <f t="shared" si="1"/>
        <v>0</v>
      </c>
      <c r="H27" s="39"/>
      <c r="I27" s="39"/>
      <c r="J27" s="39"/>
      <c r="K27" s="39"/>
    </row>
    <row r="28" spans="1:11" x14ac:dyDescent="0.3">
      <c r="A28" s="39"/>
      <c r="B28" s="22"/>
      <c r="C28" s="39"/>
      <c r="D28" s="22"/>
      <c r="E28" s="16"/>
      <c r="F28" s="17">
        <f t="shared" si="0"/>
        <v>0</v>
      </c>
      <c r="G28" s="19">
        <f t="shared" si="1"/>
        <v>0</v>
      </c>
      <c r="H28" s="39"/>
      <c r="I28" s="39"/>
      <c r="J28" s="39"/>
      <c r="K28" s="39"/>
    </row>
    <row r="29" spans="1:11" x14ac:dyDescent="0.3">
      <c r="A29" s="39"/>
      <c r="B29" s="22"/>
      <c r="C29" s="39"/>
      <c r="D29" s="22"/>
      <c r="E29" s="16"/>
      <c r="F29" s="17">
        <f t="shared" si="0"/>
        <v>0</v>
      </c>
      <c r="G29" s="19">
        <f t="shared" si="1"/>
        <v>0</v>
      </c>
      <c r="H29" s="39"/>
      <c r="I29" s="39"/>
      <c r="J29" s="39"/>
      <c r="K29" s="39"/>
    </row>
    <row r="30" spans="1:11" x14ac:dyDescent="0.3">
      <c r="A30" s="39"/>
      <c r="B30" s="22"/>
      <c r="C30" s="39"/>
      <c r="D30" s="22"/>
      <c r="E30" s="16"/>
      <c r="F30" s="17">
        <f t="shared" si="0"/>
        <v>0</v>
      </c>
      <c r="G30" s="19">
        <f t="shared" si="1"/>
        <v>0</v>
      </c>
      <c r="H30" s="39"/>
      <c r="I30" s="39"/>
      <c r="J30" s="39"/>
      <c r="K30" s="39"/>
    </row>
    <row r="31" spans="1:11" x14ac:dyDescent="0.3">
      <c r="A31" s="39"/>
      <c r="B31" s="22"/>
      <c r="C31" s="39"/>
      <c r="D31" s="22"/>
      <c r="E31" s="16"/>
      <c r="F31" s="17">
        <f t="shared" si="0"/>
        <v>0</v>
      </c>
      <c r="G31" s="19">
        <f t="shared" si="1"/>
        <v>0</v>
      </c>
      <c r="H31" s="39"/>
      <c r="I31" s="39"/>
      <c r="J31" s="39"/>
      <c r="K31" s="39"/>
    </row>
    <row r="32" spans="1:11" x14ac:dyDescent="0.3">
      <c r="A32" s="39"/>
      <c r="B32" s="22"/>
      <c r="C32" s="39"/>
      <c r="D32" s="22"/>
      <c r="E32" s="16"/>
      <c r="F32" s="17">
        <f t="shared" si="0"/>
        <v>0</v>
      </c>
      <c r="G32" s="19">
        <f t="shared" si="1"/>
        <v>0</v>
      </c>
      <c r="H32" s="39"/>
      <c r="I32" s="39"/>
      <c r="J32" s="39"/>
      <c r="K32" s="39"/>
    </row>
    <row r="33" spans="1:11" x14ac:dyDescent="0.3">
      <c r="A33" s="39"/>
      <c r="B33" s="22"/>
      <c r="C33" s="39"/>
      <c r="D33" s="22"/>
      <c r="E33" s="16"/>
      <c r="F33" s="17">
        <f t="shared" si="0"/>
        <v>0</v>
      </c>
      <c r="G33" s="19">
        <f t="shared" si="1"/>
        <v>0</v>
      </c>
      <c r="H33" s="39"/>
      <c r="I33" s="39"/>
      <c r="J33" s="39"/>
      <c r="K33" s="39"/>
    </row>
    <row r="34" spans="1:11" x14ac:dyDescent="0.3">
      <c r="A34" s="39"/>
      <c r="B34" s="22"/>
      <c r="C34" s="39"/>
      <c r="D34" s="22"/>
      <c r="E34" s="16"/>
      <c r="F34" s="17">
        <f t="shared" si="0"/>
        <v>0</v>
      </c>
      <c r="G34" s="19">
        <f t="shared" si="1"/>
        <v>0</v>
      </c>
      <c r="H34" s="39"/>
      <c r="I34" s="39"/>
      <c r="J34" s="39"/>
      <c r="K34" s="39"/>
    </row>
    <row r="35" spans="1:11" x14ac:dyDescent="0.3">
      <c r="A35" s="39"/>
      <c r="B35" s="22"/>
      <c r="C35" s="39"/>
      <c r="D35" s="22"/>
      <c r="E35" s="16"/>
      <c r="F35" s="17">
        <f t="shared" si="0"/>
        <v>0</v>
      </c>
      <c r="G35" s="19">
        <f t="shared" si="1"/>
        <v>0</v>
      </c>
      <c r="H35" s="39"/>
      <c r="I35" s="39"/>
      <c r="J35" s="39"/>
      <c r="K35" s="39"/>
    </row>
    <row r="36" spans="1:11" x14ac:dyDescent="0.3">
      <c r="A36" s="39"/>
      <c r="B36" s="22"/>
      <c r="C36" s="39"/>
      <c r="D36" s="22"/>
      <c r="E36" s="16"/>
      <c r="F36" s="17">
        <f t="shared" si="0"/>
        <v>0</v>
      </c>
      <c r="G36" s="19">
        <f t="shared" si="1"/>
        <v>0</v>
      </c>
      <c r="H36" s="39"/>
      <c r="I36" s="39"/>
      <c r="J36" s="39"/>
      <c r="K36" s="39"/>
    </row>
    <row r="37" spans="1:11" x14ac:dyDescent="0.3">
      <c r="A37" s="39"/>
      <c r="B37" s="22"/>
      <c r="C37" s="39"/>
      <c r="D37" s="22"/>
      <c r="E37" s="16"/>
      <c r="F37" s="17">
        <f t="shared" si="0"/>
        <v>0</v>
      </c>
      <c r="G37" s="19">
        <f t="shared" si="1"/>
        <v>0</v>
      </c>
      <c r="H37" s="39"/>
      <c r="I37" s="39"/>
      <c r="J37" s="39"/>
      <c r="K37" s="39"/>
    </row>
    <row r="38" spans="1:11" x14ac:dyDescent="0.3">
      <c r="A38" s="39"/>
      <c r="B38" s="22"/>
      <c r="C38" s="39"/>
      <c r="D38" s="22"/>
      <c r="E38" s="16"/>
      <c r="F38" s="17">
        <f t="shared" si="0"/>
        <v>0</v>
      </c>
      <c r="G38" s="19">
        <f t="shared" si="1"/>
        <v>0</v>
      </c>
      <c r="H38" s="39"/>
      <c r="I38" s="39"/>
      <c r="J38" s="39"/>
      <c r="K38" s="39"/>
    </row>
    <row r="39" spans="1:11" x14ac:dyDescent="0.3">
      <c r="A39" s="39"/>
      <c r="B39" s="22"/>
      <c r="C39" s="39"/>
      <c r="D39" s="22"/>
      <c r="E39" s="16"/>
      <c r="F39" s="17">
        <f t="shared" si="0"/>
        <v>0</v>
      </c>
      <c r="G39" s="19">
        <f t="shared" si="1"/>
        <v>0</v>
      </c>
      <c r="H39" s="39"/>
      <c r="I39" s="39"/>
      <c r="J39" s="39"/>
      <c r="K39" s="39"/>
    </row>
    <row r="41" spans="1:11" x14ac:dyDescent="0.3">
      <c r="C41" s="13" t="s">
        <v>228</v>
      </c>
      <c r="D41" s="13">
        <f>SUM(D15:D40)</f>
        <v>0</v>
      </c>
      <c r="F41" s="20">
        <f>SUM(F15:F40)</f>
        <v>100</v>
      </c>
      <c r="G41" s="23">
        <f>SUM(G15:G40)</f>
        <v>0.08</v>
      </c>
    </row>
    <row r="51" spans="1:9" x14ac:dyDescent="0.3">
      <c r="A51" s="47" t="s">
        <v>136</v>
      </c>
      <c r="B51" s="48"/>
      <c r="F51" s="49" t="s">
        <v>137</v>
      </c>
      <c r="G51" s="48"/>
      <c r="H51" s="48"/>
      <c r="I51" s="48"/>
    </row>
    <row r="52" spans="1:9" x14ac:dyDescent="0.3">
      <c r="A52" s="50" t="s">
        <v>138</v>
      </c>
      <c r="F52" s="50" t="s">
        <v>138</v>
      </c>
    </row>
    <row r="59" spans="1:9" x14ac:dyDescent="0.3">
      <c r="A59" s="8" t="str">
        <f>HYPERLINK("#'INDICE'!A60","&lt;&lt; Volver al Indice")</f>
        <v>&lt;&lt; Volver al Indice</v>
      </c>
    </row>
  </sheetData>
  <mergeCells count="1">
    <mergeCell ref="A11:K1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5"/>
  <sheetViews>
    <sheetView workbookViewId="0">
      <selection activeCell="E4" sqref="E4:E7"/>
    </sheetView>
  </sheetViews>
  <sheetFormatPr baseColWidth="10" defaultColWidth="9.109375" defaultRowHeight="15.05" x14ac:dyDescent="0.3"/>
  <cols>
    <col min="1" max="1" width="8" customWidth="1"/>
    <col min="2" max="3" width="40" customWidth="1"/>
    <col min="4" max="11" width="15.6640625" customWidth="1"/>
    <col min="13" max="13" width="17.5546875" customWidth="1"/>
    <col min="14" max="14" width="11" customWidth="1"/>
  </cols>
  <sheetData>
    <row r="1" spans="1:14" ht="24.9" customHeight="1" x14ac:dyDescent="0.3"/>
    <row r="4" spans="1:14" ht="19.5" customHeight="1" x14ac:dyDescent="0.3">
      <c r="E4" s="93" t="s">
        <v>314</v>
      </c>
      <c r="N4" s="54" t="s">
        <v>16</v>
      </c>
    </row>
    <row r="5" spans="1:14" x14ac:dyDescent="0.3">
      <c r="E5" s="93" t="s">
        <v>315</v>
      </c>
    </row>
    <row r="6" spans="1:14" x14ac:dyDescent="0.3">
      <c r="E6" s="93" t="s">
        <v>316</v>
      </c>
      <c r="M6" s="39" t="s">
        <v>31</v>
      </c>
      <c r="N6" s="39"/>
    </row>
    <row r="7" spans="1:14" x14ac:dyDescent="0.3">
      <c r="E7" s="93" t="s">
        <v>317</v>
      </c>
      <c r="M7" s="39" t="s">
        <v>32</v>
      </c>
      <c r="N7" s="39"/>
    </row>
    <row r="8" spans="1:14" x14ac:dyDescent="0.3">
      <c r="M8" s="39" t="s">
        <v>33</v>
      </c>
      <c r="N8" s="39"/>
    </row>
    <row r="9" spans="1:14" x14ac:dyDescent="0.3">
      <c r="M9" s="39" t="s">
        <v>34</v>
      </c>
      <c r="N9" s="39"/>
    </row>
    <row r="12" spans="1:14" ht="25.55" customHeight="1" x14ac:dyDescent="0.3">
      <c r="A12" s="82" t="s">
        <v>229</v>
      </c>
      <c r="B12" s="67"/>
      <c r="C12" s="67"/>
      <c r="D12" s="67"/>
      <c r="E12" s="67"/>
      <c r="F12" s="67"/>
      <c r="G12" s="67"/>
      <c r="H12" s="67"/>
      <c r="I12" s="67"/>
      <c r="J12" s="67"/>
      <c r="K12" s="67"/>
    </row>
    <row r="14" spans="1:14" x14ac:dyDescent="0.3">
      <c r="A14" s="88" t="s">
        <v>230</v>
      </c>
      <c r="B14" s="67"/>
      <c r="C14" s="67"/>
      <c r="D14" s="67"/>
      <c r="E14" s="67"/>
      <c r="F14" s="67"/>
      <c r="G14" s="67"/>
      <c r="H14" s="67"/>
      <c r="I14" s="67"/>
      <c r="J14" s="67"/>
      <c r="K14" s="67"/>
    </row>
    <row r="17" spans="1:11" ht="25.55" customHeight="1" x14ac:dyDescent="0.3">
      <c r="A17" s="40" t="s">
        <v>202</v>
      </c>
      <c r="B17" s="40" t="s">
        <v>203</v>
      </c>
      <c r="C17" s="40" t="s">
        <v>231</v>
      </c>
      <c r="D17" s="40" t="s">
        <v>232</v>
      </c>
      <c r="E17" s="40" t="s">
        <v>233</v>
      </c>
      <c r="F17" s="40" t="s">
        <v>204</v>
      </c>
      <c r="G17" s="40" t="s">
        <v>207</v>
      </c>
      <c r="H17" s="40" t="s">
        <v>211</v>
      </c>
      <c r="I17" s="40" t="s">
        <v>234</v>
      </c>
      <c r="J17" s="40" t="s">
        <v>235</v>
      </c>
      <c r="K17" s="40" t="s">
        <v>213</v>
      </c>
    </row>
    <row r="18" spans="1:11" x14ac:dyDescent="0.3">
      <c r="A18" s="51"/>
      <c r="B18" s="51"/>
      <c r="C18" s="51"/>
      <c r="D18" s="51"/>
      <c r="E18" s="51"/>
      <c r="F18" s="51"/>
      <c r="G18" s="53"/>
      <c r="H18" s="51"/>
      <c r="I18" s="51"/>
      <c r="J18" s="51"/>
      <c r="K18" s="51"/>
    </row>
    <row r="19" spans="1:11" x14ac:dyDescent="0.3">
      <c r="A19" s="51"/>
      <c r="B19" s="51"/>
      <c r="C19" s="51"/>
      <c r="D19" s="51"/>
      <c r="E19" s="51"/>
      <c r="F19" s="51"/>
      <c r="G19" s="53"/>
      <c r="H19" s="51"/>
      <c r="I19" s="51"/>
      <c r="J19" s="51"/>
      <c r="K19" s="51"/>
    </row>
    <row r="20" spans="1:11" x14ac:dyDescent="0.3">
      <c r="A20" s="51"/>
      <c r="B20" s="51"/>
      <c r="C20" s="51"/>
      <c r="D20" s="51"/>
      <c r="E20" s="51"/>
      <c r="F20" s="51"/>
      <c r="G20" s="53"/>
      <c r="H20" s="51"/>
      <c r="I20" s="51"/>
      <c r="J20" s="51"/>
      <c r="K20" s="51"/>
    </row>
    <row r="21" spans="1:11" x14ac:dyDescent="0.3">
      <c r="A21" s="51"/>
      <c r="B21" s="51"/>
      <c r="C21" s="51"/>
      <c r="D21" s="51"/>
      <c r="E21" s="51"/>
      <c r="F21" s="51"/>
      <c r="G21" s="53"/>
      <c r="H21" s="51"/>
      <c r="I21" s="51"/>
      <c r="J21" s="51"/>
      <c r="K21" s="51"/>
    </row>
    <row r="22" spans="1:11" x14ac:dyDescent="0.3">
      <c r="A22" s="51"/>
      <c r="B22" s="51"/>
      <c r="C22" s="51"/>
      <c r="D22" s="51"/>
      <c r="E22" s="51"/>
      <c r="F22" s="51"/>
      <c r="G22" s="53"/>
      <c r="H22" s="51"/>
      <c r="I22" s="51"/>
      <c r="J22" s="51"/>
      <c r="K22" s="51"/>
    </row>
    <row r="23" spans="1:11" x14ac:dyDescent="0.3">
      <c r="A23" s="51"/>
      <c r="B23" s="51"/>
      <c r="C23" s="51"/>
      <c r="D23" s="51"/>
      <c r="E23" s="51"/>
      <c r="F23" s="51"/>
      <c r="G23" s="53"/>
      <c r="H23" s="51"/>
      <c r="I23" s="51"/>
      <c r="J23" s="51"/>
      <c r="K23" s="51"/>
    </row>
    <row r="24" spans="1:11" x14ac:dyDescent="0.3">
      <c r="A24" s="51"/>
      <c r="B24" s="51"/>
      <c r="C24" s="51"/>
      <c r="D24" s="51"/>
      <c r="E24" s="51"/>
      <c r="F24" s="51"/>
      <c r="G24" s="53"/>
      <c r="H24" s="51"/>
      <c r="I24" s="51"/>
      <c r="J24" s="51"/>
      <c r="K24" s="51"/>
    </row>
    <row r="25" spans="1:11" x14ac:dyDescent="0.3">
      <c r="A25" s="51"/>
      <c r="B25" s="51"/>
      <c r="C25" s="51"/>
      <c r="D25" s="51"/>
      <c r="E25" s="51"/>
      <c r="F25" s="51"/>
      <c r="G25" s="53"/>
      <c r="H25" s="51"/>
      <c r="I25" s="51"/>
      <c r="J25" s="51"/>
      <c r="K25" s="51"/>
    </row>
    <row r="26" spans="1:11" x14ac:dyDescent="0.3">
      <c r="A26" s="51"/>
      <c r="B26" s="51"/>
      <c r="C26" s="51"/>
      <c r="D26" s="51"/>
      <c r="E26" s="51"/>
      <c r="F26" s="51"/>
      <c r="G26" s="53"/>
      <c r="H26" s="51"/>
      <c r="I26" s="51"/>
      <c r="J26" s="51"/>
      <c r="K26" s="51"/>
    </row>
    <row r="27" spans="1:11" x14ac:dyDescent="0.3">
      <c r="A27" s="51"/>
      <c r="B27" s="51"/>
      <c r="C27" s="51"/>
      <c r="D27" s="51"/>
      <c r="E27" s="51"/>
      <c r="F27" s="51"/>
      <c r="G27" s="53"/>
      <c r="H27" s="51"/>
      <c r="I27" s="51"/>
      <c r="J27" s="51"/>
      <c r="K27" s="51"/>
    </row>
    <row r="37" spans="1:9" x14ac:dyDescent="0.3">
      <c r="A37" s="47" t="s">
        <v>136</v>
      </c>
      <c r="B37" s="48"/>
      <c r="F37" s="49" t="s">
        <v>137</v>
      </c>
      <c r="G37" s="48"/>
      <c r="H37" s="48"/>
      <c r="I37" s="48"/>
    </row>
    <row r="38" spans="1:9" x14ac:dyDescent="0.3">
      <c r="A38" s="50" t="s">
        <v>138</v>
      </c>
      <c r="F38" s="50" t="s">
        <v>138</v>
      </c>
    </row>
    <row r="45" spans="1:9" x14ac:dyDescent="0.3">
      <c r="A45" s="8" t="str">
        <f>HYPERLINK("#'INDICE'!A80","&lt;&lt; Volver al Indice")</f>
        <v>&lt;&lt; Volver al Indice</v>
      </c>
    </row>
  </sheetData>
  <mergeCells count="2">
    <mergeCell ref="A14:K14"/>
    <mergeCell ref="A12:K1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N56"/>
  <sheetViews>
    <sheetView workbookViewId="0">
      <selection activeCell="D1" sqref="D1"/>
    </sheetView>
  </sheetViews>
  <sheetFormatPr baseColWidth="10" defaultColWidth="9.109375" defaultRowHeight="15.05" x14ac:dyDescent="0.3"/>
  <cols>
    <col min="1" max="1" width="8" customWidth="1"/>
    <col min="2" max="3" width="40" customWidth="1"/>
    <col min="4" max="12" width="15.6640625" customWidth="1"/>
    <col min="13" max="13" width="17.44140625" customWidth="1"/>
    <col min="14" max="14" width="12.109375" customWidth="1"/>
  </cols>
  <sheetData>
    <row r="3" spans="1:14" ht="18" customHeight="1" x14ac:dyDescent="0.3">
      <c r="D3" s="93" t="s">
        <v>314</v>
      </c>
      <c r="N3" s="54" t="s">
        <v>18</v>
      </c>
    </row>
    <row r="4" spans="1:14" x14ac:dyDescent="0.3">
      <c r="D4" s="93" t="s">
        <v>315</v>
      </c>
    </row>
    <row r="5" spans="1:14" x14ac:dyDescent="0.3">
      <c r="D5" s="93" t="s">
        <v>316</v>
      </c>
      <c r="M5" s="39" t="s">
        <v>31</v>
      </c>
      <c r="N5" s="39"/>
    </row>
    <row r="6" spans="1:14" x14ac:dyDescent="0.3">
      <c r="D6" s="93" t="s">
        <v>317</v>
      </c>
      <c r="M6" s="39" t="s">
        <v>32</v>
      </c>
      <c r="N6" s="39"/>
    </row>
    <row r="7" spans="1:14" x14ac:dyDescent="0.3">
      <c r="M7" s="39" t="s">
        <v>33</v>
      </c>
      <c r="N7" s="39"/>
    </row>
    <row r="8" spans="1:14" x14ac:dyDescent="0.3">
      <c r="M8" s="39" t="s">
        <v>34</v>
      </c>
      <c r="N8" s="39"/>
    </row>
    <row r="11" spans="1:14" ht="28.5" customHeight="1" x14ac:dyDescent="0.3">
      <c r="A11" s="89" t="s">
        <v>236</v>
      </c>
      <c r="B11" s="67"/>
      <c r="C11" s="67"/>
      <c r="D11" s="67"/>
      <c r="E11" s="67"/>
      <c r="F11" s="67"/>
      <c r="G11" s="67"/>
      <c r="H11" s="67"/>
      <c r="I11" s="67"/>
      <c r="J11" s="67"/>
      <c r="K11" s="67"/>
      <c r="L11" s="67"/>
    </row>
    <row r="12" spans="1:14" x14ac:dyDescent="0.3">
      <c r="A12" s="18" t="s">
        <v>237</v>
      </c>
    </row>
    <row r="14" spans="1:14" ht="29.3" customHeight="1" x14ac:dyDescent="0.3">
      <c r="A14" s="10" t="s">
        <v>238</v>
      </c>
      <c r="B14" s="10" t="s">
        <v>239</v>
      </c>
      <c r="C14" s="10" t="s">
        <v>240</v>
      </c>
      <c r="D14" s="10" t="s">
        <v>241</v>
      </c>
      <c r="E14" s="10" t="s">
        <v>220</v>
      </c>
      <c r="F14" s="10" t="s">
        <v>242</v>
      </c>
      <c r="G14" s="10" t="s">
        <v>222</v>
      </c>
      <c r="H14" s="10" t="s">
        <v>243</v>
      </c>
      <c r="I14" s="10" t="s">
        <v>244</v>
      </c>
      <c r="J14" s="10" t="s">
        <v>245</v>
      </c>
      <c r="K14" s="10" t="s">
        <v>246</v>
      </c>
      <c r="L14" s="10" t="s">
        <v>227</v>
      </c>
    </row>
    <row r="15" spans="1:14" x14ac:dyDescent="0.3">
      <c r="A15" s="22"/>
      <c r="B15" s="22"/>
      <c r="C15" s="39"/>
      <c r="D15" s="39"/>
      <c r="E15" s="22"/>
      <c r="F15" s="16">
        <v>100</v>
      </c>
      <c r="G15" s="17">
        <v>5</v>
      </c>
      <c r="H15" s="39"/>
      <c r="I15" s="39"/>
      <c r="J15" s="39"/>
      <c r="K15" s="39"/>
      <c r="L15" s="39"/>
    </row>
    <row r="16" spans="1:14" x14ac:dyDescent="0.3">
      <c r="A16" s="22"/>
      <c r="B16" s="22"/>
      <c r="C16" s="39"/>
      <c r="D16" s="39"/>
      <c r="E16" s="22"/>
      <c r="F16" s="16"/>
      <c r="G16" s="17">
        <f t="shared" ref="G16:G29" si="0">E16*F16</f>
        <v>0</v>
      </c>
      <c r="H16" s="39"/>
      <c r="I16" s="39"/>
      <c r="J16" s="39"/>
      <c r="K16" s="39"/>
      <c r="L16" s="39"/>
    </row>
    <row r="17" spans="1:12" x14ac:dyDescent="0.3">
      <c r="A17" s="22"/>
      <c r="B17" s="22"/>
      <c r="C17" s="39"/>
      <c r="D17" s="39"/>
      <c r="E17" s="22"/>
      <c r="F17" s="16"/>
      <c r="G17" s="17">
        <f t="shared" si="0"/>
        <v>0</v>
      </c>
      <c r="H17" s="39"/>
      <c r="I17" s="39"/>
      <c r="J17" s="39"/>
      <c r="K17" s="39"/>
      <c r="L17" s="39"/>
    </row>
    <row r="18" spans="1:12" x14ac:dyDescent="0.3">
      <c r="A18" s="22"/>
      <c r="B18" s="22"/>
      <c r="C18" s="39"/>
      <c r="D18" s="39"/>
      <c r="E18" s="22"/>
      <c r="F18" s="16"/>
      <c r="G18" s="17">
        <f t="shared" si="0"/>
        <v>0</v>
      </c>
      <c r="H18" s="39"/>
      <c r="I18" s="39"/>
      <c r="J18" s="39"/>
      <c r="K18" s="39"/>
      <c r="L18" s="39"/>
    </row>
    <row r="19" spans="1:12" x14ac:dyDescent="0.3">
      <c r="A19" s="22"/>
      <c r="B19" s="22"/>
      <c r="C19" s="39"/>
      <c r="D19" s="39"/>
      <c r="E19" s="22"/>
      <c r="F19" s="16"/>
      <c r="G19" s="17">
        <f t="shared" si="0"/>
        <v>0</v>
      </c>
      <c r="H19" s="39"/>
      <c r="I19" s="39"/>
      <c r="J19" s="39"/>
      <c r="K19" s="39"/>
      <c r="L19" s="39"/>
    </row>
    <row r="20" spans="1:12" x14ac:dyDescent="0.3">
      <c r="A20" s="22"/>
      <c r="B20" s="22"/>
      <c r="C20" s="39"/>
      <c r="D20" s="39"/>
      <c r="E20" s="22"/>
      <c r="F20" s="16"/>
      <c r="G20" s="17">
        <f t="shared" si="0"/>
        <v>0</v>
      </c>
      <c r="H20" s="39"/>
      <c r="I20" s="39"/>
      <c r="J20" s="39"/>
      <c r="K20" s="39"/>
      <c r="L20" s="39"/>
    </row>
    <row r="21" spans="1:12" x14ac:dyDescent="0.3">
      <c r="A21" s="22"/>
      <c r="B21" s="22"/>
      <c r="C21" s="39"/>
      <c r="D21" s="39"/>
      <c r="E21" s="22"/>
      <c r="F21" s="16"/>
      <c r="G21" s="17">
        <f t="shared" si="0"/>
        <v>0</v>
      </c>
      <c r="H21" s="39"/>
      <c r="I21" s="39"/>
      <c r="J21" s="39"/>
      <c r="K21" s="39"/>
      <c r="L21" s="39"/>
    </row>
    <row r="22" spans="1:12" x14ac:dyDescent="0.3">
      <c r="A22" s="22"/>
      <c r="B22" s="22"/>
      <c r="C22" s="39"/>
      <c r="D22" s="39"/>
      <c r="E22" s="22"/>
      <c r="F22" s="16"/>
      <c r="G22" s="17">
        <f t="shared" si="0"/>
        <v>0</v>
      </c>
      <c r="H22" s="39"/>
      <c r="I22" s="39"/>
      <c r="J22" s="39"/>
      <c r="K22" s="39"/>
      <c r="L22" s="39"/>
    </row>
    <row r="23" spans="1:12" x14ac:dyDescent="0.3">
      <c r="A23" s="22"/>
      <c r="B23" s="22"/>
      <c r="C23" s="39"/>
      <c r="D23" s="39"/>
      <c r="E23" s="22"/>
      <c r="F23" s="16"/>
      <c r="G23" s="17">
        <f t="shared" si="0"/>
        <v>0</v>
      </c>
      <c r="H23" s="39"/>
      <c r="I23" s="39"/>
      <c r="J23" s="39"/>
      <c r="K23" s="39"/>
      <c r="L23" s="39"/>
    </row>
    <row r="24" spans="1:12" x14ac:dyDescent="0.3">
      <c r="A24" s="22"/>
      <c r="B24" s="22"/>
      <c r="C24" s="39"/>
      <c r="D24" s="39"/>
      <c r="E24" s="22"/>
      <c r="F24" s="16"/>
      <c r="G24" s="17">
        <f t="shared" si="0"/>
        <v>0</v>
      </c>
      <c r="H24" s="39"/>
      <c r="I24" s="39"/>
      <c r="J24" s="39"/>
      <c r="K24" s="39"/>
      <c r="L24" s="39"/>
    </row>
    <row r="25" spans="1:12" x14ac:dyDescent="0.3">
      <c r="A25" s="22"/>
      <c r="B25" s="22"/>
      <c r="C25" s="39"/>
      <c r="D25" s="39"/>
      <c r="E25" s="22"/>
      <c r="F25" s="16"/>
      <c r="G25" s="17">
        <f t="shared" si="0"/>
        <v>0</v>
      </c>
      <c r="H25" s="39"/>
      <c r="I25" s="39"/>
      <c r="J25" s="39"/>
      <c r="K25" s="39"/>
      <c r="L25" s="39"/>
    </row>
    <row r="26" spans="1:12" x14ac:dyDescent="0.3">
      <c r="A26" s="22"/>
      <c r="B26" s="22"/>
      <c r="C26" s="39"/>
      <c r="D26" s="39"/>
      <c r="E26" s="22"/>
      <c r="F26" s="16"/>
      <c r="G26" s="17">
        <f t="shared" si="0"/>
        <v>0</v>
      </c>
      <c r="H26" s="39"/>
      <c r="I26" s="39"/>
      <c r="J26" s="39"/>
      <c r="K26" s="39"/>
      <c r="L26" s="39"/>
    </row>
    <row r="27" spans="1:12" x14ac:dyDescent="0.3">
      <c r="A27" s="22"/>
      <c r="B27" s="22"/>
      <c r="C27" s="39"/>
      <c r="D27" s="39"/>
      <c r="E27" s="22"/>
      <c r="F27" s="16"/>
      <c r="G27" s="17">
        <f t="shared" si="0"/>
        <v>0</v>
      </c>
      <c r="H27" s="39"/>
      <c r="I27" s="39"/>
      <c r="J27" s="39"/>
      <c r="K27" s="39"/>
      <c r="L27" s="39"/>
    </row>
    <row r="28" spans="1:12" x14ac:dyDescent="0.3">
      <c r="A28" s="22"/>
      <c r="B28" s="22"/>
      <c r="C28" s="39"/>
      <c r="D28" s="39"/>
      <c r="E28" s="22"/>
      <c r="F28" s="16"/>
      <c r="G28" s="17">
        <f t="shared" si="0"/>
        <v>0</v>
      </c>
      <c r="H28" s="39"/>
      <c r="I28" s="39"/>
      <c r="J28" s="39"/>
      <c r="K28" s="39"/>
      <c r="L28" s="39"/>
    </row>
    <row r="29" spans="1:12" x14ac:dyDescent="0.3">
      <c r="A29" s="22"/>
      <c r="B29" s="22"/>
      <c r="C29" s="39"/>
      <c r="D29" s="39"/>
      <c r="E29" s="22"/>
      <c r="F29" s="16"/>
      <c r="G29" s="17">
        <f t="shared" si="0"/>
        <v>0</v>
      </c>
      <c r="H29" s="39"/>
      <c r="I29" s="39"/>
      <c r="J29" s="39"/>
      <c r="K29" s="39"/>
      <c r="L29" s="39"/>
    </row>
    <row r="31" spans="1:12" x14ac:dyDescent="0.3">
      <c r="D31" s="13" t="s">
        <v>228</v>
      </c>
      <c r="E31" s="13">
        <f>SUM(E15:E30)</f>
        <v>0</v>
      </c>
      <c r="G31" s="20">
        <f>SUM(G15:G30)</f>
        <v>5</v>
      </c>
    </row>
    <row r="40" spans="1:9" x14ac:dyDescent="0.3">
      <c r="A40" s="47" t="s">
        <v>136</v>
      </c>
      <c r="B40" s="48"/>
      <c r="F40" s="49" t="s">
        <v>137</v>
      </c>
      <c r="G40" s="48"/>
      <c r="H40" s="48"/>
      <c r="I40" s="48"/>
    </row>
    <row r="41" spans="1:9" x14ac:dyDescent="0.3">
      <c r="A41" s="50" t="s">
        <v>138</v>
      </c>
      <c r="F41" s="50" t="s">
        <v>138</v>
      </c>
    </row>
    <row r="56" spans="1:1" x14ac:dyDescent="0.3">
      <c r="A56" s="8" t="str">
        <f>HYPERLINK("#'INDICE'!A81","&lt;&lt; Volver al Indice")</f>
        <v>&lt;&lt; Volver al Indice</v>
      </c>
    </row>
  </sheetData>
  <mergeCells count="1">
    <mergeCell ref="A11:L1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M47"/>
  <sheetViews>
    <sheetView workbookViewId="0">
      <selection activeCell="D2" sqref="D2"/>
    </sheetView>
  </sheetViews>
  <sheetFormatPr baseColWidth="10" defaultColWidth="9.109375" defaultRowHeight="15.05" x14ac:dyDescent="0.3"/>
  <cols>
    <col min="1" max="1" width="36.44140625" customWidth="1"/>
    <col min="2" max="2" width="17" customWidth="1"/>
    <col min="3" max="3" width="21.33203125" customWidth="1"/>
    <col min="4" max="6" width="15.6640625" customWidth="1"/>
    <col min="7" max="7" width="24.5546875" customWidth="1"/>
    <col min="8" max="10" width="15.6640625" customWidth="1"/>
    <col min="12" max="12" width="17.33203125" customWidth="1"/>
    <col min="13" max="13" width="11.33203125" customWidth="1"/>
  </cols>
  <sheetData>
    <row r="3" spans="1:13" ht="19.5" customHeight="1" x14ac:dyDescent="0.3">
      <c r="D3" s="93" t="s">
        <v>314</v>
      </c>
      <c r="M3" s="54" t="s">
        <v>20</v>
      </c>
    </row>
    <row r="4" spans="1:13" x14ac:dyDescent="0.3">
      <c r="D4" s="93" t="s">
        <v>315</v>
      </c>
    </row>
    <row r="5" spans="1:13" x14ac:dyDescent="0.3">
      <c r="D5" s="93" t="s">
        <v>316</v>
      </c>
      <c r="L5" s="39" t="s">
        <v>31</v>
      </c>
      <c r="M5" s="39"/>
    </row>
    <row r="6" spans="1:13" x14ac:dyDescent="0.3">
      <c r="D6" s="93" t="s">
        <v>317</v>
      </c>
      <c r="L6" s="39" t="s">
        <v>32</v>
      </c>
      <c r="M6" s="39"/>
    </row>
    <row r="7" spans="1:13" x14ac:dyDescent="0.3">
      <c r="L7" s="39" t="s">
        <v>33</v>
      </c>
      <c r="M7" s="39"/>
    </row>
    <row r="8" spans="1:13" x14ac:dyDescent="0.3">
      <c r="L8" s="39" t="s">
        <v>34</v>
      </c>
      <c r="M8" s="39"/>
    </row>
    <row r="9" spans="1:13" ht="27.85" customHeight="1" x14ac:dyDescent="0.3">
      <c r="A9" s="90" t="s">
        <v>247</v>
      </c>
      <c r="B9" s="67"/>
      <c r="C9" s="67"/>
      <c r="D9" s="67"/>
      <c r="E9" s="67"/>
      <c r="F9" s="67"/>
      <c r="G9" s="67"/>
      <c r="H9" s="67"/>
      <c r="I9" s="67"/>
      <c r="J9" s="67"/>
    </row>
    <row r="10" spans="1:13" x14ac:dyDescent="0.3">
      <c r="A10" s="18" t="s">
        <v>248</v>
      </c>
    </row>
    <row r="12" spans="1:13" ht="29.3" customHeight="1" x14ac:dyDescent="0.3">
      <c r="A12" s="10" t="s">
        <v>249</v>
      </c>
      <c r="B12" s="10" t="s">
        <v>250</v>
      </c>
      <c r="C12" s="10" t="s">
        <v>251</v>
      </c>
      <c r="D12" s="10" t="s">
        <v>252</v>
      </c>
      <c r="E12" s="10" t="s">
        <v>253</v>
      </c>
      <c r="F12" s="10" t="s">
        <v>254</v>
      </c>
      <c r="G12" s="10" t="s">
        <v>255</v>
      </c>
      <c r="H12" s="10" t="s">
        <v>256</v>
      </c>
      <c r="I12" s="10" t="s">
        <v>226</v>
      </c>
      <c r="J12" s="10" t="s">
        <v>227</v>
      </c>
    </row>
    <row r="13" spans="1:13" x14ac:dyDescent="0.3">
      <c r="A13" s="39" t="s">
        <v>257</v>
      </c>
      <c r="B13" s="16"/>
      <c r="C13" s="16"/>
      <c r="D13" s="16"/>
      <c r="E13" s="17">
        <v>100</v>
      </c>
      <c r="F13" s="21">
        <v>0.05</v>
      </c>
      <c r="G13" s="39" t="str">
        <f>IF(E13&gt;0,"Verificar con Capital","N/A")</f>
        <v>Verificar con Capital</v>
      </c>
      <c r="H13" s="39"/>
      <c r="I13" s="39"/>
      <c r="J13" s="39"/>
    </row>
    <row r="14" spans="1:13" x14ac:dyDescent="0.3">
      <c r="A14" s="39" t="s">
        <v>258</v>
      </c>
      <c r="B14" s="16"/>
      <c r="C14" s="16"/>
      <c r="D14" s="16"/>
      <c r="E14" s="17">
        <f t="shared" ref="E14:E19" si="0">B14+C14-D14</f>
        <v>0</v>
      </c>
      <c r="F14" s="21"/>
      <c r="G14" s="39" t="s">
        <v>259</v>
      </c>
      <c r="H14" s="39"/>
      <c r="I14" s="39"/>
      <c r="J14" s="39"/>
    </row>
    <row r="15" spans="1:13" x14ac:dyDescent="0.3">
      <c r="A15" s="39" t="s">
        <v>260</v>
      </c>
      <c r="B15" s="16"/>
      <c r="C15" s="16"/>
      <c r="D15" s="16"/>
      <c r="E15" s="17">
        <f t="shared" si="0"/>
        <v>0</v>
      </c>
      <c r="F15" s="21"/>
      <c r="G15" s="39" t="s">
        <v>259</v>
      </c>
      <c r="H15" s="39"/>
      <c r="I15" s="39"/>
      <c r="J15" s="39"/>
    </row>
    <row r="16" spans="1:13" x14ac:dyDescent="0.3">
      <c r="A16" s="39" t="s">
        <v>261</v>
      </c>
      <c r="B16" s="16"/>
      <c r="C16" s="16"/>
      <c r="D16" s="16"/>
      <c r="E16" s="17">
        <f t="shared" si="0"/>
        <v>0</v>
      </c>
      <c r="F16" s="21"/>
      <c r="G16" s="39" t="s">
        <v>259</v>
      </c>
      <c r="H16" s="39"/>
      <c r="I16" s="39"/>
      <c r="J16" s="39"/>
    </row>
    <row r="17" spans="1:10" x14ac:dyDescent="0.3">
      <c r="A17" s="39" t="s">
        <v>262</v>
      </c>
      <c r="B17" s="16"/>
      <c r="C17" s="16"/>
      <c r="D17" s="16"/>
      <c r="E17" s="17">
        <f t="shared" si="0"/>
        <v>0</v>
      </c>
      <c r="F17" s="21"/>
      <c r="G17" s="39" t="s">
        <v>259</v>
      </c>
      <c r="H17" s="39"/>
      <c r="I17" s="39"/>
      <c r="J17" s="39"/>
    </row>
    <row r="18" spans="1:10" x14ac:dyDescent="0.3">
      <c r="A18" s="39" t="s">
        <v>263</v>
      </c>
      <c r="B18" s="16"/>
      <c r="C18" s="16"/>
      <c r="D18" s="16"/>
      <c r="E18" s="17">
        <f t="shared" si="0"/>
        <v>0</v>
      </c>
      <c r="F18" s="21"/>
      <c r="G18" s="39" t="s">
        <v>259</v>
      </c>
      <c r="H18" s="39"/>
      <c r="I18" s="39"/>
      <c r="J18" s="39"/>
    </row>
    <row r="19" spans="1:10" x14ac:dyDescent="0.3">
      <c r="A19" s="13" t="s">
        <v>264</v>
      </c>
      <c r="B19" s="20">
        <f>SUM(B13:B18)</f>
        <v>0</v>
      </c>
      <c r="C19" s="20">
        <f>SUM(C13:C18)</f>
        <v>0</v>
      </c>
      <c r="D19" s="20">
        <f>SUM(D13:D18)</f>
        <v>0</v>
      </c>
      <c r="E19" s="20">
        <f t="shared" si="0"/>
        <v>0</v>
      </c>
    </row>
    <row r="22" spans="1:10" x14ac:dyDescent="0.3">
      <c r="A22" s="15" t="s">
        <v>265</v>
      </c>
    </row>
    <row r="34" spans="1:9" x14ac:dyDescent="0.3">
      <c r="A34" s="47" t="s">
        <v>136</v>
      </c>
      <c r="B34" s="48"/>
      <c r="F34" s="49" t="s">
        <v>137</v>
      </c>
      <c r="G34" s="48"/>
      <c r="H34" s="48"/>
      <c r="I34" s="48"/>
    </row>
    <row r="35" spans="1:9" x14ac:dyDescent="0.3">
      <c r="A35" s="50" t="s">
        <v>138</v>
      </c>
      <c r="F35" s="50" t="s">
        <v>138</v>
      </c>
    </row>
    <row r="47" spans="1:9" x14ac:dyDescent="0.3">
      <c r="A47" s="8" t="str">
        <f>HYPERLINK("#'INDICE'!A82","&lt;&lt; Volver al Indice")</f>
        <v>&lt;&lt; Volver al Indice</v>
      </c>
    </row>
  </sheetData>
  <mergeCells count="1">
    <mergeCell ref="A9:J9"/>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M42"/>
  <sheetViews>
    <sheetView workbookViewId="0">
      <selection activeCell="E3" sqref="E3:E6"/>
    </sheetView>
  </sheetViews>
  <sheetFormatPr baseColWidth="10" defaultColWidth="9.109375" defaultRowHeight="15.05" x14ac:dyDescent="0.3"/>
  <cols>
    <col min="1" max="1" width="8" customWidth="1"/>
    <col min="2" max="2" width="18.5546875" customWidth="1"/>
    <col min="3" max="3" width="16.5546875" customWidth="1"/>
    <col min="4" max="10" width="15.6640625" customWidth="1"/>
    <col min="12" max="12" width="17.88671875" customWidth="1"/>
    <col min="13" max="13" width="13" customWidth="1"/>
  </cols>
  <sheetData>
    <row r="3" spans="1:13" ht="19.5" customHeight="1" x14ac:dyDescent="0.3">
      <c r="E3" s="93" t="s">
        <v>314</v>
      </c>
      <c r="M3" s="54" t="s">
        <v>22</v>
      </c>
    </row>
    <row r="4" spans="1:13" x14ac:dyDescent="0.3">
      <c r="E4" s="93" t="s">
        <v>315</v>
      </c>
    </row>
    <row r="5" spans="1:13" x14ac:dyDescent="0.3">
      <c r="E5" s="93" t="s">
        <v>316</v>
      </c>
      <c r="L5" s="39" t="s">
        <v>31</v>
      </c>
      <c r="M5" s="39"/>
    </row>
    <row r="6" spans="1:13" x14ac:dyDescent="0.3">
      <c r="E6" s="93" t="s">
        <v>317</v>
      </c>
      <c r="L6" s="39" t="s">
        <v>32</v>
      </c>
      <c r="M6" s="39"/>
    </row>
    <row r="7" spans="1:13" x14ac:dyDescent="0.3">
      <c r="L7" s="39" t="s">
        <v>33</v>
      </c>
      <c r="M7" s="39"/>
    </row>
    <row r="8" spans="1:13" x14ac:dyDescent="0.3">
      <c r="L8" s="39" t="s">
        <v>34</v>
      </c>
      <c r="M8" s="39"/>
    </row>
    <row r="10" spans="1:13" ht="27.85" customHeight="1" x14ac:dyDescent="0.3">
      <c r="A10" s="91" t="s">
        <v>266</v>
      </c>
      <c r="B10" s="67"/>
      <c r="C10" s="67"/>
      <c r="D10" s="67"/>
      <c r="E10" s="67"/>
      <c r="F10" s="67"/>
      <c r="G10" s="67"/>
      <c r="H10" s="67"/>
      <c r="I10" s="67"/>
      <c r="J10" s="67"/>
    </row>
    <row r="11" spans="1:13" x14ac:dyDescent="0.3">
      <c r="A11" s="18" t="s">
        <v>267</v>
      </c>
    </row>
    <row r="13" spans="1:13" ht="29.3" customHeight="1" x14ac:dyDescent="0.3">
      <c r="A13" s="10" t="s">
        <v>268</v>
      </c>
      <c r="B13" s="10" t="s">
        <v>250</v>
      </c>
      <c r="C13" s="10" t="s">
        <v>269</v>
      </c>
      <c r="D13" s="10" t="s">
        <v>270</v>
      </c>
      <c r="E13" s="10" t="s">
        <v>271</v>
      </c>
      <c r="F13" s="10" t="s">
        <v>272</v>
      </c>
      <c r="G13" s="10" t="s">
        <v>253</v>
      </c>
      <c r="H13" s="10" t="s">
        <v>256</v>
      </c>
      <c r="I13" s="10" t="s">
        <v>226</v>
      </c>
      <c r="J13" s="10" t="s">
        <v>227</v>
      </c>
    </row>
    <row r="14" spans="1:13" x14ac:dyDescent="0.3">
      <c r="A14" s="39">
        <v>2020</v>
      </c>
      <c r="B14" s="16"/>
      <c r="C14" s="16"/>
      <c r="D14" s="16"/>
      <c r="E14" s="16"/>
      <c r="F14" s="16"/>
      <c r="G14" s="17">
        <f>B14+C14-D14-E14+F14</f>
        <v>0</v>
      </c>
      <c r="H14" s="39"/>
      <c r="I14" s="39"/>
      <c r="J14" s="39"/>
    </row>
    <row r="15" spans="1:13" x14ac:dyDescent="0.3">
      <c r="A15" s="39">
        <v>2021</v>
      </c>
      <c r="B15" s="16"/>
      <c r="C15" s="16"/>
      <c r="D15" s="16"/>
      <c r="E15" s="16"/>
      <c r="F15" s="16"/>
      <c r="G15" s="17">
        <f>B15+C15-D15-E15+F15</f>
        <v>0</v>
      </c>
      <c r="H15" s="39"/>
      <c r="I15" s="39"/>
      <c r="J15" s="39"/>
    </row>
    <row r="16" spans="1:13" x14ac:dyDescent="0.3">
      <c r="A16" s="39">
        <v>2022</v>
      </c>
      <c r="B16" s="16"/>
      <c r="C16" s="16"/>
      <c r="D16" s="16"/>
      <c r="E16" s="16"/>
      <c r="F16" s="16"/>
      <c r="G16" s="17">
        <f>B16+C16-D16-E16+F16</f>
        <v>0</v>
      </c>
      <c r="H16" s="39"/>
      <c r="I16" s="39"/>
      <c r="J16" s="39"/>
    </row>
    <row r="17" spans="1:10" x14ac:dyDescent="0.3">
      <c r="A17" s="39">
        <v>2023</v>
      </c>
      <c r="B17" s="16"/>
      <c r="C17" s="16"/>
      <c r="D17" s="16"/>
      <c r="E17" s="16"/>
      <c r="F17" s="16"/>
      <c r="G17" s="17">
        <f>B17+C17-D17-E17+F17</f>
        <v>0</v>
      </c>
      <c r="H17" s="39"/>
      <c r="I17" s="39"/>
      <c r="J17" s="39"/>
    </row>
    <row r="18" spans="1:10" x14ac:dyDescent="0.3">
      <c r="A18" s="39">
        <v>2024</v>
      </c>
      <c r="B18" s="16"/>
      <c r="C18" s="16"/>
      <c r="D18" s="16"/>
      <c r="E18" s="16"/>
      <c r="F18" s="16"/>
      <c r="G18" s="17">
        <f>B18+C18-D18-E18+F18</f>
        <v>0</v>
      </c>
      <c r="H18" s="39"/>
      <c r="I18" s="39"/>
      <c r="J18" s="39"/>
    </row>
    <row r="20" spans="1:10" x14ac:dyDescent="0.3">
      <c r="A20" s="13" t="s">
        <v>273</v>
      </c>
      <c r="G20" s="24">
        <f>SUM(G14:G19)</f>
        <v>0</v>
      </c>
    </row>
    <row r="30" spans="1:10" x14ac:dyDescent="0.3">
      <c r="A30" s="47" t="s">
        <v>136</v>
      </c>
      <c r="B30" s="48"/>
      <c r="F30" s="49" t="s">
        <v>137</v>
      </c>
      <c r="G30" s="48"/>
      <c r="H30" s="48"/>
      <c r="I30" s="48"/>
    </row>
    <row r="31" spans="1:10" x14ac:dyDescent="0.3">
      <c r="A31" s="50" t="s">
        <v>138</v>
      </c>
      <c r="F31" s="50" t="s">
        <v>138</v>
      </c>
    </row>
    <row r="42" spans="1:1" x14ac:dyDescent="0.3">
      <c r="A42" s="8" t="str">
        <f>HYPERLINK("#'INDICE'!A83","&lt;&lt; Volver al Indice")</f>
        <v>&lt;&lt; Volver al Indice</v>
      </c>
    </row>
  </sheetData>
  <mergeCells count="1">
    <mergeCell ref="A10:J10"/>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39"/>
  <sheetViews>
    <sheetView workbookViewId="0">
      <selection activeCell="D3" sqref="D3:D6"/>
    </sheetView>
  </sheetViews>
  <sheetFormatPr baseColWidth="10" defaultColWidth="9.109375" defaultRowHeight="15.05" x14ac:dyDescent="0.3"/>
  <cols>
    <col min="1" max="1" width="13.6640625" customWidth="1"/>
    <col min="2" max="2" width="21.6640625" customWidth="1"/>
    <col min="3" max="3" width="26.109375" customWidth="1"/>
    <col min="4" max="10" width="15.6640625" customWidth="1"/>
    <col min="12" max="12" width="16.5546875" customWidth="1"/>
    <col min="13" max="13" width="12.109375" customWidth="1"/>
  </cols>
  <sheetData>
    <row r="1" spans="1:13" ht="24.9" customHeight="1" x14ac:dyDescent="0.3"/>
    <row r="3" spans="1:13" ht="19.5" customHeight="1" x14ac:dyDescent="0.3">
      <c r="D3" s="93" t="s">
        <v>314</v>
      </c>
      <c r="M3" s="54" t="s">
        <v>24</v>
      </c>
    </row>
    <row r="4" spans="1:13" x14ac:dyDescent="0.3">
      <c r="D4" s="93" t="s">
        <v>315</v>
      </c>
    </row>
    <row r="5" spans="1:13" x14ac:dyDescent="0.3">
      <c r="D5" s="93" t="s">
        <v>316</v>
      </c>
      <c r="L5" s="39" t="s">
        <v>31</v>
      </c>
      <c r="M5" s="39"/>
    </row>
    <row r="6" spans="1:13" x14ac:dyDescent="0.3">
      <c r="D6" s="93" t="s">
        <v>317</v>
      </c>
      <c r="L6" s="39" t="s">
        <v>32</v>
      </c>
      <c r="M6" s="39"/>
    </row>
    <row r="7" spans="1:13" x14ac:dyDescent="0.3">
      <c r="L7" s="39" t="s">
        <v>33</v>
      </c>
      <c r="M7" s="39"/>
    </row>
    <row r="8" spans="1:13" x14ac:dyDescent="0.3">
      <c r="L8" s="39" t="s">
        <v>34</v>
      </c>
      <c r="M8" s="39"/>
    </row>
    <row r="10" spans="1:13" ht="27" customHeight="1" x14ac:dyDescent="0.3">
      <c r="A10" s="92" t="s">
        <v>274</v>
      </c>
      <c r="B10" s="67"/>
      <c r="C10" s="67"/>
      <c r="D10" s="67"/>
      <c r="E10" s="67"/>
      <c r="F10" s="67"/>
      <c r="G10" s="67"/>
      <c r="H10" s="67"/>
      <c r="I10" s="67"/>
      <c r="J10" s="67"/>
    </row>
    <row r="14" spans="1:13" ht="25.55" customHeight="1" x14ac:dyDescent="0.3">
      <c r="A14" s="56" t="s">
        <v>275</v>
      </c>
      <c r="B14" s="40" t="s">
        <v>276</v>
      </c>
      <c r="C14" s="40" t="s">
        <v>277</v>
      </c>
      <c r="D14" s="40" t="s">
        <v>278</v>
      </c>
      <c r="E14" s="40" t="s">
        <v>279</v>
      </c>
      <c r="F14" s="40" t="s">
        <v>280</v>
      </c>
      <c r="G14" s="40" t="s">
        <v>281</v>
      </c>
      <c r="H14" s="40" t="s">
        <v>282</v>
      </c>
      <c r="I14" s="40" t="s">
        <v>283</v>
      </c>
      <c r="J14" s="40" t="s">
        <v>213</v>
      </c>
    </row>
    <row r="15" spans="1:13" x14ac:dyDescent="0.3">
      <c r="A15" s="57">
        <v>2020</v>
      </c>
      <c r="B15" s="55"/>
      <c r="C15" s="42"/>
      <c r="D15" s="42"/>
      <c r="E15" s="42"/>
      <c r="F15" s="42"/>
      <c r="G15" s="43">
        <f>B15-C15-D15-E15-F15</f>
        <v>0</v>
      </c>
      <c r="H15" s="51"/>
      <c r="I15" s="51"/>
      <c r="J15" s="51"/>
    </row>
    <row r="16" spans="1:13" x14ac:dyDescent="0.3">
      <c r="A16" s="57">
        <v>2021</v>
      </c>
      <c r="B16" s="55"/>
      <c r="C16" s="42"/>
      <c r="D16" s="42"/>
      <c r="E16" s="42"/>
      <c r="F16" s="42"/>
      <c r="G16" s="43">
        <f>B16-C16-D16-E16-F16</f>
        <v>0</v>
      </c>
      <c r="H16" s="51"/>
      <c r="I16" s="51"/>
      <c r="J16" s="51"/>
    </row>
    <row r="17" spans="1:10" x14ac:dyDescent="0.3">
      <c r="A17" s="57">
        <v>2022</v>
      </c>
      <c r="B17" s="55"/>
      <c r="C17" s="42"/>
      <c r="D17" s="42"/>
      <c r="E17" s="42"/>
      <c r="F17" s="42"/>
      <c r="G17" s="43">
        <f>B17-C17-D17-E17-F17</f>
        <v>0</v>
      </c>
      <c r="H17" s="51"/>
      <c r="I17" s="51"/>
      <c r="J17" s="51"/>
    </row>
    <row r="18" spans="1:10" x14ac:dyDescent="0.3">
      <c r="A18" s="57">
        <v>2023</v>
      </c>
      <c r="B18" s="55"/>
      <c r="C18" s="42"/>
      <c r="D18" s="42"/>
      <c r="E18" s="42"/>
      <c r="F18" s="42"/>
      <c r="G18" s="43">
        <f>B18-C18-D18-E18-F18</f>
        <v>0</v>
      </c>
      <c r="H18" s="51"/>
      <c r="I18" s="51"/>
      <c r="J18" s="51"/>
    </row>
    <row r="27" spans="1:10" x14ac:dyDescent="0.3">
      <c r="A27" s="47" t="s">
        <v>136</v>
      </c>
      <c r="B27" s="48"/>
      <c r="F27" s="49" t="s">
        <v>137</v>
      </c>
      <c r="G27" s="48"/>
      <c r="H27" s="48"/>
      <c r="I27" s="48"/>
    </row>
    <row r="28" spans="1:10" x14ac:dyDescent="0.3">
      <c r="A28" s="50" t="s">
        <v>138</v>
      </c>
      <c r="F28" s="50" t="s">
        <v>138</v>
      </c>
    </row>
    <row r="39" spans="1:1" x14ac:dyDescent="0.3">
      <c r="A39" s="8" t="str">
        <f>HYPERLINK("#'INDICE'!A83","&lt;&lt; Volver al Indice")</f>
        <v>&lt;&lt; Volver al Indice</v>
      </c>
    </row>
  </sheetData>
  <mergeCells count="1">
    <mergeCell ref="A10:J10"/>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47"/>
  <sheetViews>
    <sheetView workbookViewId="0">
      <selection activeCell="D3" sqref="D3:D6"/>
    </sheetView>
  </sheetViews>
  <sheetFormatPr baseColWidth="10" defaultColWidth="9.109375" defaultRowHeight="15.05" x14ac:dyDescent="0.3"/>
  <cols>
    <col min="1" max="1" width="32.6640625" customWidth="1"/>
    <col min="2" max="2" width="17.33203125" customWidth="1"/>
    <col min="3" max="3" width="12.109375" customWidth="1"/>
    <col min="4" max="10" width="15.6640625" customWidth="1"/>
    <col min="12" max="12" width="17.44140625" customWidth="1"/>
    <col min="13" max="13" width="13" customWidth="1"/>
  </cols>
  <sheetData>
    <row r="1" spans="1:13" ht="24.9" customHeight="1" x14ac:dyDescent="0.3"/>
    <row r="3" spans="1:13" ht="19.5" customHeight="1" x14ac:dyDescent="0.3">
      <c r="D3" s="93" t="s">
        <v>314</v>
      </c>
      <c r="M3" s="54" t="s">
        <v>26</v>
      </c>
    </row>
    <row r="4" spans="1:13" x14ac:dyDescent="0.3">
      <c r="D4" s="93" t="s">
        <v>315</v>
      </c>
    </row>
    <row r="5" spans="1:13" x14ac:dyDescent="0.3">
      <c r="D5" s="93" t="s">
        <v>316</v>
      </c>
      <c r="L5" s="39" t="s">
        <v>31</v>
      </c>
      <c r="M5" s="39"/>
    </row>
    <row r="6" spans="1:13" x14ac:dyDescent="0.3">
      <c r="D6" s="93" t="s">
        <v>317</v>
      </c>
      <c r="L6" s="39" t="s">
        <v>32</v>
      </c>
      <c r="M6" s="39"/>
    </row>
    <row r="7" spans="1:13" x14ac:dyDescent="0.3">
      <c r="L7" s="39" t="s">
        <v>33</v>
      </c>
      <c r="M7" s="39"/>
    </row>
    <row r="8" spans="1:13" x14ac:dyDescent="0.3">
      <c r="L8" s="39" t="s">
        <v>34</v>
      </c>
      <c r="M8" s="39"/>
    </row>
    <row r="10" spans="1:13" ht="20.95" customHeight="1" x14ac:dyDescent="0.3">
      <c r="A10" s="90" t="s">
        <v>284</v>
      </c>
      <c r="B10" s="67"/>
      <c r="C10" s="67"/>
      <c r="D10" s="67"/>
      <c r="E10" s="67"/>
      <c r="F10" s="67"/>
      <c r="G10" s="67"/>
      <c r="H10" s="67"/>
      <c r="I10" s="67"/>
      <c r="J10" s="67"/>
    </row>
    <row r="11" spans="1:13" x14ac:dyDescent="0.3">
      <c r="A11" s="18" t="s">
        <v>285</v>
      </c>
    </row>
    <row r="13" spans="1:13" ht="29.3" customHeight="1" x14ac:dyDescent="0.3">
      <c r="A13" s="10" t="s">
        <v>286</v>
      </c>
      <c r="B13" s="10" t="s">
        <v>287</v>
      </c>
      <c r="C13" s="10" t="s">
        <v>288</v>
      </c>
      <c r="D13" s="10" t="s">
        <v>243</v>
      </c>
      <c r="E13" s="10" t="s">
        <v>289</v>
      </c>
      <c r="F13" s="10" t="s">
        <v>290</v>
      </c>
      <c r="G13" s="10" t="s">
        <v>142</v>
      </c>
      <c r="H13" s="10" t="s">
        <v>291</v>
      </c>
      <c r="I13" s="10" t="s">
        <v>226</v>
      </c>
      <c r="J13" s="10" t="s">
        <v>227</v>
      </c>
    </row>
    <row r="14" spans="1:13" x14ac:dyDescent="0.3">
      <c r="A14" s="13" t="s">
        <v>292</v>
      </c>
      <c r="B14" s="25"/>
    </row>
    <row r="16" spans="1:13" x14ac:dyDescent="0.3">
      <c r="A16" s="39" t="s">
        <v>293</v>
      </c>
      <c r="B16" s="16">
        <v>1000</v>
      </c>
      <c r="C16" s="19">
        <v>0.05</v>
      </c>
      <c r="D16" s="39"/>
      <c r="E16" s="39"/>
      <c r="F16" s="39"/>
      <c r="G16" s="39"/>
      <c r="H16" s="39"/>
      <c r="I16" s="39"/>
      <c r="J16" s="39"/>
    </row>
    <row r="17" spans="1:10" x14ac:dyDescent="0.3">
      <c r="A17" s="39" t="s">
        <v>263</v>
      </c>
      <c r="B17" s="16"/>
      <c r="C17" s="19">
        <f>IF($B$14=0,0,B17/$B$14)</f>
        <v>0</v>
      </c>
      <c r="D17" s="39"/>
      <c r="E17" s="39"/>
      <c r="F17" s="39"/>
      <c r="G17" s="39"/>
      <c r="H17" s="39"/>
      <c r="I17" s="39"/>
      <c r="J17" s="39"/>
    </row>
    <row r="18" spans="1:10" x14ac:dyDescent="0.3">
      <c r="A18" s="39" t="s">
        <v>294</v>
      </c>
      <c r="B18" s="16"/>
      <c r="C18" s="19">
        <f>IF($B$14=0,0,B18/$B$14)</f>
        <v>0</v>
      </c>
      <c r="D18" s="39"/>
      <c r="E18" s="39"/>
      <c r="F18" s="39"/>
      <c r="G18" s="39"/>
      <c r="H18" s="39"/>
      <c r="I18" s="39"/>
      <c r="J18" s="39"/>
    </row>
    <row r="19" spans="1:10" x14ac:dyDescent="0.3">
      <c r="A19" s="39" t="s">
        <v>295</v>
      </c>
      <c r="B19" s="16"/>
      <c r="C19" s="19">
        <f>IF($B$14=0,0,B19/$B$14)</f>
        <v>0</v>
      </c>
      <c r="D19" s="39"/>
      <c r="E19" s="39"/>
      <c r="F19" s="39"/>
      <c r="G19" s="39"/>
      <c r="H19" s="39"/>
      <c r="I19" s="39"/>
      <c r="J19" s="39"/>
    </row>
    <row r="20" spans="1:10" x14ac:dyDescent="0.3">
      <c r="A20" s="13" t="s">
        <v>296</v>
      </c>
      <c r="B20" s="20">
        <f>SUM(B16:B19)</f>
        <v>1000</v>
      </c>
      <c r="C20" s="23">
        <f>IF($B$14=0,0,B20/$B$14)</f>
        <v>0</v>
      </c>
    </row>
    <row r="22" spans="1:10" x14ac:dyDescent="0.3">
      <c r="A22" t="s">
        <v>297</v>
      </c>
      <c r="B22" s="26">
        <f>B14-B20</f>
        <v>-1000</v>
      </c>
    </row>
    <row r="31" spans="1:10" x14ac:dyDescent="0.3">
      <c r="A31" s="47" t="s">
        <v>136</v>
      </c>
      <c r="B31" s="48"/>
      <c r="F31" s="49" t="s">
        <v>137</v>
      </c>
      <c r="G31" s="48"/>
      <c r="H31" s="48"/>
      <c r="I31" s="48"/>
    </row>
    <row r="32" spans="1:10" x14ac:dyDescent="0.3">
      <c r="A32" s="50" t="s">
        <v>138</v>
      </c>
      <c r="F32" s="50" t="s">
        <v>138</v>
      </c>
    </row>
    <row r="47" spans="1:1" x14ac:dyDescent="0.3">
      <c r="A47" s="8" t="str">
        <f>HYPERLINK("#'INDICE'!A85","&lt;&lt; Volver al Indice")</f>
        <v>&lt;&lt; Volver al Indice</v>
      </c>
    </row>
  </sheetData>
  <mergeCells count="1">
    <mergeCell ref="A10:J10"/>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4:M48"/>
  <sheetViews>
    <sheetView topLeftCell="B1" workbookViewId="0">
      <selection activeCell="E4" sqref="E4"/>
    </sheetView>
  </sheetViews>
  <sheetFormatPr baseColWidth="10" defaultColWidth="9.109375" defaultRowHeight="15.05" x14ac:dyDescent="0.3"/>
  <cols>
    <col min="1" max="1" width="42.6640625" customWidth="1"/>
    <col min="2" max="2" width="18.6640625" customWidth="1"/>
    <col min="3" max="3" width="24.88671875" customWidth="1"/>
    <col min="4" max="10" width="15.6640625" customWidth="1"/>
    <col min="12" max="12" width="17" customWidth="1"/>
    <col min="13" max="13" width="10.44140625" customWidth="1"/>
  </cols>
  <sheetData>
    <row r="4" spans="1:13" ht="19.5" customHeight="1" x14ac:dyDescent="0.3">
      <c r="D4" s="93" t="s">
        <v>314</v>
      </c>
      <c r="M4" s="54" t="s">
        <v>28</v>
      </c>
    </row>
    <row r="5" spans="1:13" x14ac:dyDescent="0.3">
      <c r="D5" s="93" t="s">
        <v>315</v>
      </c>
    </row>
    <row r="6" spans="1:13" x14ac:dyDescent="0.3">
      <c r="D6" s="93" t="s">
        <v>316</v>
      </c>
      <c r="L6" s="39" t="s">
        <v>31</v>
      </c>
      <c r="M6" s="39"/>
    </row>
    <row r="7" spans="1:13" x14ac:dyDescent="0.3">
      <c r="D7" s="93" t="s">
        <v>317</v>
      </c>
      <c r="L7" s="39" t="s">
        <v>32</v>
      </c>
      <c r="M7" s="39"/>
    </row>
    <row r="8" spans="1:13" x14ac:dyDescent="0.3">
      <c r="L8" s="39" t="s">
        <v>33</v>
      </c>
      <c r="M8" s="39"/>
    </row>
    <row r="9" spans="1:13" ht="21.8" customHeight="1" x14ac:dyDescent="0.3">
      <c r="A9" s="90" t="s">
        <v>298</v>
      </c>
      <c r="B9" s="67"/>
      <c r="C9" s="67"/>
      <c r="D9" s="67"/>
      <c r="E9" s="67"/>
      <c r="F9" s="67"/>
      <c r="G9" s="67"/>
      <c r="H9" s="67"/>
      <c r="I9" s="67"/>
      <c r="J9" s="67"/>
      <c r="L9" s="39" t="s">
        <v>34</v>
      </c>
      <c r="M9" s="39"/>
    </row>
    <row r="10" spans="1:13" x14ac:dyDescent="0.3">
      <c r="A10" s="18" t="s">
        <v>299</v>
      </c>
    </row>
    <row r="12" spans="1:13" x14ac:dyDescent="0.3">
      <c r="A12" s="10" t="s">
        <v>300</v>
      </c>
      <c r="B12" s="10" t="s">
        <v>250</v>
      </c>
      <c r="C12" s="10" t="s">
        <v>301</v>
      </c>
      <c r="D12" s="10" t="s">
        <v>302</v>
      </c>
      <c r="E12" s="10" t="s">
        <v>253</v>
      </c>
      <c r="F12" s="10" t="s">
        <v>303</v>
      </c>
      <c r="G12" s="10" t="s">
        <v>304</v>
      </c>
      <c r="H12" s="10" t="s">
        <v>305</v>
      </c>
      <c r="I12" s="10" t="s">
        <v>226</v>
      </c>
      <c r="J12" s="10" t="s">
        <v>227</v>
      </c>
    </row>
    <row r="13" spans="1:13" x14ac:dyDescent="0.3">
      <c r="A13" s="39" t="s">
        <v>306</v>
      </c>
      <c r="B13" s="16">
        <v>100</v>
      </c>
      <c r="C13" s="16"/>
      <c r="D13" s="16"/>
      <c r="E13" s="17">
        <f t="shared" ref="E13:E18" si="0">B13+C13-D13</f>
        <v>100</v>
      </c>
      <c r="F13" s="16"/>
      <c r="G13" s="16"/>
      <c r="H13" s="17">
        <f t="shared" ref="H13:H18" si="1">F13-G13</f>
        <v>0</v>
      </c>
      <c r="I13" s="39"/>
      <c r="J13" s="39"/>
    </row>
    <row r="14" spans="1:13" x14ac:dyDescent="0.3">
      <c r="A14" s="39" t="s">
        <v>307</v>
      </c>
      <c r="B14" s="16"/>
      <c r="C14" s="16"/>
      <c r="D14" s="16"/>
      <c r="E14" s="17">
        <f t="shared" si="0"/>
        <v>0</v>
      </c>
      <c r="F14" s="16"/>
      <c r="G14" s="16"/>
      <c r="H14" s="17">
        <f t="shared" si="1"/>
        <v>0</v>
      </c>
      <c r="I14" s="39"/>
      <c r="J14" s="39"/>
    </row>
    <row r="15" spans="1:13" x14ac:dyDescent="0.3">
      <c r="A15" s="39" t="s">
        <v>308</v>
      </c>
      <c r="B15" s="16"/>
      <c r="C15" s="16"/>
      <c r="D15" s="16"/>
      <c r="E15" s="17">
        <f t="shared" si="0"/>
        <v>0</v>
      </c>
      <c r="F15" s="16"/>
      <c r="G15" s="16"/>
      <c r="H15" s="17">
        <f t="shared" si="1"/>
        <v>0</v>
      </c>
      <c r="I15" s="39"/>
      <c r="J15" s="39"/>
    </row>
    <row r="16" spans="1:13" x14ac:dyDescent="0.3">
      <c r="A16" s="39" t="s">
        <v>309</v>
      </c>
      <c r="B16" s="16"/>
      <c r="C16" s="16"/>
      <c r="D16" s="16"/>
      <c r="E16" s="17">
        <f t="shared" si="0"/>
        <v>0</v>
      </c>
      <c r="F16" s="16"/>
      <c r="G16" s="16"/>
      <c r="H16" s="17">
        <f t="shared" si="1"/>
        <v>0</v>
      </c>
      <c r="I16" s="39"/>
      <c r="J16" s="39"/>
    </row>
    <row r="17" spans="1:10" x14ac:dyDescent="0.3">
      <c r="A17" s="39" t="s">
        <v>310</v>
      </c>
      <c r="B17" s="16"/>
      <c r="C17" s="16"/>
      <c r="D17" s="16"/>
      <c r="E17" s="17">
        <f t="shared" si="0"/>
        <v>0</v>
      </c>
      <c r="F17" s="16"/>
      <c r="G17" s="16"/>
      <c r="H17" s="17">
        <f t="shared" si="1"/>
        <v>0</v>
      </c>
      <c r="I17" s="39"/>
      <c r="J17" s="39"/>
    </row>
    <row r="18" spans="1:10" x14ac:dyDescent="0.3">
      <c r="A18" s="39" t="s">
        <v>311</v>
      </c>
      <c r="B18" s="16"/>
      <c r="C18" s="16"/>
      <c r="D18" s="16"/>
      <c r="E18" s="17">
        <f t="shared" si="0"/>
        <v>0</v>
      </c>
      <c r="F18" s="16"/>
      <c r="G18" s="16"/>
      <c r="H18" s="17">
        <f t="shared" si="1"/>
        <v>0</v>
      </c>
      <c r="I18" s="39"/>
      <c r="J18" s="39"/>
    </row>
    <row r="19" spans="1:10" x14ac:dyDescent="0.3">
      <c r="A19" s="13" t="s">
        <v>312</v>
      </c>
      <c r="B19" s="24">
        <f t="shared" ref="B19:H19" si="2">SUM(B13:B18)</f>
        <v>100</v>
      </c>
      <c r="C19" s="24">
        <f t="shared" si="2"/>
        <v>0</v>
      </c>
      <c r="D19" s="24">
        <f t="shared" si="2"/>
        <v>0</v>
      </c>
      <c r="E19" s="24">
        <f t="shared" si="2"/>
        <v>100</v>
      </c>
      <c r="F19" s="24">
        <f t="shared" si="2"/>
        <v>0</v>
      </c>
      <c r="G19" s="24">
        <f t="shared" si="2"/>
        <v>0</v>
      </c>
      <c r="H19" s="24">
        <f t="shared" si="2"/>
        <v>0</v>
      </c>
    </row>
    <row r="22" spans="1:10" x14ac:dyDescent="0.3">
      <c r="A22" s="27" t="s">
        <v>313</v>
      </c>
    </row>
    <row r="37" spans="1:9" x14ac:dyDescent="0.3">
      <c r="A37" s="47" t="s">
        <v>136</v>
      </c>
      <c r="B37" s="48"/>
      <c r="F37" s="49" t="s">
        <v>137</v>
      </c>
      <c r="G37" s="48"/>
      <c r="H37" s="48"/>
      <c r="I37" s="48"/>
    </row>
    <row r="38" spans="1:9" x14ac:dyDescent="0.3">
      <c r="A38" s="50" t="s">
        <v>138</v>
      </c>
      <c r="F38" s="50" t="s">
        <v>138</v>
      </c>
    </row>
    <row r="48" spans="1:9" x14ac:dyDescent="0.3">
      <c r="A48" s="8" t="str">
        <f>HYPERLINK("#'INDICE'!A86","&lt;&lt; Volver al Indice")</f>
        <v>&lt;&lt; Volver al Indice</v>
      </c>
    </row>
  </sheetData>
  <mergeCells count="1">
    <mergeCell ref="A9:J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INDICE</vt:lpstr>
      <vt:lpstr>Programa</vt:lpstr>
      <vt:lpstr>G</vt:lpstr>
      <vt:lpstr>G-SUM</vt:lpstr>
      <vt:lpstr>G-1</vt:lpstr>
      <vt:lpstr>G-1.1</vt:lpstr>
      <vt:lpstr>G-1.2</vt:lpstr>
      <vt:lpstr>G-2</vt:lpstr>
      <vt:lpstr>G-3</vt:lpstr>
      <vt:lpstr>G-4</vt:lpstr>
      <vt:lpstr>G-5</vt:lpstr>
      <vt:lpstr>G-6</vt:lpstr>
      <vt:lpstr>G-7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Ángel</cp:lastModifiedBy>
  <dcterms:created xsi:type="dcterms:W3CDTF">2025-10-31T02:12:57Z</dcterms:created>
  <dcterms:modified xsi:type="dcterms:W3CDTF">2025-12-08T04:02:35Z</dcterms:modified>
</cp:coreProperties>
</file>