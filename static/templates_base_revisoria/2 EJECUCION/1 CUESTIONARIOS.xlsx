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2 EJECUCION\"/>
    </mc:Choice>
  </mc:AlternateContent>
  <xr:revisionPtr revIDLastSave="0" documentId="13_ncr:1_{5B71FE64-BBFB-4087-974E-8D677FA1D07D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ÍNDICE" sheetId="1" r:id="rId1"/>
    <sheet name="K-1" sheetId="2" r:id="rId2"/>
    <sheet name="K-2" sheetId="3" r:id="rId3"/>
    <sheet name="K-3" sheetId="4" r:id="rId4"/>
    <sheet name="K-4" sheetId="5" r:id="rId5"/>
    <sheet name="K-5" sheetId="6" r:id="rId6"/>
    <sheet name="K-6" sheetId="7" r:id="rId7"/>
    <sheet name="K-7" sheetId="8" r:id="rId8"/>
    <sheet name="K-7.1" sheetId="9" r:id="rId9"/>
    <sheet name="K-7.2" sheetId="10" r:id="rId10"/>
    <sheet name="K-7.3" sheetId="11" r:id="rId11"/>
    <sheet name="K-8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2" l="1"/>
  <c r="F22" i="12"/>
  <c r="F21" i="12"/>
  <c r="F20" i="12"/>
  <c r="F19" i="12"/>
  <c r="F18" i="12"/>
  <c r="F17" i="12"/>
  <c r="F16" i="12"/>
  <c r="F15" i="12"/>
  <c r="F14" i="12"/>
  <c r="B26" i="12" s="1"/>
  <c r="F25" i="10"/>
  <c r="F24" i="10"/>
  <c r="F23" i="10"/>
  <c r="F22" i="10"/>
  <c r="F21" i="10"/>
  <c r="F20" i="10"/>
  <c r="F19" i="10"/>
  <c r="F18" i="10"/>
  <c r="F17" i="10"/>
  <c r="F16" i="10"/>
  <c r="F15" i="10"/>
  <c r="F14" i="10"/>
  <c r="F39" i="8"/>
  <c r="F38" i="8"/>
  <c r="F37" i="8"/>
  <c r="F35" i="8"/>
  <c r="F34" i="8"/>
  <c r="F33" i="8"/>
  <c r="F32" i="8"/>
  <c r="F30" i="8"/>
  <c r="F29" i="8"/>
  <c r="F28" i="8"/>
  <c r="F27" i="8"/>
  <c r="F25" i="8"/>
  <c r="F24" i="8"/>
  <c r="F23" i="8"/>
  <c r="F22" i="8"/>
  <c r="F21" i="8"/>
  <c r="F19" i="8"/>
  <c r="F18" i="8"/>
  <c r="F17" i="8"/>
  <c r="F16" i="8"/>
  <c r="F15" i="8"/>
  <c r="G37" i="4"/>
  <c r="J37" i="4" s="1"/>
  <c r="G36" i="4"/>
  <c r="J36" i="4" s="1"/>
  <c r="G35" i="4"/>
  <c r="J35" i="4" s="1"/>
  <c r="G34" i="4"/>
  <c r="J34" i="4" s="1"/>
  <c r="G33" i="4"/>
  <c r="J33" i="4" s="1"/>
  <c r="G32" i="4"/>
  <c r="J32" i="4" s="1"/>
  <c r="G31" i="4"/>
  <c r="J31" i="4" s="1"/>
  <c r="G30" i="4"/>
  <c r="J30" i="4" s="1"/>
  <c r="G29" i="4"/>
  <c r="J29" i="4" s="1"/>
  <c r="G28" i="4"/>
  <c r="J28" i="4" s="1"/>
  <c r="G27" i="4"/>
  <c r="J27" i="4" s="1"/>
  <c r="G26" i="4"/>
  <c r="J26" i="4" s="1"/>
  <c r="G25" i="4"/>
  <c r="J25" i="4" s="1"/>
  <c r="G24" i="4"/>
  <c r="J24" i="4" s="1"/>
  <c r="G23" i="4"/>
  <c r="J23" i="4" s="1"/>
  <c r="G22" i="4"/>
  <c r="J22" i="4" s="1"/>
  <c r="G21" i="4"/>
  <c r="J21" i="4" s="1"/>
  <c r="G20" i="4"/>
  <c r="J20" i="4" s="1"/>
  <c r="J19" i="4"/>
  <c r="G19" i="4"/>
  <c r="G18" i="4"/>
  <c r="J18" i="4" s="1"/>
  <c r="J17" i="4"/>
  <c r="G17" i="4"/>
  <c r="G16" i="4"/>
  <c r="J16" i="4" s="1"/>
  <c r="G15" i="4"/>
  <c r="J15" i="4" s="1"/>
  <c r="G14" i="4"/>
  <c r="J14" i="4" s="1"/>
  <c r="G13" i="4"/>
  <c r="J13" i="4" s="1"/>
  <c r="B46" i="3"/>
  <c r="B45" i="3"/>
  <c r="B47" i="3" s="1"/>
  <c r="F45" i="2"/>
  <c r="F44" i="2"/>
  <c r="F43" i="2"/>
  <c r="F42" i="2"/>
  <c r="F40" i="2"/>
  <c r="F39" i="2"/>
  <c r="F38" i="2"/>
  <c r="F37" i="2"/>
  <c r="F35" i="2"/>
  <c r="F34" i="2"/>
  <c r="F33" i="2"/>
  <c r="F32" i="2"/>
  <c r="F31" i="2"/>
  <c r="F30" i="2"/>
  <c r="F28" i="2"/>
  <c r="F27" i="2"/>
  <c r="F26" i="2"/>
  <c r="F25" i="2"/>
  <c r="F24" i="2"/>
  <c r="F22" i="2"/>
  <c r="F21" i="2"/>
  <c r="F20" i="2"/>
  <c r="F19" i="2"/>
  <c r="F18" i="2"/>
  <c r="F17" i="2"/>
  <c r="B42" i="8" l="1"/>
  <c r="B28" i="10"/>
  <c r="B27" i="12"/>
  <c r="B49" i="2"/>
  <c r="B43" i="8"/>
  <c r="B48" i="2"/>
  <c r="B50" i="2" l="1"/>
  <c r="B51" i="2" s="1"/>
</calcChain>
</file>

<file path=xl/sharedStrings.xml><?xml version="1.0" encoding="utf-8"?>
<sst xmlns="http://schemas.openxmlformats.org/spreadsheetml/2006/main" count="563" uniqueCount="353">
  <si>
    <t>SISTEMA DE CONTROL INTERNO - REVISORÍA FISCAL</t>
  </si>
  <si>
    <t>Archivo Automatizado con Validaciones y Fórmulas</t>
  </si>
  <si>
    <t>Estado</t>
  </si>
  <si>
    <t>Tipo</t>
  </si>
  <si>
    <t>K-1</t>
  </si>
  <si>
    <t>Cuestionario</t>
  </si>
  <si>
    <t>K-2</t>
  </si>
  <si>
    <t>Evaluación</t>
  </si>
  <si>
    <t>K-3</t>
  </si>
  <si>
    <t>Matriz</t>
  </si>
  <si>
    <t>K-4</t>
  </si>
  <si>
    <t>Documentación</t>
  </si>
  <si>
    <t>K-5</t>
  </si>
  <si>
    <t>Pruebas</t>
  </si>
  <si>
    <t>K-6</t>
  </si>
  <si>
    <t>Registro</t>
  </si>
  <si>
    <t>K-7</t>
  </si>
  <si>
    <t>K-7.1</t>
  </si>
  <si>
    <t>Verificación</t>
  </si>
  <si>
    <t>K-7.2</t>
  </si>
  <si>
    <t>K-7.3</t>
  </si>
  <si>
    <t>Monitoreo</t>
  </si>
  <si>
    <t>K-8</t>
  </si>
  <si>
    <t>Evaluación general del sistema de control interno basado en COSO</t>
  </si>
  <si>
    <t>No.</t>
  </si>
  <si>
    <t>Pregunta</t>
  </si>
  <si>
    <t>Sí</t>
  </si>
  <si>
    <t>No</t>
  </si>
  <si>
    <t>N/A</t>
  </si>
  <si>
    <t>Puntos</t>
  </si>
  <si>
    <t>Observaciones</t>
  </si>
  <si>
    <t>1. AMBIENTE DE CONTROL</t>
  </si>
  <si>
    <t>1.1</t>
  </si>
  <si>
    <t>¿Existe un código de ética formalizado y comunicado?</t>
  </si>
  <si>
    <t>1.2</t>
  </si>
  <si>
    <t>¿La estructura organizacional está claramente definida?</t>
  </si>
  <si>
    <t>1.3</t>
  </si>
  <si>
    <t>¿Se han establecido políticas de recursos humanos?</t>
  </si>
  <si>
    <t>1.4</t>
  </si>
  <si>
    <t>¿Existe un comité de auditoría funcional?</t>
  </si>
  <si>
    <t>1.5</t>
  </si>
  <si>
    <t>¿Se promueve la integridad y valores éticos?</t>
  </si>
  <si>
    <t>1.6</t>
  </si>
  <si>
    <t>¿La alta dirección demuestra compromiso con el control?</t>
  </si>
  <si>
    <t>2. EVALUACIÓN DE RIESGOS</t>
  </si>
  <si>
    <t>2.1</t>
  </si>
  <si>
    <t>¿Se ha realizado evaluación de riesgos actualizada?</t>
  </si>
  <si>
    <t>2.2</t>
  </si>
  <si>
    <t>¿Existe matriz de riesgos documentada?</t>
  </si>
  <si>
    <t>2.3</t>
  </si>
  <si>
    <t>¿Se identifican y evalúan riesgos de fraude?</t>
  </si>
  <si>
    <t>2.4</t>
  </si>
  <si>
    <t>¿Se monitorean los riesgos continuamente?</t>
  </si>
  <si>
    <t>2.5</t>
  </si>
  <si>
    <t>¿Se consideran cambios en el entorno?</t>
  </si>
  <si>
    <t>3. ACTIVIDADES DE CONTROL</t>
  </si>
  <si>
    <t>3.1</t>
  </si>
  <si>
    <t>¿Existe segregación de funciones adecuada?</t>
  </si>
  <si>
    <t>3.2</t>
  </si>
  <si>
    <t>¿Se realizan autorizaciones apropiadas?</t>
  </si>
  <si>
    <t>3.3</t>
  </si>
  <si>
    <t>¿Existen controles sobre sistemas de información?</t>
  </si>
  <si>
    <t>3.4</t>
  </si>
  <si>
    <t>¿Se realizan conciliaciones periódicas?</t>
  </si>
  <si>
    <t>3.5</t>
  </si>
  <si>
    <t>¿Se documentan los procedimientos?</t>
  </si>
  <si>
    <t>3.6</t>
  </si>
  <si>
    <t>¿Existen controles físicos sobre activos?</t>
  </si>
  <si>
    <t>4. INFORMACIÓN Y COMUNICACIÓN</t>
  </si>
  <si>
    <t>4.1</t>
  </si>
  <si>
    <t>¿La información financiera es oportuna y confiable?</t>
  </si>
  <si>
    <t>4.2</t>
  </si>
  <si>
    <t>¿Existen canales de comunicación efectivos?</t>
  </si>
  <si>
    <t>4.3</t>
  </si>
  <si>
    <t>¿Se documenta la información relevante?</t>
  </si>
  <si>
    <t>4.4</t>
  </si>
  <si>
    <t>¿La comunicación externa es apropiada?</t>
  </si>
  <si>
    <t>5. MONITOREO Y SUPERVISIÓN</t>
  </si>
  <si>
    <t>5.1</t>
  </si>
  <si>
    <t>¿Se realizan evaluaciones periódicas del control?</t>
  </si>
  <si>
    <t>5.2</t>
  </si>
  <si>
    <t>¿Se documentan y comunican deficiencias?</t>
  </si>
  <si>
    <t>5.3</t>
  </si>
  <si>
    <t>¿Existe seguimiento a recomendaciones?</t>
  </si>
  <si>
    <t>5.4</t>
  </si>
  <si>
    <t>¿La auditoría interna es independiente?</t>
  </si>
  <si>
    <t>RESUMEN DE EVALUACIÓN</t>
  </si>
  <si>
    <t>Total Puntos Obtenidos:</t>
  </si>
  <si>
    <t>Total Puntos Posibles:</t>
  </si>
  <si>
    <t>% de Cumplimiento:</t>
  </si>
  <si>
    <t>Calificación:</t>
  </si>
  <si>
    <t>K-2 - EVALUACIÓN DEL AMBIENTE DE CONTROL</t>
  </si>
  <si>
    <t>Elemento a Evaluar</t>
  </si>
  <si>
    <t>Cumplimiento</t>
  </si>
  <si>
    <t>Evidencia</t>
  </si>
  <si>
    <t>Responsable</t>
  </si>
  <si>
    <t>INTEGRIDAD Y VALORES ÉTICOS</t>
  </si>
  <si>
    <t>Código de ética documentado y comunicado</t>
  </si>
  <si>
    <t>Políticas de conflicto de intereses establecidas</t>
  </si>
  <si>
    <t>Canal de denuncias confidencial funcional</t>
  </si>
  <si>
    <t>Capacitación en valores éticos documentada</t>
  </si>
  <si>
    <t>Consecuencias por violación al código</t>
  </si>
  <si>
    <t>COMPROMISO CON LA COMPETENCIA</t>
  </si>
  <si>
    <t>Perfiles de cargo claramente definidos</t>
  </si>
  <si>
    <t>Evaluación periódica de competencias</t>
  </si>
  <si>
    <t>Programas de capacitación implementados</t>
  </si>
  <si>
    <t>Plan de sucesión para posiciones clave</t>
  </si>
  <si>
    <t>JUNTA DIRECTIVA Y COMITÉS</t>
  </si>
  <si>
    <t>Independencia de la junta directiva</t>
  </si>
  <si>
    <t>Comité de auditoría establecido y funcional</t>
  </si>
  <si>
    <t>Actas de reuniones documentadas</t>
  </si>
  <si>
    <t>Seguimiento efectivo a decisiones</t>
  </si>
  <si>
    <t>FILOSOFÍA Y ESTILO DE DIRECCIÓN</t>
  </si>
  <si>
    <t>Estilo proactivo de gestión de riesgos</t>
  </si>
  <si>
    <t>Actitud hacia información financiera</t>
  </si>
  <si>
    <t>Relación constructiva con auditores</t>
  </si>
  <si>
    <t>ESTRUCTURA ORGANIZACIONAL</t>
  </si>
  <si>
    <t>Organigrama actualizado y comunicado</t>
  </si>
  <si>
    <t>Líneas de autoridad y responsabilidad claras</t>
  </si>
  <si>
    <t>Segregación de funciones incompatibles</t>
  </si>
  <si>
    <t>Tamaño apropiado de la organización</t>
  </si>
  <si>
    <t>POLÍTICAS DE RECURSOS HUMANOS</t>
  </si>
  <si>
    <t>Proceso de selección estructurado</t>
  </si>
  <si>
    <t>Evaluaciones de desempeño periódicas</t>
  </si>
  <si>
    <t>Política de compensaciones documentada</t>
  </si>
  <si>
    <t>Procedimientos disciplinarios establecidos</t>
  </si>
  <si>
    <t>RESUMEN</t>
  </si>
  <si>
    <t>Total Cumple:</t>
  </si>
  <si>
    <t>Total No Cumple:</t>
  </si>
  <si>
    <t>% Cumplimiento:</t>
  </si>
  <si>
    <t>K-3 - MATRIZ DE RIESGOS Y CONTROLES</t>
  </si>
  <si>
    <t>Identificación, evaluación y tratamiento de riesgos empresariales</t>
  </si>
  <si>
    <t>ID</t>
  </si>
  <si>
    <t>Proceso</t>
  </si>
  <si>
    <t>Riesgo Identificado</t>
  </si>
  <si>
    <t>Prob. (1-5)</t>
  </si>
  <si>
    <t>Impacto (1-5)</t>
  </si>
  <si>
    <t>Nivel</t>
  </si>
  <si>
    <t>Control Existente</t>
  </si>
  <si>
    <t>Efectividad</t>
  </si>
  <si>
    <t>Riesgo Residual</t>
  </si>
  <si>
    <t>R-1</t>
  </si>
  <si>
    <t>R-2</t>
  </si>
  <si>
    <t>R-3</t>
  </si>
  <si>
    <t>R-4</t>
  </si>
  <si>
    <t>R-5</t>
  </si>
  <si>
    <t>R-6</t>
  </si>
  <si>
    <t>R-7</t>
  </si>
  <si>
    <t>R-8</t>
  </si>
  <si>
    <t>R-9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</si>
  <si>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</si>
  <si>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</si>
  <si>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</si>
  <si>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</si>
  <si>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</si>
  <si>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</si>
  <si>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</si>
  <si>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</si>
  <si>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</si>
  <si>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</si>
  <si>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</si>
  <si>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R-21</t>
  </si>
  <si>
    <t>R-22</t>
  </si>
  <si>
    <t>R-23</t>
  </si>
  <si>
    <t>R-24</t>
  </si>
  <si>
    <t>R-25</t>
  </si>
  <si>
    <t>LEYENDA DE INTERPRETACIÓN</t>
  </si>
  <si>
    <t>Nivel de Riesgo</t>
  </si>
  <si>
    <t>Calificación</t>
  </si>
  <si>
    <t>Color</t>
  </si>
  <si>
    <t>1-5</t>
  </si>
  <si>
    <t>BAJO</t>
  </si>
  <si>
    <t>Verde</t>
  </si>
  <si>
    <t>6-12</t>
  </si>
  <si>
    <t>MEDIO</t>
  </si>
  <si>
    <t>Amarillo</t>
  </si>
  <si>
    <t>13-20</t>
  </si>
  <si>
    <t>ALTO</t>
  </si>
  <si>
    <t>Naranja</t>
  </si>
  <si>
    <t>21-25</t>
  </si>
  <si>
    <t>CRÍTICO</t>
  </si>
  <si>
    <t>Rojo</t>
  </si>
  <si>
    <t>Evidencia/Documento</t>
  </si>
  <si>
    <t>Ciclo de ventas y cuentas por cobrar</t>
  </si>
  <si>
    <t>Ciclo de compras y cuentas por pagar</t>
  </si>
  <si>
    <t>Ciclo de nómina y recursos humanos</t>
  </si>
  <si>
    <t>Ciclo de inventarios</t>
  </si>
  <si>
    <t>Ciclo de tesorería y bancos</t>
  </si>
  <si>
    <t>Ciclo de activos fijos</t>
  </si>
  <si>
    <t>Proceso de cierre contable</t>
  </si>
  <si>
    <t>Proceso presupuestal</t>
  </si>
  <si>
    <t>Proceso de tecnología de información</t>
  </si>
  <si>
    <t>Proceso de cumplimiento regulatorio</t>
  </si>
  <si>
    <t>Proceso de gestión de riesgos</t>
  </si>
  <si>
    <t>Proceso de auditoría interna</t>
  </si>
  <si>
    <t>Evidencia del funcionamiento efectivo de los controles implementados</t>
  </si>
  <si>
    <t>Control</t>
  </si>
  <si>
    <t>Objetivo del Control</t>
  </si>
  <si>
    <t>Procedimiento de Prueba</t>
  </si>
  <si>
    <t>Tamaño Muestra</t>
  </si>
  <si>
    <t>Resultado</t>
  </si>
  <si>
    <t>Conclusión</t>
  </si>
  <si>
    <t>Autorización de pagos</t>
  </si>
  <si>
    <t>Conciliaciones bancarias</t>
  </si>
  <si>
    <t>Revisión de facturas</t>
  </si>
  <si>
    <t>Control de inventarios</t>
  </si>
  <si>
    <t>Segregación de funciones</t>
  </si>
  <si>
    <t>Controles de acceso a sistemas</t>
  </si>
  <si>
    <t>Revisión de nómina</t>
  </si>
  <si>
    <t>Autorización de compras</t>
  </si>
  <si>
    <t>Revisión de contratos</t>
  </si>
  <si>
    <t>Aprobación de gastos</t>
  </si>
  <si>
    <t>K-6 - DEFICIENCIAS DE CONTROL INTERNO</t>
  </si>
  <si>
    <t>Registro, seguimiento y gestión de hallazgos y deficiencias identificadas</t>
  </si>
  <si>
    <t>Área/Proceso</t>
  </si>
  <si>
    <t>Deficiencia Identificada</t>
  </si>
  <si>
    <t>Severidad</t>
  </si>
  <si>
    <t>Impacto</t>
  </si>
  <si>
    <t>Recomendación</t>
  </si>
  <si>
    <t>Fecha Límite</t>
  </si>
  <si>
    <t>D-1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</si>
  <si>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</si>
  <si>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</si>
  <si>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</si>
  <si>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</si>
  <si>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</si>
  <si>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</si>
  <si>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</si>
  <si>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</si>
  <si>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</si>
  <si>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</si>
  <si>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</si>
  <si>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</si>
  <si>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</si>
  <si>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</si>
  <si>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</si>
  <si>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</si>
  <si>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</si>
  <si>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D-19</t>
  </si>
  <si>
    <t>D-20</t>
  </si>
  <si>
    <t>K-7 - EVALUACIÓN DEL SISTEMA SAGRILAFT</t>
  </si>
  <si>
    <t>Sistema de Autocontrol y Gestión del Riesgo Integral LA/FT/FPADM</t>
  </si>
  <si>
    <t>Aspecto a Evaluar</t>
  </si>
  <si>
    <t>ELEMENTOS DEL SISTEMA</t>
  </si>
  <si>
    <t>¿Existe oficial de cumplimiento designado?</t>
  </si>
  <si>
    <t>¿Manual SAGRILAFT adoptado y actualizado?</t>
  </si>
  <si>
    <t>¿Política de conocimiento del cliente implementada?</t>
  </si>
  <si>
    <t>¿Se realiza debida diligencia?</t>
  </si>
  <si>
    <t>¿Matriz de riesgo LA/FT actualizada?</t>
  </si>
  <si>
    <t>CONOCIMIENTO DEL CLIENTE (KYC)</t>
  </si>
  <si>
    <t>¿Se recolecta información del cliente?</t>
  </si>
  <si>
    <t>¿Se verifica identidad de clientes?</t>
  </si>
  <si>
    <t>¿Se consultan listas restrictivas?</t>
  </si>
  <si>
    <t>¿Actualización periódica de información?</t>
  </si>
  <si>
    <t>¿Segmentación de clientes por riesgo?</t>
  </si>
  <si>
    <t>SEÑALES DE ALERTA</t>
  </si>
  <si>
    <t>¿Señales de alerta definidas?</t>
  </si>
  <si>
    <t>¿Personal capacitado para identificarlas?</t>
  </si>
  <si>
    <t>¿Procedimiento de reporte establecido?</t>
  </si>
  <si>
    <t>¿Seguimiento a operaciones sospechosas?</t>
  </si>
  <si>
    <t>MONITOREO Y REPORTE</t>
  </si>
  <si>
    <t>¿Se monitorean operaciones inusuales?</t>
  </si>
  <si>
    <t>¿Reportes a UIAF cuando corresponde?</t>
  </si>
  <si>
    <t>¿Registros conservados adecuadamente?</t>
  </si>
  <si>
    <t>¿Sistema de alertas automatizado?</t>
  </si>
  <si>
    <t>CAPACITACIÓN</t>
  </si>
  <si>
    <t>¿Programa de capacitación en LA/FT?</t>
  </si>
  <si>
    <t>¿Inducción para personal nuevo?</t>
  </si>
  <si>
    <t>¿Documentación de capacitaciones?</t>
  </si>
  <si>
    <t>Puntuación Total:</t>
  </si>
  <si>
    <t>K-7.1 - VERIFICACIÓN DE LISTAS RESTRICTIVAS</t>
  </si>
  <si>
    <t>Control de consulta en listas OFAC, ONU, UE y otras listas restrictivas</t>
  </si>
  <si>
    <t>Nombre/Razón Social</t>
  </si>
  <si>
    <t>Identificación</t>
  </si>
  <si>
    <t>Fecha Consulta</t>
  </si>
  <si>
    <t>Lista Consultada</t>
  </si>
  <si>
    <t>K-7.2 - CONOCIMIENTO DEL CLIENTE (KYC)</t>
  </si>
  <si>
    <t>Evaluación de debida diligencia y conocimiento de clientes</t>
  </si>
  <si>
    <t>Aspecto KYC</t>
  </si>
  <si>
    <t>Formulario de vinculación completo</t>
  </si>
  <si>
    <t>Verificación de identidad realizada</t>
  </si>
  <si>
    <t>Documentación soporte completa</t>
  </si>
  <si>
    <t>Consulta en listas restrictivas</t>
  </si>
  <si>
    <t>Verificación de actividad económica</t>
  </si>
  <si>
    <t>Origen de fondos documentado</t>
  </si>
  <si>
    <t>Referencias comerciales verificadas</t>
  </si>
  <si>
    <t>Perfil de riesgo asignado</t>
  </si>
  <si>
    <t>Actualización de información (anual)</t>
  </si>
  <si>
    <t>Autorización tratamiento de datos</t>
  </si>
  <si>
    <t>Declaración PEP (Persona Expuesta Políticamente)</t>
  </si>
  <si>
    <t>Beneficiario final identificado</t>
  </si>
  <si>
    <t>Total Puntos:</t>
  </si>
  <si>
    <t>K-7.3 - MONITOREO DE OPERACIONES LA/FT</t>
  </si>
  <si>
    <t>Seguimiento y análisis de operaciones inusuales o sospechosas</t>
  </si>
  <si>
    <t>Fecha</t>
  </si>
  <si>
    <t>Cliente</t>
  </si>
  <si>
    <t>Operación</t>
  </si>
  <si>
    <t>Monto</t>
  </si>
  <si>
    <t>Alerta Generada</t>
  </si>
  <si>
    <t>Análisis</t>
  </si>
  <si>
    <t>K-8 - EVALUACIÓN DE CUMPLIMIENTO PTEE</t>
  </si>
  <si>
    <t>Programa de Transparencia y Ética Empresarial - Anticorrupción</t>
  </si>
  <si>
    <t>Componente PTEE</t>
  </si>
  <si>
    <t>Política anticorrupción aprobada por alta dirección</t>
  </si>
  <si>
    <t>Código de conducta y ética implementado</t>
  </si>
  <si>
    <t>Análisis de riesgos de corrupción y soborno</t>
  </si>
  <si>
    <t>Controles antisoborno documentados</t>
  </si>
  <si>
    <t>Programa de capacitación en ética</t>
  </si>
  <si>
    <t>Canal de denuncias confidencial</t>
  </si>
  <si>
    <t>Procedimiento de debida diligencia de terceros</t>
  </si>
  <si>
    <t>Registro de regalos y atenciones</t>
  </si>
  <si>
    <t>Controles sobre pagos de facilitación</t>
  </si>
  <si>
    <t>Evaluación periódica del programa</t>
  </si>
  <si>
    <t>Cumple</t>
  </si>
  <si>
    <t>Estratégico</t>
  </si>
  <si>
    <t>Alta</t>
  </si>
  <si>
    <t>Crítica</t>
  </si>
  <si>
    <t>OFAC</t>
  </si>
  <si>
    <t>Sin Coincidencias</t>
  </si>
  <si>
    <t>Montos Inusuales</t>
  </si>
  <si>
    <t>K</t>
  </si>
  <si>
    <t>CONTROL INTERNO Y CUMPLIMIENTO</t>
  </si>
  <si>
    <t>IR A HOJA &gt;&gt;</t>
  </si>
  <si>
    <t>Cuestionario de control interno general</t>
  </si>
  <si>
    <t>Evaluación del ambiente de control</t>
  </si>
  <si>
    <t>Matriz de riesgos y controles</t>
  </si>
  <si>
    <t>Flujogramas de procesos críticos</t>
  </si>
  <si>
    <t>Pruebas de controles</t>
  </si>
  <si>
    <t>Deficiencias de control interno</t>
  </si>
  <si>
    <t>Evaluación del sistema SAGRILAFT</t>
  </si>
  <si>
    <t>Verificación de listas restrictivas</t>
  </si>
  <si>
    <t>Conocimiento del cliente KYC</t>
  </si>
  <si>
    <t>Monitoreo de operaciones inusuales</t>
  </si>
  <si>
    <t>Evaluación de cumplimiento PTEE</t>
  </si>
  <si>
    <t xml:space="preserve">Auditor </t>
  </si>
  <si>
    <t>Fecha Elaboración</t>
  </si>
  <si>
    <t xml:space="preserve">Supervisor </t>
  </si>
  <si>
    <t xml:space="preserve">Fecha Aprobación </t>
  </si>
  <si>
    <t>CUESTIONARIO DE CONTROL INTERNO GENERAL</t>
  </si>
  <si>
    <t>Preparado por: Firma</t>
  </si>
  <si>
    <t xml:space="preserve">Revisado por: </t>
  </si>
  <si>
    <t xml:space="preserve">Nombre </t>
  </si>
  <si>
    <t xml:space="preserve">      Análisis detallado del entorno y cultura de control organizacional</t>
  </si>
  <si>
    <t>Conclusión:</t>
  </si>
  <si>
    <r>
      <t xml:space="preserve">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             K-4 - FLUJOGRAMAS DE PROCESOS CRÍTICOS</t>
    </r>
  </si>
  <si>
    <t xml:space="preserve">                                                                                                                                         Documentación y mapeo de procesos clave de la organización</t>
  </si>
  <si>
    <t xml:space="preserve">  K-4 </t>
  </si>
  <si>
    <t xml:space="preserve">          K-5 - PRUEBAS DE CONTROLES</t>
  </si>
  <si>
    <t>Satisfactorio</t>
  </si>
  <si>
    <t>Entidad XXXXXXX</t>
  </si>
  <si>
    <t>Revisoría Fiscal</t>
  </si>
  <si>
    <t>Del 01 de Enero al 31 de Diciembre de 2024</t>
  </si>
  <si>
    <t>Cifras expresadas en [MONEDA]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</si>
</sst>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name val="Calibri"/>
    </font>
    <font>
      <b/>
      <sz val="12"/>
      <color rgb="FFFFFFFF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F4E78"/>
      <name val="Calibri"/>
    </font>
    <font>
      <b/>
      <sz val="12"/>
      <color rgb="FF1F4E78"/>
      <name val="Calibri"/>
    </font>
    <font>
      <b/>
      <sz val="11"/>
      <name val="Calibri"/>
    </font>
    <font>
      <b/>
      <sz val="13"/>
      <color rgb="FFC00000"/>
      <name val="Calibri"/>
    </font>
    <font>
      <b/>
      <sz val="11"/>
      <color rgb="FF00B050"/>
      <name val="Calibri"/>
    </font>
    <font>
      <b/>
      <sz val="11"/>
      <color rgb="FFC00000"/>
      <name val="Calibri"/>
    </font>
    <font>
      <u/>
      <sz val="11"/>
      <color rgb="FF0563C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b/>
      <sz val="15"/>
      <color rgb="FFC00000"/>
      <name val="Arial"/>
      <family val="2"/>
    </font>
    <font>
      <sz val="10"/>
      <name val="Calibri"/>
      <family val="2"/>
    </font>
    <font>
      <sz val="9"/>
      <name val="Calibri"/>
      <family val="2"/>
    </font>
    <font>
      <b/>
      <u/>
      <sz val="11"/>
      <color rgb="FF0563C1"/>
      <name val="Arial"/>
      <family val="2"/>
    </font>
    <font>
      <b/>
      <sz val="14"/>
      <color rgb="FF1F4E78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B7DEE8"/>
        <bgColor rgb="FFB7DEE8"/>
      </patternFill>
    </fill>
    <fill>
      <patternFill patternType="solid">
        <fgColor theme="0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8" fillId="0" borderId="0" xfId="0" applyNumberFormat="1" applyFont="1"/>
    <xf numFmtId="1" fontId="9" fillId="0" borderId="0" xfId="0" applyNumberFormat="1" applyFont="1"/>
    <xf numFmtId="164" fontId="8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" fontId="7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8" fillId="0" borderId="0" xfId="0" applyFont="1"/>
    <xf numFmtId="0" fontId="0" fillId="0" borderId="1" xfId="0" applyBorder="1" applyAlignment="1">
      <alignment horizontal="right" vertical="center"/>
    </xf>
    <xf numFmtId="0" fontId="6" fillId="4" borderId="0" xfId="0" applyFont="1" applyFill="1" applyAlignment="1">
      <alignment horizontal="left" vertical="center" wrapText="1"/>
    </xf>
    <xf numFmtId="0" fontId="4" fillId="0" borderId="0" xfId="0" applyFont="1"/>
    <xf numFmtId="0" fontId="6" fillId="4" borderId="0" xfId="0" applyFont="1" applyFill="1"/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6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17" fillId="0" borderId="0" xfId="0" applyFont="1"/>
    <xf numFmtId="0" fontId="0" fillId="0" borderId="2" xfId="0" applyBorder="1"/>
    <xf numFmtId="0" fontId="18" fillId="0" borderId="0" xfId="0" applyFont="1"/>
    <xf numFmtId="0" fontId="19" fillId="0" borderId="0" xfId="0" applyFont="1"/>
    <xf numFmtId="0" fontId="17" fillId="0" borderId="2" xfId="0" applyFont="1" applyBorder="1"/>
    <xf numFmtId="0" fontId="20" fillId="0" borderId="0" xfId="0" applyFont="1"/>
    <xf numFmtId="0" fontId="21" fillId="0" borderId="0" xfId="0" applyFont="1"/>
    <xf numFmtId="0" fontId="15" fillId="0" borderId="0" xfId="0" applyFont="1"/>
    <xf numFmtId="0" fontId="0" fillId="0" borderId="0" xfId="0" applyAlignment="1">
      <alignment horizontal="right"/>
    </xf>
    <xf numFmtId="0" fontId="22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6" fillId="4" borderId="0" xfId="0" applyFont="1" applyFill="1"/>
    <xf numFmtId="0" fontId="6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H17" sqref="H17"/>
    </sheetView>
  </sheetViews>
  <sheetFormatPr baseColWidth="10" defaultColWidth="9.109375" defaultRowHeight="15.05" x14ac:dyDescent="0.3"/>
  <cols>
    <col min="1" max="1" width="10" customWidth="1"/>
    <col min="2" max="2" width="50" customWidth="1"/>
    <col min="3" max="3" width="15" customWidth="1"/>
    <col min="4" max="4" width="20" customWidth="1"/>
  </cols>
  <sheetData>
    <row r="1" spans="1:4" x14ac:dyDescent="0.3">
      <c r="A1" s="39" t="s">
        <v>0</v>
      </c>
      <c r="B1" s="40"/>
      <c r="C1" s="40"/>
      <c r="D1" s="40"/>
    </row>
    <row r="2" spans="1:4" x14ac:dyDescent="0.3">
      <c r="A2" s="41" t="s">
        <v>1</v>
      </c>
      <c r="B2" s="40"/>
      <c r="C2" s="40"/>
      <c r="D2" s="40"/>
    </row>
    <row r="4" spans="1:4" ht="15.75" x14ac:dyDescent="0.3">
      <c r="A4" s="19" t="s">
        <v>320</v>
      </c>
      <c r="B4" s="20" t="s">
        <v>321</v>
      </c>
      <c r="C4" s="21" t="s">
        <v>322</v>
      </c>
      <c r="D4" s="1" t="s">
        <v>3</v>
      </c>
    </row>
    <row r="5" spans="1:4" x14ac:dyDescent="0.3">
      <c r="A5" s="22" t="s">
        <v>4</v>
      </c>
      <c r="B5" s="23" t="s">
        <v>323</v>
      </c>
      <c r="C5" s="21" t="s">
        <v>322</v>
      </c>
      <c r="D5" s="2" t="s">
        <v>5</v>
      </c>
    </row>
    <row r="6" spans="1:4" x14ac:dyDescent="0.3">
      <c r="A6" s="22" t="s">
        <v>6</v>
      </c>
      <c r="B6" s="23" t="s">
        <v>324</v>
      </c>
      <c r="C6" s="21" t="s">
        <v>322</v>
      </c>
      <c r="D6" s="2" t="s">
        <v>7</v>
      </c>
    </row>
    <row r="7" spans="1:4" x14ac:dyDescent="0.3">
      <c r="A7" s="22" t="s">
        <v>8</v>
      </c>
      <c r="B7" s="23" t="s">
        <v>325</v>
      </c>
      <c r="C7" s="21" t="s">
        <v>322</v>
      </c>
      <c r="D7" s="2" t="s">
        <v>9</v>
      </c>
    </row>
    <row r="8" spans="1:4" x14ac:dyDescent="0.3">
      <c r="A8" s="22" t="s">
        <v>10</v>
      </c>
      <c r="B8" s="23" t="s">
        <v>326</v>
      </c>
      <c r="C8" s="21" t="s">
        <v>322</v>
      </c>
      <c r="D8" s="2" t="s">
        <v>11</v>
      </c>
    </row>
    <row r="9" spans="1:4" x14ac:dyDescent="0.3">
      <c r="A9" s="22" t="s">
        <v>12</v>
      </c>
      <c r="B9" s="23" t="s">
        <v>327</v>
      </c>
      <c r="C9" s="21" t="s">
        <v>322</v>
      </c>
      <c r="D9" s="2" t="s">
        <v>13</v>
      </c>
    </row>
    <row r="10" spans="1:4" x14ac:dyDescent="0.3">
      <c r="A10" s="22" t="s">
        <v>14</v>
      </c>
      <c r="B10" s="23" t="s">
        <v>328</v>
      </c>
      <c r="C10" s="21" t="s">
        <v>322</v>
      </c>
      <c r="D10" s="2" t="s">
        <v>15</v>
      </c>
    </row>
    <row r="11" spans="1:4" x14ac:dyDescent="0.3">
      <c r="A11" s="22" t="s">
        <v>16</v>
      </c>
      <c r="B11" s="23" t="s">
        <v>329</v>
      </c>
      <c r="C11" s="21" t="s">
        <v>322</v>
      </c>
      <c r="D11" s="2" t="s">
        <v>5</v>
      </c>
    </row>
    <row r="12" spans="1:4" x14ac:dyDescent="0.3">
      <c r="A12" s="22" t="s">
        <v>17</v>
      </c>
      <c r="B12" s="23" t="s">
        <v>330</v>
      </c>
      <c r="C12" s="21" t="s">
        <v>322</v>
      </c>
      <c r="D12" s="2" t="s">
        <v>18</v>
      </c>
    </row>
    <row r="13" spans="1:4" x14ac:dyDescent="0.3">
      <c r="A13" s="22" t="s">
        <v>19</v>
      </c>
      <c r="B13" s="23" t="s">
        <v>331</v>
      </c>
      <c r="C13" s="21" t="s">
        <v>322</v>
      </c>
      <c r="D13" s="2" t="s">
        <v>7</v>
      </c>
    </row>
    <row r="14" spans="1:4" x14ac:dyDescent="0.3">
      <c r="A14" s="22" t="s">
        <v>20</v>
      </c>
      <c r="B14" s="23" t="s">
        <v>332</v>
      </c>
      <c r="C14" s="21" t="s">
        <v>322</v>
      </c>
      <c r="D14" s="2" t="s">
        <v>21</v>
      </c>
    </row>
    <row r="15" spans="1:4" x14ac:dyDescent="0.3">
      <c r="A15" s="22" t="s">
        <v>22</v>
      </c>
      <c r="B15" s="23" t="s">
        <v>333</v>
      </c>
      <c r="C15" s="21" t="s">
        <v>322</v>
      </c>
      <c r="D15" s="2" t="s">
        <v>5</v>
      </c>
    </row>
    <row r="16" spans="1:4" x14ac:dyDescent="0.3">
      <c r="A16" s="22"/>
      <c r="B16" s="23"/>
      <c r="C16" s="21" t="s">
        <v>322</v>
      </c>
      <c r="D16" s="2"/>
    </row>
    <row r="17" spans="1:4" x14ac:dyDescent="0.3">
      <c r="A17" s="22"/>
      <c r="B17" s="23"/>
      <c r="C17" s="21" t="s">
        <v>322</v>
      </c>
      <c r="D17" s="2"/>
    </row>
    <row r="18" spans="1:4" x14ac:dyDescent="0.3">
      <c r="A18" s="22"/>
      <c r="B18" s="23"/>
      <c r="C18" s="21" t="s">
        <v>322</v>
      </c>
      <c r="D18" s="2"/>
    </row>
    <row r="19" spans="1:4" x14ac:dyDescent="0.3">
      <c r="A19" s="22"/>
      <c r="B19" s="23"/>
      <c r="C19" s="21" t="s">
        <v>322</v>
      </c>
      <c r="D19" s="2"/>
    </row>
    <row r="20" spans="1:4" x14ac:dyDescent="0.3">
      <c r="A20" s="22"/>
      <c r="B20" s="23"/>
      <c r="C20" s="21" t="s">
        <v>322</v>
      </c>
      <c r="D20" s="2"/>
    </row>
    <row r="21" spans="1:4" x14ac:dyDescent="0.3">
      <c r="A21" s="22"/>
      <c r="B21" s="23"/>
      <c r="C21" s="21" t="s">
        <v>322</v>
      </c>
      <c r="D21" s="2"/>
    </row>
    <row r="22" spans="1:4" x14ac:dyDescent="0.3">
      <c r="A22" s="22"/>
      <c r="B22" s="23"/>
      <c r="C22" s="21" t="s">
        <v>322</v>
      </c>
      <c r="D22" s="2"/>
    </row>
    <row r="23" spans="1:4" x14ac:dyDescent="0.3">
      <c r="A23" s="22"/>
      <c r="B23" s="23"/>
      <c r="C23" s="21" t="s">
        <v>322</v>
      </c>
      <c r="D23" s="2"/>
    </row>
  </sheetData>
  <mergeCells count="2">
    <mergeCell ref="A1:D1"/>
    <mergeCell ref="A2:D2"/>
  </mergeCells>
  <hyperlinks>
    <hyperlink ref="C5" location="'K-1'!A1" display="IR A HOJA &gt;&gt;" xr:uid="{00000000-0004-0000-0000-000000000000}"/>
    <hyperlink ref="C6" location="'K-2'!A1" display="IR A HOJA &gt;&gt;" xr:uid="{00000000-0004-0000-0000-000001000000}"/>
    <hyperlink ref="C7" location="'K-3'!A1" display="IR A HOJA &gt;&gt;" xr:uid="{00000000-0004-0000-0000-000002000000}"/>
    <hyperlink ref="C8" location="'K-4'!A1" display="IR A HOJA &gt;&gt;" xr:uid="{00000000-0004-0000-0000-000003000000}"/>
    <hyperlink ref="C9" location="'K-5'!A1" display="IR A HOJA &gt;&gt;" xr:uid="{00000000-0004-0000-0000-000004000000}"/>
    <hyperlink ref="C10" location="'K-6'!A1" display="IR A HOJA &gt;&gt;" xr:uid="{00000000-0004-0000-0000-000005000000}"/>
    <hyperlink ref="C11" location="'K-7'!A1" display="IR A HOJA &gt;&gt;" xr:uid="{00000000-0004-0000-0000-000006000000}"/>
    <hyperlink ref="C12" location="'K-7.1'!A1" display="IR A HOJA &gt;&gt;" xr:uid="{00000000-0004-0000-0000-000007000000}"/>
    <hyperlink ref="C13" location="'K-7.2'!A1" display="IR A HOJA &gt;&gt;" xr:uid="{00000000-0004-0000-0000-000008000000}"/>
    <hyperlink ref="C14" location="'K-7.3'!A1" display="IR A HOJA &gt;&gt;" xr:uid="{00000000-0004-0000-0000-000009000000}"/>
    <hyperlink ref="C15" location="'K-8'!A1" display="IR A HOJA &gt;&gt;" xr:uid="{00000000-0004-0000-0000-00000A000000}"/>
    <hyperlink ref="C23" location="'K-16'!A1" display="IR A HOJA &gt;&gt;" xr:uid="{00000000-0004-0000-0000-00000B000000}"/>
    <hyperlink ref="C22" location="'K-15'!A1" display="IR A HOJA &gt;&gt;" xr:uid="{00000000-0004-0000-0000-00000C000000}"/>
    <hyperlink ref="C21" location="'K-14'!A1" display="IR A HOJA &gt;&gt;" xr:uid="{00000000-0004-0000-0000-00000D000000}"/>
    <hyperlink ref="C20" location="'K-13'!A1" display="IR A HOJA &gt;&gt;" xr:uid="{00000000-0004-0000-0000-00000E000000}"/>
    <hyperlink ref="C19" location="'K-12'!A1" display="IR A HOJA &gt;&gt;" xr:uid="{00000000-0004-0000-0000-00000F000000}"/>
    <hyperlink ref="C18" location="'K-11'!A1" display="IR A HOJA &gt;&gt;" xr:uid="{00000000-0004-0000-0000-000010000000}"/>
    <hyperlink ref="C17" location="'K-10'!A1" display="IR A HOJA &gt;&gt;" xr:uid="{00000000-0004-0000-0000-000011000000}"/>
    <hyperlink ref="C16" location="'K-9'!A1" display="IR A HOJA &gt;&gt;" xr:uid="{00000000-0004-0000-0000-00001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J84"/>
  <sheetViews>
    <sheetView workbookViewId="0">
      <selection activeCell="C8" sqref="C8"/>
    </sheetView>
  </sheetViews>
  <sheetFormatPr baseColWidth="10" defaultColWidth="9.109375" defaultRowHeight="15.05" x14ac:dyDescent="0.3"/>
  <cols>
    <col min="1" max="1" width="30.5546875" customWidth="1"/>
    <col min="2" max="2" width="53" customWidth="1"/>
    <col min="3" max="5" width="6" customWidth="1"/>
    <col min="6" max="6" width="12" customWidth="1"/>
    <col min="7" max="7" width="40" customWidth="1"/>
    <col min="9" max="9" width="17" customWidth="1"/>
    <col min="10" max="10" width="12.5546875" customWidth="1"/>
  </cols>
  <sheetData>
    <row r="6" spans="1:10" ht="19" x14ac:dyDescent="0.3">
      <c r="J6" s="25" t="s">
        <v>4</v>
      </c>
    </row>
    <row r="7" spans="1:10" x14ac:dyDescent="0.3">
      <c r="B7" s="27" t="s">
        <v>349</v>
      </c>
      <c r="C7" s="27"/>
      <c r="D7" s="27"/>
      <c r="E7" s="27"/>
      <c r="F7" s="27"/>
    </row>
    <row r="8" spans="1:10" x14ac:dyDescent="0.3">
      <c r="B8" s="27" t="s">
        <v>350</v>
      </c>
      <c r="C8" s="27"/>
      <c r="D8" s="27"/>
      <c r="E8" s="27"/>
      <c r="F8" s="27"/>
      <c r="I8" s="26" t="s">
        <v>334</v>
      </c>
      <c r="J8" s="26"/>
    </row>
    <row r="9" spans="1:10" x14ac:dyDescent="0.3">
      <c r="B9" s="27" t="s">
        <v>351</v>
      </c>
      <c r="C9" s="27"/>
      <c r="D9" s="27"/>
      <c r="E9" s="27"/>
      <c r="F9" s="27"/>
      <c r="I9" s="26" t="s">
        <v>335</v>
      </c>
      <c r="J9" s="26"/>
    </row>
    <row r="10" spans="1:10" x14ac:dyDescent="0.3">
      <c r="B10" s="27" t="s">
        <v>352</v>
      </c>
      <c r="C10" s="27"/>
      <c r="D10" s="27"/>
      <c r="E10" s="27"/>
      <c r="F10" s="27"/>
      <c r="I10" s="26" t="s">
        <v>336</v>
      </c>
      <c r="J10" s="26"/>
    </row>
    <row r="11" spans="1:10" x14ac:dyDescent="0.3">
      <c r="B11" s="24" t="s">
        <v>338</v>
      </c>
      <c r="C11" s="24"/>
      <c r="D11" s="24"/>
      <c r="E11" s="24"/>
      <c r="F11" s="24"/>
      <c r="I11" s="26" t="s">
        <v>337</v>
      </c>
      <c r="J11" s="26"/>
    </row>
    <row r="12" spans="1:10" x14ac:dyDescent="0.3">
      <c r="B12" s="24" t="s">
        <v>23</v>
      </c>
      <c r="C12" s="24"/>
      <c r="D12" s="24"/>
      <c r="E12" s="24"/>
      <c r="F12" s="24"/>
    </row>
    <row r="15" spans="1:10" ht="20.95" customHeight="1" x14ac:dyDescent="0.3">
      <c r="A15" s="4" t="s">
        <v>24</v>
      </c>
      <c r="B15" s="4" t="s">
        <v>25</v>
      </c>
      <c r="C15" s="4" t="s">
        <v>26</v>
      </c>
      <c r="D15" s="4" t="s">
        <v>27</v>
      </c>
      <c r="E15" s="4" t="s">
        <v>28</v>
      </c>
      <c r="F15" s="4" t="s">
        <v>29</v>
      </c>
      <c r="G15" s="4" t="s">
        <v>30</v>
      </c>
    </row>
    <row r="16" spans="1:10" x14ac:dyDescent="0.3">
      <c r="A16" s="16" t="s">
        <v>31</v>
      </c>
    </row>
    <row r="17" spans="1:7" x14ac:dyDescent="0.3">
      <c r="A17" s="2" t="s">
        <v>32</v>
      </c>
      <c r="B17" s="3" t="s">
        <v>33</v>
      </c>
      <c r="C17" s="2" t="s">
        <v>26</v>
      </c>
      <c r="D17" s="2"/>
      <c r="E17" s="2"/>
      <c r="F17" s="5">
        <f t="shared" ref="F17:F22" si="0">IF(C17="Sí",5,IF(D17="No",1,IF(E17="N/A",0,"")))</f>
        <v>5</v>
      </c>
      <c r="G17" s="3"/>
    </row>
    <row r="18" spans="1:7" x14ac:dyDescent="0.3">
      <c r="A18" s="2" t="s">
        <v>34</v>
      </c>
      <c r="B18" s="3" t="s">
        <v>35</v>
      </c>
      <c r="C18" s="2"/>
      <c r="D18" s="2"/>
      <c r="E18" s="2"/>
      <c r="F18" s="5" t="str">
        <f t="shared" si="0"/>
        <v/>
      </c>
      <c r="G18" s="3"/>
    </row>
    <row r="19" spans="1:7" x14ac:dyDescent="0.3">
      <c r="A19" s="2" t="s">
        <v>36</v>
      </c>
      <c r="B19" s="3" t="s">
        <v>37</v>
      </c>
      <c r="C19" s="2"/>
      <c r="D19" s="2"/>
      <c r="E19" s="2"/>
      <c r="F19" s="5" t="str">
        <f t="shared" si="0"/>
        <v/>
      </c>
      <c r="G19" s="3"/>
    </row>
    <row r="20" spans="1:7" x14ac:dyDescent="0.3">
      <c r="A20" s="2" t="s">
        <v>38</v>
      </c>
      <c r="B20" s="3" t="s">
        <v>39</v>
      </c>
      <c r="C20" s="2"/>
      <c r="D20" s="2"/>
      <c r="E20" s="2"/>
      <c r="F20" s="5" t="str">
        <f t="shared" si="0"/>
        <v/>
      </c>
      <c r="G20" s="3"/>
    </row>
    <row r="21" spans="1:7" x14ac:dyDescent="0.3">
      <c r="A21" s="2" t="s">
        <v>40</v>
      </c>
      <c r="B21" s="3" t="s">
        <v>41</v>
      </c>
      <c r="C21" s="2"/>
      <c r="D21" s="2"/>
      <c r="E21" s="2"/>
      <c r="F21" s="5" t="str">
        <f t="shared" si="0"/>
        <v/>
      </c>
      <c r="G21" s="3"/>
    </row>
    <row r="22" spans="1:7" x14ac:dyDescent="0.3">
      <c r="A22" s="2" t="s">
        <v>42</v>
      </c>
      <c r="B22" s="3" t="s">
        <v>43</v>
      </c>
      <c r="C22" s="2"/>
      <c r="D22" s="2"/>
      <c r="E22" s="2"/>
      <c r="F22" s="5" t="str">
        <f t="shared" si="0"/>
        <v/>
      </c>
      <c r="G22" s="3"/>
    </row>
    <row r="23" spans="1:7" x14ac:dyDescent="0.3">
      <c r="A23" s="16" t="s">
        <v>44</v>
      </c>
    </row>
    <row r="24" spans="1:7" x14ac:dyDescent="0.3">
      <c r="A24" s="2" t="s">
        <v>45</v>
      </c>
      <c r="B24" s="3" t="s">
        <v>46</v>
      </c>
      <c r="C24" s="2"/>
      <c r="D24" s="2"/>
      <c r="E24" s="2"/>
      <c r="F24" s="5" t="str">
        <f>IF(C24="Sí",5,IF(D24="No",1,IF(E24="N/A",0,"")))</f>
        <v/>
      </c>
      <c r="G24" s="3"/>
    </row>
    <row r="25" spans="1:7" x14ac:dyDescent="0.3">
      <c r="A25" s="2" t="s">
        <v>47</v>
      </c>
      <c r="B25" s="3" t="s">
        <v>48</v>
      </c>
      <c r="C25" s="2"/>
      <c r="D25" s="2"/>
      <c r="E25" s="2"/>
      <c r="F25" s="5" t="str">
        <f>IF(C25="Sí",5,IF(D25="No",1,IF(E25="N/A",0,"")))</f>
        <v/>
      </c>
      <c r="G25" s="3"/>
    </row>
    <row r="26" spans="1:7" x14ac:dyDescent="0.3">
      <c r="A26" s="2" t="s">
        <v>49</v>
      </c>
      <c r="B26" s="3" t="s">
        <v>50</v>
      </c>
      <c r="C26" s="2"/>
      <c r="D26" s="2"/>
      <c r="E26" s="2"/>
      <c r="F26" s="5" t="str">
        <f>IF(C26="Sí",5,IF(D26="No",1,IF(E26="N/A",0,"")))</f>
        <v/>
      </c>
      <c r="G26" s="3"/>
    </row>
    <row r="27" spans="1:7" x14ac:dyDescent="0.3">
      <c r="A27" s="2" t="s">
        <v>51</v>
      </c>
      <c r="B27" s="3" t="s">
        <v>52</v>
      </c>
      <c r="C27" s="2"/>
      <c r="D27" s="2"/>
      <c r="E27" s="2"/>
      <c r="F27" s="5" t="str">
        <f>IF(C27="Sí",5,IF(D27="No",1,IF(E27="N/A",0,"")))</f>
        <v/>
      </c>
      <c r="G27" s="3"/>
    </row>
    <row r="28" spans="1:7" x14ac:dyDescent="0.3">
      <c r="A28" s="2" t="s">
        <v>53</v>
      </c>
      <c r="B28" s="3" t="s">
        <v>54</v>
      </c>
      <c r="C28" s="2"/>
      <c r="D28" s="2"/>
      <c r="E28" s="2"/>
      <c r="F28" s="5" t="str">
        <f>IF(C28="Sí",5,IF(D28="No",1,IF(E28="N/A",0,"")))</f>
        <v/>
      </c>
      <c r="G28" s="3"/>
    </row>
    <row r="29" spans="1:7" x14ac:dyDescent="0.3">
      <c r="A29" s="43" t="s">
        <v>55</v>
      </c>
      <c r="B29" s="40"/>
      <c r="C29" s="40"/>
      <c r="D29" s="40"/>
      <c r="E29" s="40"/>
      <c r="F29" s="40"/>
      <c r="G29" s="40"/>
    </row>
    <row r="30" spans="1:7" x14ac:dyDescent="0.3">
      <c r="A30" s="2" t="s">
        <v>56</v>
      </c>
      <c r="B30" s="3" t="s">
        <v>57</v>
      </c>
      <c r="C30" s="2"/>
      <c r="D30" s="2"/>
      <c r="E30" s="2"/>
      <c r="F30" s="5" t="str">
        <f t="shared" ref="F30:F35" si="1">IF(C30="Sí",5,IF(D30="No",1,IF(E30="N/A",0,"")))</f>
        <v/>
      </c>
      <c r="G30" s="3"/>
    </row>
    <row r="31" spans="1:7" x14ac:dyDescent="0.3">
      <c r="A31" s="2" t="s">
        <v>58</v>
      </c>
      <c r="B31" s="3" t="s">
        <v>59</v>
      </c>
      <c r="C31" s="2"/>
      <c r="D31" s="2"/>
      <c r="E31" s="2"/>
      <c r="F31" s="5" t="str">
        <f t="shared" si="1"/>
        <v/>
      </c>
      <c r="G31" s="3"/>
    </row>
    <row r="32" spans="1:7" x14ac:dyDescent="0.3">
      <c r="A32" s="2" t="s">
        <v>60</v>
      </c>
      <c r="B32" s="3" t="s">
        <v>61</v>
      </c>
      <c r="C32" s="2"/>
      <c r="D32" s="2"/>
      <c r="E32" s="2"/>
      <c r="F32" s="5" t="str">
        <f t="shared" si="1"/>
        <v/>
      </c>
      <c r="G32" s="3"/>
    </row>
    <row r="33" spans="1:7" x14ac:dyDescent="0.3">
      <c r="A33" s="2" t="s">
        <v>62</v>
      </c>
      <c r="B33" s="3" t="s">
        <v>63</v>
      </c>
      <c r="C33" s="2"/>
      <c r="D33" s="2"/>
      <c r="E33" s="2"/>
      <c r="F33" s="5" t="str">
        <f t="shared" si="1"/>
        <v/>
      </c>
      <c r="G33" s="3"/>
    </row>
    <row r="34" spans="1:7" x14ac:dyDescent="0.3">
      <c r="A34" s="2" t="s">
        <v>64</v>
      </c>
      <c r="B34" s="3" t="s">
        <v>65</v>
      </c>
      <c r="C34" s="2"/>
      <c r="D34" s="2"/>
      <c r="E34" s="2"/>
      <c r="F34" s="5" t="str">
        <f t="shared" si="1"/>
        <v/>
      </c>
      <c r="G34" s="3"/>
    </row>
    <row r="35" spans="1:7" x14ac:dyDescent="0.3">
      <c r="A35" s="2" t="s">
        <v>66</v>
      </c>
      <c r="B35" s="3" t="s">
        <v>67</v>
      </c>
      <c r="C35" s="2"/>
      <c r="D35" s="2"/>
      <c r="E35" s="2"/>
      <c r="F35" s="5" t="str">
        <f t="shared" si="1"/>
        <v/>
      </c>
      <c r="G35" s="3"/>
    </row>
    <row r="36" spans="1:7" x14ac:dyDescent="0.3">
      <c r="A36" s="43" t="s">
        <v>68</v>
      </c>
      <c r="B36" s="40"/>
      <c r="C36" s="40"/>
      <c r="D36" s="40"/>
      <c r="E36" s="40"/>
      <c r="F36" s="40"/>
      <c r="G36" s="40"/>
    </row>
    <row r="37" spans="1:7" x14ac:dyDescent="0.3">
      <c r="A37" s="2" t="s">
        <v>69</v>
      </c>
      <c r="B37" s="3" t="s">
        <v>70</v>
      </c>
      <c r="C37" s="2"/>
      <c r="D37" s="2"/>
      <c r="E37" s="2"/>
      <c r="F37" s="5" t="str">
        <f>IF(C37="Sí",5,IF(D37="No",1,IF(E37="N/A",0,"")))</f>
        <v/>
      </c>
      <c r="G37" s="3"/>
    </row>
    <row r="38" spans="1:7" x14ac:dyDescent="0.3">
      <c r="A38" s="2" t="s">
        <v>71</v>
      </c>
      <c r="B38" s="3" t="s">
        <v>72</v>
      </c>
      <c r="C38" s="2"/>
      <c r="D38" s="2"/>
      <c r="E38" s="2"/>
      <c r="F38" s="5" t="str">
        <f>IF(C38="Sí",5,IF(D38="No",1,IF(E38="N/A",0,"")))</f>
        <v/>
      </c>
      <c r="G38" s="3"/>
    </row>
    <row r="39" spans="1:7" x14ac:dyDescent="0.3">
      <c r="A39" s="2" t="s">
        <v>73</v>
      </c>
      <c r="B39" s="3" t="s">
        <v>74</v>
      </c>
      <c r="C39" s="2"/>
      <c r="D39" s="2"/>
      <c r="E39" s="2"/>
      <c r="F39" s="5" t="str">
        <f>IF(C39="Sí",5,IF(D39="No",1,IF(E39="N/A",0,"")))</f>
        <v/>
      </c>
      <c r="G39" s="3"/>
    </row>
    <row r="40" spans="1:7" x14ac:dyDescent="0.3">
      <c r="A40" s="2" t="s">
        <v>75</v>
      </c>
      <c r="B40" s="3" t="s">
        <v>76</v>
      </c>
      <c r="C40" s="2"/>
      <c r="D40" s="2"/>
      <c r="E40" s="2"/>
      <c r="F40" s="5" t="str">
        <f>IF(C40="Sí",5,IF(D40="No",1,IF(E40="N/A",0,"")))</f>
        <v/>
      </c>
      <c r="G40" s="3"/>
    </row>
    <row r="41" spans="1:7" x14ac:dyDescent="0.3">
      <c r="A41" s="43" t="s">
        <v>77</v>
      </c>
      <c r="B41" s="40"/>
      <c r="C41" s="40"/>
      <c r="D41" s="40"/>
      <c r="E41" s="40"/>
      <c r="F41" s="40"/>
      <c r="G41" s="40"/>
    </row>
    <row r="42" spans="1:7" x14ac:dyDescent="0.3">
      <c r="A42" s="2" t="s">
        <v>78</v>
      </c>
      <c r="B42" s="3" t="s">
        <v>79</v>
      </c>
      <c r="C42" s="2"/>
      <c r="D42" s="2"/>
      <c r="E42" s="2"/>
      <c r="F42" s="5" t="str">
        <f>IF(C42="Sí",5,IF(D42="No",1,IF(E42="N/A",0,"")))</f>
        <v/>
      </c>
      <c r="G42" s="3"/>
    </row>
    <row r="43" spans="1:7" x14ac:dyDescent="0.3">
      <c r="A43" s="2" t="s">
        <v>80</v>
      </c>
      <c r="B43" s="3" t="s">
        <v>81</v>
      </c>
      <c r="C43" s="2"/>
      <c r="D43" s="2"/>
      <c r="E43" s="2"/>
      <c r="F43" s="5" t="str">
        <f>IF(C43="Sí",5,IF(D43="No",1,IF(E43="N/A",0,"")))</f>
        <v/>
      </c>
      <c r="G43" s="3"/>
    </row>
    <row r="44" spans="1:7" x14ac:dyDescent="0.3">
      <c r="A44" s="2" t="s">
        <v>82</v>
      </c>
      <c r="B44" s="3" t="s">
        <v>83</v>
      </c>
      <c r="C44" s="2"/>
      <c r="D44" s="2"/>
      <c r="E44" s="2"/>
      <c r="F44" s="5" t="str">
        <f>IF(C44="Sí",5,IF(D44="No",1,IF(E44="N/A",0,"")))</f>
        <v/>
      </c>
      <c r="G44" s="3"/>
    </row>
    <row r="45" spans="1:7" x14ac:dyDescent="0.3">
      <c r="A45" s="2" t="s">
        <v>84</v>
      </c>
      <c r="B45" s="3" t="s">
        <v>85</v>
      </c>
      <c r="C45" s="2"/>
      <c r="D45" s="2"/>
      <c r="E45" s="2"/>
      <c r="F45" s="5" t="str">
        <f>IF(C45="Sí",5,IF(D45="No",1,IF(E45="N/A",0,"")))</f>
        <v/>
      </c>
      <c r="G45" s="3"/>
    </row>
    <row r="47" spans="1:7" x14ac:dyDescent="0.3">
      <c r="A47" s="42" t="s">
        <v>86</v>
      </c>
      <c r="B47" s="40"/>
      <c r="C47" s="40"/>
      <c r="D47" s="40"/>
      <c r="E47" s="40"/>
      <c r="F47" s="40"/>
      <c r="G47" s="40"/>
    </row>
    <row r="48" spans="1:7" ht="15.75" x14ac:dyDescent="0.3">
      <c r="A48" t="s">
        <v>87</v>
      </c>
      <c r="B48" s="6">
        <f>SUM(F16:F45)</f>
        <v>5</v>
      </c>
    </row>
    <row r="49" spans="1:7" x14ac:dyDescent="0.3">
      <c r="A49" t="s">
        <v>88</v>
      </c>
      <c r="B49" s="7">
        <f>COUNTIF(F16:F45,"&lt;&gt;0")*5</f>
        <v>150</v>
      </c>
    </row>
    <row r="50" spans="1:7" ht="15.75" x14ac:dyDescent="0.3">
      <c r="A50" t="s">
        <v>89</v>
      </c>
      <c r="B50" s="8">
        <f>IF(B49&gt;0,B48/B49,0)</f>
        <v>3.3333333333333333E-2</v>
      </c>
    </row>
    <row r="51" spans="1:7" ht="17.05" x14ac:dyDescent="0.3">
      <c r="A51" t="s">
        <v>90</v>
      </c>
      <c r="B51" s="9" t="str">
        <f>IF(B50&gt;=0.9,"EXCELENTE",IF(B50&gt;=0.7,"BUENO",IF(B50&gt;=0.5,"ACEPTABLE","DEFICIENTE")))</f>
        <v>DEFICIENTE</v>
      </c>
    </row>
    <row r="57" spans="1:7" x14ac:dyDescent="0.3">
      <c r="A57" s="32" t="s">
        <v>339</v>
      </c>
      <c r="B57" s="29"/>
      <c r="F57" s="28" t="s">
        <v>340</v>
      </c>
      <c r="G57" s="29"/>
    </row>
    <row r="58" spans="1:7" x14ac:dyDescent="0.3">
      <c r="A58" s="30" t="s">
        <v>341</v>
      </c>
      <c r="F58" s="30" t="s">
        <v>341</v>
      </c>
    </row>
    <row r="71" spans="1:1" x14ac:dyDescent="0.3">
      <c r="A71" s="31"/>
    </row>
    <row r="77" spans="1:1" ht="15.05" customHeight="1" x14ac:dyDescent="0.3"/>
    <row r="84" ht="15.05" customHeight="1" x14ac:dyDescent="0.3"/>
  </sheetData>
  <mergeCells count="4">
    <mergeCell ref="A47:G47"/>
    <mergeCell ref="A41:G41"/>
    <mergeCell ref="A36:G36"/>
    <mergeCell ref="A29:G29"/>
  </mergeCells>
  <dataValidations count="1">
    <dataValidation type="list" allowBlank="1" prompt="Seleccione: Sí, No o N/A" sqref="C17:E22 C24:E28 C30:E35 C37:E40 C42:E45" xr:uid="{00000000-0002-0000-0100-000000000000}">
      <formula1>"Sí,No,N/A"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I64"/>
  <sheetViews>
    <sheetView workbookViewId="0">
      <selection activeCell="D4" sqref="D4:D7"/>
    </sheetView>
  </sheetViews>
  <sheetFormatPr baseColWidth="10" defaultColWidth="9.109375" defaultRowHeight="15.05" x14ac:dyDescent="0.3"/>
  <cols>
    <col min="1" max="1" width="17.5546875" customWidth="1"/>
    <col min="2" max="2" width="50" customWidth="1"/>
    <col min="3" max="3" width="20" customWidth="1"/>
    <col min="4" max="4" width="30" customWidth="1"/>
    <col min="5" max="5" width="20" customWidth="1"/>
    <col min="6" max="6" width="40" customWidth="1"/>
    <col min="8" max="8" width="19" customWidth="1"/>
    <col min="9" max="9" width="11.88671875" customWidth="1"/>
  </cols>
  <sheetData>
    <row r="3" spans="1:9" ht="19" x14ac:dyDescent="0.3">
      <c r="I3" s="25" t="s">
        <v>6</v>
      </c>
    </row>
    <row r="4" spans="1:9" x14ac:dyDescent="0.3">
      <c r="D4" s="27" t="s">
        <v>349</v>
      </c>
    </row>
    <row r="5" spans="1:9" x14ac:dyDescent="0.3">
      <c r="D5" s="27" t="s">
        <v>350</v>
      </c>
      <c r="H5" s="26" t="s">
        <v>334</v>
      </c>
      <c r="I5" s="26"/>
    </row>
    <row r="6" spans="1:9" x14ac:dyDescent="0.3">
      <c r="D6" s="27" t="s">
        <v>351</v>
      </c>
      <c r="H6" s="26" t="s">
        <v>335</v>
      </c>
      <c r="I6" s="26"/>
    </row>
    <row r="7" spans="1:9" x14ac:dyDescent="0.3">
      <c r="D7" s="27" t="s">
        <v>352</v>
      </c>
      <c r="H7" s="26" t="s">
        <v>336</v>
      </c>
      <c r="I7" s="26"/>
    </row>
    <row r="8" spans="1:9" x14ac:dyDescent="0.3">
      <c r="H8" s="26" t="s">
        <v>337</v>
      </c>
      <c r="I8" s="26"/>
    </row>
    <row r="9" spans="1:9" ht="18.350000000000001" x14ac:dyDescent="0.35">
      <c r="C9" s="33" t="s">
        <v>91</v>
      </c>
    </row>
    <row r="10" spans="1:9" x14ac:dyDescent="0.3">
      <c r="C10" s="34" t="s">
        <v>342</v>
      </c>
    </row>
    <row r="12" spans="1:9" x14ac:dyDescent="0.3">
      <c r="A12" s="4" t="s">
        <v>24</v>
      </c>
      <c r="B12" s="4" t="s">
        <v>92</v>
      </c>
      <c r="C12" s="4" t="s">
        <v>93</v>
      </c>
      <c r="D12" s="4" t="s">
        <v>94</v>
      </c>
      <c r="E12" s="4" t="s">
        <v>95</v>
      </c>
      <c r="F12" s="4" t="s">
        <v>30</v>
      </c>
    </row>
    <row r="13" spans="1:9" x14ac:dyDescent="0.3">
      <c r="A13" s="18" t="s">
        <v>96</v>
      </c>
    </row>
    <row r="14" spans="1:9" x14ac:dyDescent="0.3">
      <c r="A14" s="2">
        <v>1</v>
      </c>
      <c r="B14" s="3" t="s">
        <v>97</v>
      </c>
      <c r="C14" s="2" t="s">
        <v>313</v>
      </c>
      <c r="D14" s="3"/>
      <c r="E14" s="3"/>
      <c r="F14" s="3"/>
    </row>
    <row r="15" spans="1:9" x14ac:dyDescent="0.3">
      <c r="A15" s="2">
        <v>2</v>
      </c>
      <c r="B15" s="3" t="s">
        <v>98</v>
      </c>
      <c r="C15" s="2"/>
      <c r="D15" s="3"/>
      <c r="E15" s="3"/>
      <c r="F15" s="3"/>
    </row>
    <row r="16" spans="1:9" x14ac:dyDescent="0.3">
      <c r="A16" s="2">
        <v>3</v>
      </c>
      <c r="B16" s="3" t="s">
        <v>99</v>
      </c>
      <c r="C16" s="2"/>
      <c r="D16" s="3"/>
      <c r="E16" s="3"/>
      <c r="F16" s="3"/>
    </row>
    <row r="17" spans="1:6" x14ac:dyDescent="0.3">
      <c r="A17" s="2">
        <v>4</v>
      </c>
      <c r="B17" s="3" t="s">
        <v>100</v>
      </c>
      <c r="C17" s="2"/>
      <c r="D17" s="3"/>
      <c r="E17" s="3"/>
      <c r="F17" s="3"/>
    </row>
    <row r="18" spans="1:6" x14ac:dyDescent="0.3">
      <c r="A18" s="2">
        <v>5</v>
      </c>
      <c r="B18" s="3" t="s">
        <v>101</v>
      </c>
      <c r="C18" s="2"/>
      <c r="D18" s="3"/>
      <c r="E18" s="3"/>
      <c r="F18" s="3"/>
    </row>
    <row r="19" spans="1:6" x14ac:dyDescent="0.3">
      <c r="A19" s="42" t="s">
        <v>102</v>
      </c>
      <c r="B19" s="40"/>
      <c r="C19" s="40"/>
      <c r="D19" s="40"/>
      <c r="E19" s="40"/>
      <c r="F19" s="40"/>
    </row>
    <row r="20" spans="1:6" x14ac:dyDescent="0.3">
      <c r="A20" s="2">
        <v>6</v>
      </c>
      <c r="B20" s="3" t="s">
        <v>103</v>
      </c>
      <c r="C20" s="2"/>
      <c r="D20" s="3"/>
      <c r="E20" s="3"/>
      <c r="F20" s="3"/>
    </row>
    <row r="21" spans="1:6" x14ac:dyDescent="0.3">
      <c r="A21" s="2">
        <v>7</v>
      </c>
      <c r="B21" s="3" t="s">
        <v>104</v>
      </c>
      <c r="C21" s="2"/>
      <c r="D21" s="3"/>
      <c r="E21" s="3"/>
      <c r="F21" s="3"/>
    </row>
    <row r="22" spans="1:6" x14ac:dyDescent="0.3">
      <c r="A22" s="2">
        <v>8</v>
      </c>
      <c r="B22" s="3" t="s">
        <v>105</v>
      </c>
      <c r="C22" s="2"/>
      <c r="D22" s="3"/>
      <c r="E22" s="3"/>
      <c r="F22" s="3"/>
    </row>
    <row r="23" spans="1:6" x14ac:dyDescent="0.3">
      <c r="A23" s="2">
        <v>9</v>
      </c>
      <c r="B23" s="3" t="s">
        <v>106</v>
      </c>
      <c r="C23" s="2"/>
      <c r="D23" s="3"/>
      <c r="E23" s="3"/>
      <c r="F23" s="3"/>
    </row>
    <row r="24" spans="1:6" x14ac:dyDescent="0.3">
      <c r="A24" s="42" t="s">
        <v>107</v>
      </c>
      <c r="B24" s="40"/>
      <c r="C24" s="40"/>
      <c r="D24" s="40"/>
      <c r="E24" s="40"/>
      <c r="F24" s="40"/>
    </row>
    <row r="25" spans="1:6" x14ac:dyDescent="0.3">
      <c r="A25" s="2">
        <v>10</v>
      </c>
      <c r="B25" s="3" t="s">
        <v>108</v>
      </c>
      <c r="C25" s="2"/>
      <c r="D25" s="3"/>
      <c r="E25" s="3"/>
      <c r="F25" s="3"/>
    </row>
    <row r="26" spans="1:6" x14ac:dyDescent="0.3">
      <c r="A26" s="2">
        <v>11</v>
      </c>
      <c r="B26" s="3" t="s">
        <v>109</v>
      </c>
      <c r="C26" s="2"/>
      <c r="D26" s="3"/>
      <c r="E26" s="3"/>
      <c r="F26" s="3"/>
    </row>
    <row r="27" spans="1:6" x14ac:dyDescent="0.3">
      <c r="A27" s="2">
        <v>12</v>
      </c>
      <c r="B27" s="3" t="s">
        <v>110</v>
      </c>
      <c r="C27" s="2"/>
      <c r="D27" s="3"/>
      <c r="E27" s="3"/>
      <c r="F27" s="3"/>
    </row>
    <row r="28" spans="1:6" x14ac:dyDescent="0.3">
      <c r="A28" s="2">
        <v>13</v>
      </c>
      <c r="B28" s="3" t="s">
        <v>111</v>
      </c>
      <c r="C28" s="2"/>
      <c r="D28" s="3"/>
      <c r="E28" s="3"/>
      <c r="F28" s="3"/>
    </row>
    <row r="29" spans="1:6" x14ac:dyDescent="0.3">
      <c r="A29" s="42" t="s">
        <v>112</v>
      </c>
      <c r="B29" s="40"/>
      <c r="C29" s="40"/>
      <c r="D29" s="40"/>
      <c r="E29" s="40"/>
      <c r="F29" s="40"/>
    </row>
    <row r="30" spans="1:6" x14ac:dyDescent="0.3">
      <c r="A30" s="2">
        <v>14</v>
      </c>
      <c r="B30" s="3" t="s">
        <v>113</v>
      </c>
      <c r="C30" s="2"/>
      <c r="D30" s="3"/>
      <c r="E30" s="3"/>
      <c r="F30" s="3"/>
    </row>
    <row r="31" spans="1:6" x14ac:dyDescent="0.3">
      <c r="A31" s="2">
        <v>15</v>
      </c>
      <c r="B31" s="3" t="s">
        <v>114</v>
      </c>
      <c r="C31" s="2"/>
      <c r="D31" s="3"/>
      <c r="E31" s="3"/>
      <c r="F31" s="3"/>
    </row>
    <row r="32" spans="1:6" x14ac:dyDescent="0.3">
      <c r="A32" s="2">
        <v>16</v>
      </c>
      <c r="B32" s="3" t="s">
        <v>115</v>
      </c>
      <c r="C32" s="2"/>
      <c r="D32" s="3"/>
      <c r="E32" s="3"/>
      <c r="F32" s="3"/>
    </row>
    <row r="33" spans="1:6" x14ac:dyDescent="0.3">
      <c r="A33" s="42" t="s">
        <v>116</v>
      </c>
      <c r="B33" s="40"/>
      <c r="C33" s="40"/>
      <c r="D33" s="40"/>
      <c r="E33" s="40"/>
      <c r="F33" s="40"/>
    </row>
    <row r="34" spans="1:6" x14ac:dyDescent="0.3">
      <c r="A34" s="2">
        <v>17</v>
      </c>
      <c r="B34" s="3" t="s">
        <v>117</v>
      </c>
      <c r="C34" s="2"/>
      <c r="D34" s="3"/>
      <c r="E34" s="3"/>
      <c r="F34" s="3"/>
    </row>
    <row r="35" spans="1:6" x14ac:dyDescent="0.3">
      <c r="A35" s="2">
        <v>18</v>
      </c>
      <c r="B35" s="3" t="s">
        <v>118</v>
      </c>
      <c r="C35" s="2"/>
      <c r="D35" s="3"/>
      <c r="E35" s="3"/>
      <c r="F35" s="3"/>
    </row>
    <row r="36" spans="1:6" x14ac:dyDescent="0.3">
      <c r="A36" s="2">
        <v>19</v>
      </c>
      <c r="B36" s="3" t="s">
        <v>119</v>
      </c>
      <c r="C36" s="2"/>
      <c r="D36" s="3"/>
      <c r="E36" s="3"/>
      <c r="F36" s="3"/>
    </row>
    <row r="37" spans="1:6" x14ac:dyDescent="0.3">
      <c r="A37" s="2">
        <v>20</v>
      </c>
      <c r="B37" s="3" t="s">
        <v>120</v>
      </c>
      <c r="C37" s="2"/>
      <c r="D37" s="3"/>
      <c r="E37" s="3"/>
      <c r="F37" s="3"/>
    </row>
    <row r="38" spans="1:6" x14ac:dyDescent="0.3">
      <c r="A38" s="42" t="s">
        <v>121</v>
      </c>
      <c r="B38" s="40"/>
      <c r="C38" s="40"/>
      <c r="D38" s="40"/>
      <c r="E38" s="40"/>
      <c r="F38" s="40"/>
    </row>
    <row r="39" spans="1:6" x14ac:dyDescent="0.3">
      <c r="A39" s="2">
        <v>21</v>
      </c>
      <c r="B39" s="3" t="s">
        <v>122</v>
      </c>
      <c r="C39" s="2"/>
      <c r="D39" s="3"/>
      <c r="E39" s="3"/>
      <c r="F39" s="3"/>
    </row>
    <row r="40" spans="1:6" x14ac:dyDescent="0.3">
      <c r="A40" s="2">
        <v>22</v>
      </c>
      <c r="B40" s="3" t="s">
        <v>123</v>
      </c>
      <c r="C40" s="2"/>
      <c r="D40" s="3"/>
      <c r="E40" s="3"/>
      <c r="F40" s="3"/>
    </row>
    <row r="41" spans="1:6" x14ac:dyDescent="0.3">
      <c r="A41" s="2">
        <v>23</v>
      </c>
      <c r="B41" s="3" t="s">
        <v>124</v>
      </c>
      <c r="C41" s="2"/>
      <c r="D41" s="3"/>
      <c r="E41" s="3"/>
      <c r="F41" s="3"/>
    </row>
    <row r="42" spans="1:6" x14ac:dyDescent="0.3">
      <c r="A42" s="2">
        <v>24</v>
      </c>
      <c r="B42" s="3" t="s">
        <v>125</v>
      </c>
      <c r="C42" s="2"/>
      <c r="D42" s="3"/>
      <c r="E42" s="3"/>
      <c r="F42" s="3"/>
    </row>
    <row r="44" spans="1:6" x14ac:dyDescent="0.3">
      <c r="A44" s="42" t="s">
        <v>126</v>
      </c>
      <c r="B44" s="40"/>
      <c r="C44" s="40"/>
      <c r="D44" s="40"/>
      <c r="E44" s="40"/>
      <c r="F44" s="40"/>
    </row>
    <row r="45" spans="1:6" x14ac:dyDescent="0.3">
      <c r="A45" t="s">
        <v>127</v>
      </c>
      <c r="B45" s="10">
        <f>COUNTIF(C13:C43,"Cumple")</f>
        <v>1</v>
      </c>
    </row>
    <row r="46" spans="1:6" x14ac:dyDescent="0.3">
      <c r="A46" t="s">
        <v>128</v>
      </c>
      <c r="B46" s="11">
        <f>COUNTIF(C13:C43,"No Cumple")</f>
        <v>0</v>
      </c>
    </row>
    <row r="47" spans="1:6" ht="15.75" x14ac:dyDescent="0.3">
      <c r="A47" t="s">
        <v>129</v>
      </c>
      <c r="B47" s="8">
        <f>IF(COUNTA(C13:C43)&gt;0,B45/COUNTA(C13:C43),0)</f>
        <v>1</v>
      </c>
    </row>
    <row r="55" spans="1:6" x14ac:dyDescent="0.3">
      <c r="A55" s="35" t="s">
        <v>343</v>
      </c>
    </row>
    <row r="63" spans="1:6" x14ac:dyDescent="0.3">
      <c r="A63" s="28" t="s">
        <v>339</v>
      </c>
      <c r="B63" s="29"/>
      <c r="E63" s="28" t="s">
        <v>340</v>
      </c>
      <c r="F63" s="29"/>
    </row>
    <row r="64" spans="1:6" x14ac:dyDescent="0.3">
      <c r="A64" s="30" t="s">
        <v>341</v>
      </c>
      <c r="E64" s="30" t="s">
        <v>341</v>
      </c>
    </row>
  </sheetData>
  <mergeCells count="6">
    <mergeCell ref="A44:F44"/>
    <mergeCell ref="A38:F38"/>
    <mergeCell ref="A29:F29"/>
    <mergeCell ref="A24:F24"/>
    <mergeCell ref="A19:F19"/>
    <mergeCell ref="A33:F33"/>
  </mergeCells>
  <dataValidations count="1">
    <dataValidation type="list" allowBlank="1" prompt="Nivel de cumplimiento" sqref="C14:C18 C20:C23 C25:C28 C30:C32 C34:C37 C39:C42" xr:uid="{00000000-0002-0000-0200-000000000000}">
      <formula1>"Cumple,Cumple Parcialmente,No Cumple,N/A"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60"/>
  <sheetViews>
    <sheetView workbookViewId="0">
      <selection activeCell="E4" sqref="E4:E7"/>
    </sheetView>
  </sheetViews>
  <sheetFormatPr baseColWidth="10" defaultColWidth="9.109375" defaultRowHeight="15.05" x14ac:dyDescent="0.3"/>
  <cols>
    <col min="1" max="1" width="8" customWidth="1"/>
    <col min="2" max="2" width="20" customWidth="1"/>
    <col min="3" max="3" width="35" customWidth="1"/>
    <col min="4" max="4" width="15" customWidth="1"/>
    <col min="5" max="6" width="12" customWidth="1"/>
    <col min="7" max="7" width="10" customWidth="1"/>
    <col min="8" max="8" width="35" customWidth="1"/>
    <col min="9" max="9" width="12" customWidth="1"/>
    <col min="10" max="10" width="14" customWidth="1"/>
    <col min="11" max="11" width="20" customWidth="1"/>
    <col min="13" max="13" width="16.6640625" customWidth="1"/>
    <col min="14" max="14" width="10.5546875" customWidth="1"/>
  </cols>
  <sheetData>
    <row r="3" spans="1:14" ht="19" x14ac:dyDescent="0.3">
      <c r="N3" s="25" t="s">
        <v>8</v>
      </c>
    </row>
    <row r="4" spans="1:14" x14ac:dyDescent="0.3">
      <c r="E4" s="27" t="s">
        <v>349</v>
      </c>
    </row>
    <row r="5" spans="1:14" x14ac:dyDescent="0.3">
      <c r="E5" s="27" t="s">
        <v>350</v>
      </c>
      <c r="M5" s="26" t="s">
        <v>334</v>
      </c>
      <c r="N5" s="26"/>
    </row>
    <row r="6" spans="1:14" x14ac:dyDescent="0.3">
      <c r="E6" s="27" t="s">
        <v>351</v>
      </c>
      <c r="M6" s="26" t="s">
        <v>335</v>
      </c>
      <c r="N6" s="26"/>
    </row>
    <row r="7" spans="1:14" x14ac:dyDescent="0.3">
      <c r="E7" s="27" t="s">
        <v>352</v>
      </c>
      <c r="M7" s="26" t="s">
        <v>336</v>
      </c>
      <c r="N7" s="26"/>
    </row>
    <row r="8" spans="1:14" ht="18.350000000000001" x14ac:dyDescent="0.35">
      <c r="D8" s="33" t="s">
        <v>130</v>
      </c>
      <c r="M8" s="26" t="s">
        <v>337</v>
      </c>
      <c r="N8" s="26"/>
    </row>
    <row r="9" spans="1:14" x14ac:dyDescent="0.3">
      <c r="D9" s="17" t="s">
        <v>131</v>
      </c>
    </row>
    <row r="12" spans="1:14" x14ac:dyDescent="0.3">
      <c r="A12" s="4" t="s">
        <v>132</v>
      </c>
      <c r="B12" s="4" t="s">
        <v>133</v>
      </c>
      <c r="C12" s="4" t="s">
        <v>134</v>
      </c>
      <c r="D12" s="4" t="s">
        <v>3</v>
      </c>
      <c r="E12" s="4" t="s">
        <v>135</v>
      </c>
      <c r="F12" s="4" t="s">
        <v>136</v>
      </c>
      <c r="G12" s="4" t="s">
        <v>137</v>
      </c>
      <c r="H12" s="4" t="s">
        <v>138</v>
      </c>
      <c r="I12" s="4" t="s">
        <v>139</v>
      </c>
      <c r="J12" s="4" t="s">
        <v>140</v>
      </c>
      <c r="K12" s="4" t="s">
        <v>95</v>
      </c>
    </row>
    <row r="13" spans="1:14" x14ac:dyDescent="0.3">
      <c r="A13" s="2" t="s">
        <v>141</v>
      </c>
      <c r="B13" s="3"/>
      <c r="C13" s="3"/>
      <c r="D13" s="2" t="s">
        <v>314</v>
      </c>
      <c r="E13" s="2">
        <v>5</v>
      </c>
      <c r="F13" s="2">
        <v>1</v>
      </c>
      <c r="G13" s="12">
        <f t="shared" ref="G13:G37" si="0">IF(AND(E13&lt;&gt;"",F13&lt;&gt;""),E13*F13,"")</f>
        <v>5</v>
      </c>
      <c r="H13" s="3"/>
      <c r="I13" s="2" t="s">
        <v>315</v>
      </c>
      <c r="J13" s="13">
        <f>IF(I13="Alta",G13*0.3,IF(I13="Media",G13*0.6,IF(I13="Baja",G13*0.9,IF(G13&lt;&gt;"",G13,""))))</f>
        <v>1.5</v>
      </c>
      <c r="K13" s="3"/>
    </row>
    <row r="14" spans="1:14" x14ac:dyDescent="0.3">
      <c r="A14" s="2" t="s">
        <v>142</v>
      </c>
      <c r="B14" s="3"/>
      <c r="C14" s="3"/>
      <c r="D14" s="2"/>
      <c r="E14" s="2"/>
      <c r="F14" s="2"/>
      <c r="G14" s="12" t="str">
        <f t="shared" si="0"/>
        <v/>
      </c>
      <c r="H14" s="3"/>
      <c r="I14" s="2"/>
      <c r="J14" s="13" t="str">
        <f t="shared" ref="J14:J37" si="1">IF(I14="Alta",G14*0.3,IF(I14="Media",G14*0.6,IF(I14="Baja",G14*0.9,IF(G14&lt;&gt;"",G14,""))))</f>
        <v/>
      </c>
      <c r="K14" s="3"/>
    </row>
    <row r="15" spans="1:14" x14ac:dyDescent="0.3">
      <c r="A15" s="2" t="s">
        <v>143</v>
      </c>
      <c r="B15" s="3"/>
      <c r="C15" s="3"/>
      <c r="D15" s="2"/>
      <c r="E15" s="2"/>
      <c r="F15" s="2"/>
      <c r="G15" s="12" t="str">
        <f t="shared" si="0"/>
        <v/>
      </c>
      <c r="H15" s="3"/>
      <c r="I15" s="2"/>
      <c r="J15" s="13" t="str">
        <f t="shared" si="1"/>
        <v/>
      </c>
      <c r="K15" s="3"/>
    </row>
    <row r="16" spans="1:14" x14ac:dyDescent="0.3">
      <c r="A16" s="2" t="s">
        <v>144</v>
      </c>
      <c r="B16" s="3"/>
      <c r="C16" s="3"/>
      <c r="D16" s="2"/>
      <c r="E16" s="2"/>
      <c r="F16" s="2"/>
      <c r="G16" s="12" t="str">
        <f t="shared" si="0"/>
        <v/>
      </c>
      <c r="H16" s="3"/>
      <c r="I16" s="2"/>
      <c r="J16" s="13" t="str">
        <f t="shared" si="1"/>
        <v/>
      </c>
      <c r="K16" s="3"/>
    </row>
    <row r="17" spans="1:11" x14ac:dyDescent="0.3">
      <c r="A17" s="2" t="s">
        <v>145</v>
      </c>
      <c r="B17" s="3"/>
      <c r="C17" s="3"/>
      <c r="D17" s="2"/>
      <c r="E17" s="2"/>
      <c r="F17" s="2"/>
      <c r="G17" s="12" t="str">
        <f t="shared" si="0"/>
        <v/>
      </c>
      <c r="H17" s="3"/>
      <c r="I17" s="2"/>
      <c r="J17" s="13" t="str">
        <f t="shared" si="1"/>
        <v/>
      </c>
      <c r="K17" s="3"/>
    </row>
    <row r="18" spans="1:11" x14ac:dyDescent="0.3">
      <c r="A18" s="2" t="s">
        <v>146</v>
      </c>
      <c r="B18" s="3"/>
      <c r="C18" s="3"/>
      <c r="D18" s="2"/>
      <c r="E18" s="2"/>
      <c r="F18" s="2"/>
      <c r="G18" s="12" t="str">
        <f t="shared" si="0"/>
        <v/>
      </c>
      <c r="H18" s="3"/>
      <c r="I18" s="2"/>
      <c r="J18" s="13" t="str">
        <f t="shared" si="1"/>
        <v/>
      </c>
      <c r="K18" s="3"/>
    </row>
    <row r="19" spans="1:11" x14ac:dyDescent="0.3">
      <c r="A19" s="2" t="s">
        <v>147</v>
      </c>
      <c r="B19" s="3"/>
      <c r="C19" s="3"/>
      <c r="D19" s="2"/>
      <c r="E19" s="2"/>
      <c r="F19" s="2"/>
      <c r="G19" s="12" t="str">
        <f t="shared" si="0"/>
        <v/>
      </c>
      <c r="H19" s="3"/>
      <c r="I19" s="2"/>
      <c r="J19" s="13" t="str">
        <f t="shared" si="1"/>
        <v/>
      </c>
      <c r="K19" s="3"/>
    </row>
    <row r="20" spans="1:11" x14ac:dyDescent="0.3">
      <c r="A20" s="2" t="s">
        <v>148</v>
      </c>
      <c r="B20" s="3"/>
      <c r="C20" s="3"/>
      <c r="D20" s="2"/>
      <c r="E20" s="2"/>
      <c r="F20" s="2"/>
      <c r="G20" s="12" t="str">
        <f t="shared" si="0"/>
        <v/>
      </c>
      <c r="H20" s="3"/>
      <c r="I20" s="2"/>
      <c r="J20" s="13" t="str">
        <f t="shared" si="1"/>
        <v/>
      </c>
      <c r="K20" s="3"/>
    </row>
    <row r="21" spans="1:11" x14ac:dyDescent="0.3">
      <c r="A21" s="2" t="s">
        <v>149</v>
      </c>
      <c r="B21" s="3"/>
      <c r="C21" s="3"/>
      <c r="D21" s="2"/>
      <c r="E21" s="2"/>
      <c r="F21" s="2"/>
      <c r="G21" s="12" t="str">
        <f t="shared" si="0"/>
        <v/>
      </c>
      <c r="H21" s="3"/>
      <c r="I21" s="2"/>
      <c r="J21" s="13" t="str">
        <f t="shared" si="1"/>
        <v/>
      </c>
      <c r="K21" s="3"/>
    </row>
    <row r="22" spans="1:11" x14ac:dyDescent="0.3">
      <c r="A22" s="2" t="s">
        <v>150</v>
      </c>
      <c r="B22" s="3"/>
      <c r="C22" s="3"/>
      <c r="D22" s="2"/>
      <c r="E22" s="2"/>
      <c r="F22" s="2"/>
      <c r="G22" s="12" t="str">
        <f t="shared" si="0"/>
        <v/>
      </c>
      <c r="H22" s="3"/>
      <c r="I22" s="2"/>
      <c r="J22" s="13" t="str">
        <f t="shared" si="1"/>
        <v/>
      </c>
      <c r="K22" s="3"/>
    </row>
    <row r="23" spans="1:11" x14ac:dyDescent="0.3">
      <c r="A23" s="2" t="s">
        <v>151</v>
      </c>
      <c r="B23" s="3"/>
      <c r="C23" s="3"/>
      <c r="D23" s="2"/>
      <c r="E23" s="2"/>
      <c r="F23" s="2"/>
      <c r="G23" s="12" t="str">
        <f t="shared" si="0"/>
        <v/>
      </c>
      <c r="H23" s="3"/>
      <c r="I23" s="2"/>
      <c r="J23" s="13" t="str">
        <f t="shared" si="1"/>
        <v/>
      </c>
      <c r="K23" s="3"/>
    </row>
    <row r="24" spans="1:11" x14ac:dyDescent="0.3">
      <c r="A24" s="2" t="s">
        <v>152</v>
      </c>
      <c r="B24" s="3"/>
      <c r="C24" s="3"/>
      <c r="D24" s="2"/>
      <c r="E24" s="2"/>
      <c r="F24" s="2"/>
      <c r="G24" s="12" t="str">
        <f t="shared" si="0"/>
        <v/>
      </c>
      <c r="H24" s="3"/>
      <c r="I24" s="2"/>
      <c r="J24" s="13" t="str">
        <f t="shared" si="1"/>
        <v/>
      </c>
      <c r="K24" s="3"/>
    </row>
    <row r="25" spans="1:11" x14ac:dyDescent="0.3">
      <c r="A25" s="2" t="s">
        <v>153</v>
      </c>
      <c r="B25" s="3"/>
      <c r="C25" s="3"/>
      <c r="D25" s="2"/>
      <c r="E25" s="2"/>
      <c r="F25" s="2"/>
      <c r="G25" s="12" t="str">
        <f t="shared" si="0"/>
        <v/>
      </c>
      <c r="H25" s="3"/>
      <c r="I25" s="2"/>
      <c r="J25" s="13" t="str">
        <f t="shared" si="1"/>
        <v/>
      </c>
      <c r="K25" s="3"/>
    </row>
    <row r="26" spans="1:11" x14ac:dyDescent="0.3">
      <c r="A26" s="2" t="s">
        <v>154</v>
      </c>
      <c r="B26" s="3"/>
      <c r="C26" s="3"/>
      <c r="D26" s="2"/>
      <c r="E26" s="2"/>
      <c r="F26" s="2"/>
      <c r="G26" s="12" t="str">
        <f t="shared" si="0"/>
        <v/>
      </c>
      <c r="H26" s="3"/>
      <c r="I26" s="2"/>
      <c r="J26" s="13" t="str">
        <f t="shared" si="1"/>
        <v/>
      </c>
      <c r="K26" s="3"/>
    </row>
    <row r="27" spans="1:11" x14ac:dyDescent="0.3">
      <c r="A27" s="2" t="s">
        <v>155</v>
      </c>
      <c r="B27" s="3"/>
      <c r="C27" s="3"/>
      <c r="D27" s="2"/>
      <c r="E27" s="2"/>
      <c r="F27" s="2"/>
      <c r="G27" s="12" t="str">
        <f t="shared" si="0"/>
        <v/>
      </c>
      <c r="H27" s="3"/>
      <c r="I27" s="2"/>
      <c r="J27" s="13" t="str">
        <f t="shared" si="1"/>
        <v/>
      </c>
      <c r="K27" s="3"/>
    </row>
    <row r="28" spans="1:11" x14ac:dyDescent="0.3">
      <c r="A28" s="2" t="s">
        <v>156</v>
      </c>
      <c r="B28" s="3"/>
      <c r="C28" s="3"/>
      <c r="D28" s="2"/>
      <c r="E28" s="2"/>
      <c r="F28" s="2"/>
      <c r="G28" s="12" t="str">
        <f t="shared" si="0"/>
        <v/>
      </c>
      <c r="H28" s="3"/>
      <c r="I28" s="2"/>
      <c r="J28" s="13" t="str">
        <f t="shared" si="1"/>
        <v/>
      </c>
      <c r="K28" s="3"/>
    </row>
    <row r="29" spans="1:11" x14ac:dyDescent="0.3">
      <c r="A29" s="2" t="s">
        <v>157</v>
      </c>
      <c r="B29" s="3"/>
      <c r="C29" s="3"/>
      <c r="D29" s="2"/>
      <c r="E29" s="2"/>
      <c r="F29" s="2"/>
      <c r="G29" s="12" t="str">
        <f t="shared" si="0"/>
        <v/>
      </c>
      <c r="H29" s="3"/>
      <c r="I29" s="2"/>
      <c r="J29" s="13" t="str">
        <f t="shared" si="1"/>
        <v/>
      </c>
      <c r="K29" s="3"/>
    </row>
    <row r="30" spans="1:11" x14ac:dyDescent="0.3">
      <c r="A30" s="2" t="s">
        <v>158</v>
      </c>
      <c r="B30" s="3"/>
      <c r="C30" s="3"/>
      <c r="D30" s="2"/>
      <c r="E30" s="2"/>
      <c r="F30" s="2"/>
      <c r="G30" s="12" t="str">
        <f t="shared" si="0"/>
        <v/>
      </c>
      <c r="H30" s="3"/>
      <c r="I30" s="2"/>
      <c r="J30" s="13" t="str">
        <f t="shared" si="1"/>
        <v/>
      </c>
      <c r="K30" s="3"/>
    </row>
    <row r="31" spans="1:11" x14ac:dyDescent="0.3">
      <c r="A31" s="2" t="s">
        <v>159</v>
      </c>
      <c r="B31" s="3"/>
      <c r="C31" s="3"/>
      <c r="D31" s="2"/>
      <c r="E31" s="2"/>
      <c r="F31" s="2"/>
      <c r="G31" s="12" t="str">
        <f t="shared" si="0"/>
        <v/>
      </c>
      <c r="H31" s="3"/>
      <c r="I31" s="2"/>
      <c r="J31" s="13" t="str">
        <f t="shared" si="1"/>
        <v/>
      </c>
      <c r="K31" s="3"/>
    </row>
    <row r="32" spans="1:11" x14ac:dyDescent="0.3">
      <c r="A32" s="2" t="s">
        <v>160</v>
      </c>
      <c r="B32" s="3"/>
      <c r="C32" s="3"/>
      <c r="D32" s="2"/>
      <c r="E32" s="2"/>
      <c r="F32" s="2"/>
      <c r="G32" s="12" t="str">
        <f t="shared" si="0"/>
        <v/>
      </c>
      <c r="H32" s="3"/>
      <c r="I32" s="2"/>
      <c r="J32" s="13" t="str">
        <f t="shared" si="1"/>
        <v/>
      </c>
      <c r="K32" s="3"/>
    </row>
    <row r="33" spans="1:11" x14ac:dyDescent="0.3">
      <c r="A33" s="2" t="s">
        <v>161</v>
      </c>
      <c r="B33" s="3"/>
      <c r="C33" s="3"/>
      <c r="D33" s="2"/>
      <c r="E33" s="2"/>
      <c r="F33" s="2"/>
      <c r="G33" s="12" t="str">
        <f t="shared" si="0"/>
        <v/>
      </c>
      <c r="H33" s="3"/>
      <c r="I33" s="2"/>
      <c r="J33" s="13" t="str">
        <f t="shared" si="1"/>
        <v/>
      </c>
      <c r="K33" s="3"/>
    </row>
    <row r="34" spans="1:11" x14ac:dyDescent="0.3">
      <c r="A34" s="2" t="s">
        <v>162</v>
      </c>
      <c r="B34" s="3"/>
      <c r="C34" s="3"/>
      <c r="D34" s="2"/>
      <c r="E34" s="2"/>
      <c r="F34" s="2"/>
      <c r="G34" s="12" t="str">
        <f t="shared" si="0"/>
        <v/>
      </c>
      <c r="H34" s="3"/>
      <c r="I34" s="2"/>
      <c r="J34" s="13" t="str">
        <f t="shared" si="1"/>
        <v/>
      </c>
      <c r="K34" s="3"/>
    </row>
    <row r="35" spans="1:11" x14ac:dyDescent="0.3">
      <c r="A35" s="2" t="s">
        <v>163</v>
      </c>
      <c r="B35" s="3"/>
      <c r="C35" s="3"/>
      <c r="D35" s="2"/>
      <c r="E35" s="2"/>
      <c r="F35" s="2"/>
      <c r="G35" s="12" t="str">
        <f t="shared" si="0"/>
        <v/>
      </c>
      <c r="H35" s="3"/>
      <c r="I35" s="2"/>
      <c r="J35" s="13" t="str">
        <f t="shared" si="1"/>
        <v/>
      </c>
      <c r="K35" s="3"/>
    </row>
    <row r="36" spans="1:11" x14ac:dyDescent="0.3">
      <c r="A36" s="2" t="s">
        <v>164</v>
      </c>
      <c r="B36" s="3"/>
      <c r="C36" s="3"/>
      <c r="D36" s="2"/>
      <c r="E36" s="2"/>
      <c r="F36" s="2"/>
      <c r="G36" s="12" t="str">
        <f t="shared" si="0"/>
        <v/>
      </c>
      <c r="H36" s="3"/>
      <c r="I36" s="2"/>
      <c r="J36" s="13" t="str">
        <f t="shared" si="1"/>
        <v/>
      </c>
      <c r="K36" s="3"/>
    </row>
    <row r="37" spans="1:11" x14ac:dyDescent="0.3">
      <c r="A37" s="2" t="s">
        <v>165</v>
      </c>
      <c r="B37" s="3"/>
      <c r="C37" s="3"/>
      <c r="D37" s="2"/>
      <c r="E37" s="2"/>
      <c r="F37" s="2"/>
      <c r="G37" s="12" t="str">
        <f t="shared" si="0"/>
        <v/>
      </c>
      <c r="H37" s="3"/>
      <c r="I37" s="2"/>
      <c r="J37" s="13" t="str">
        <f t="shared" si="1"/>
        <v/>
      </c>
      <c r="K37" s="3"/>
    </row>
    <row r="39" spans="1:11" x14ac:dyDescent="0.3">
      <c r="A39" s="18" t="s">
        <v>166</v>
      </c>
    </row>
    <row r="40" spans="1:11" ht="30.15" x14ac:dyDescent="0.3">
      <c r="A40" s="4" t="s">
        <v>167</v>
      </c>
      <c r="B40" s="4" t="s">
        <v>168</v>
      </c>
      <c r="C40" s="4" t="s">
        <v>169</v>
      </c>
    </row>
    <row r="41" spans="1:11" x14ac:dyDescent="0.3">
      <c r="A41" s="2" t="s">
        <v>170</v>
      </c>
      <c r="B41" s="2" t="s">
        <v>171</v>
      </c>
      <c r="C41" s="2" t="s">
        <v>172</v>
      </c>
    </row>
    <row r="42" spans="1:11" x14ac:dyDescent="0.3">
      <c r="A42" s="2" t="s">
        <v>173</v>
      </c>
      <c r="B42" s="2" t="s">
        <v>174</v>
      </c>
      <c r="C42" s="2" t="s">
        <v>175</v>
      </c>
    </row>
    <row r="43" spans="1:11" x14ac:dyDescent="0.3">
      <c r="A43" s="2" t="s">
        <v>176</v>
      </c>
      <c r="B43" s="2" t="s">
        <v>177</v>
      </c>
      <c r="C43" s="2" t="s">
        <v>178</v>
      </c>
    </row>
    <row r="44" spans="1:11" x14ac:dyDescent="0.3">
      <c r="A44" s="2" t="s">
        <v>179</v>
      </c>
      <c r="B44" s="2" t="s">
        <v>180</v>
      </c>
      <c r="C44" s="2" t="s">
        <v>181</v>
      </c>
    </row>
    <row r="51" spans="1:12" x14ac:dyDescent="0.3">
      <c r="A51" s="35" t="s">
        <v>343</v>
      </c>
    </row>
    <row r="58" spans="1:12" x14ac:dyDescent="0.3">
      <c r="I58" s="28" t="s">
        <v>340</v>
      </c>
      <c r="J58" s="29"/>
      <c r="K58" s="29"/>
      <c r="L58" s="29"/>
    </row>
    <row r="59" spans="1:12" x14ac:dyDescent="0.3">
      <c r="A59" s="28" t="s">
        <v>339</v>
      </c>
      <c r="B59" s="29"/>
      <c r="C59" s="29"/>
      <c r="I59" s="30" t="s">
        <v>341</v>
      </c>
    </row>
    <row r="60" spans="1:12" x14ac:dyDescent="0.3">
      <c r="A60" s="30" t="s">
        <v>341</v>
      </c>
    </row>
  </sheetData>
  <dataValidations count="3">
    <dataValidation type="list" allowBlank="1" prompt="Tipo de riesgo" sqref="D13:D37" xr:uid="{00000000-0002-0000-0300-000000000000}">
      <formula1>"Estratégico,Operacional,Financiero,Cumplimiento,Tecnológico,Reputacional"</formula1>
    </dataValidation>
    <dataValidation type="whole" allowBlank="1" prompt="Valor entre 1 y 5" sqref="E13:F37" xr:uid="{00000000-0002-0000-0300-000001000000}">
      <formula1>1</formula1>
      <formula2>5</formula2>
    </dataValidation>
    <dataValidation type="list" allowBlank="1" prompt="Efectividad del control" sqref="I13:I37" xr:uid="{00000000-0002-0000-0300-000002000000}">
      <formula1>"Alta,Media,Baja,N/A"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I38"/>
  <sheetViews>
    <sheetView workbookViewId="0">
      <selection activeCell="D4" sqref="D4:D7"/>
    </sheetView>
  </sheetViews>
  <sheetFormatPr baseColWidth="10" defaultColWidth="9.109375" defaultRowHeight="15.05" x14ac:dyDescent="0.3"/>
  <cols>
    <col min="1" max="1" width="8" customWidth="1"/>
    <col min="2" max="2" width="40" customWidth="1"/>
    <col min="3" max="3" width="20" customWidth="1"/>
    <col min="4" max="4" width="30" customWidth="1"/>
    <col min="5" max="5" width="20" customWidth="1"/>
    <col min="6" max="6" width="40" customWidth="1"/>
    <col min="8" max="8" width="17.109375" customWidth="1"/>
    <col min="9" max="9" width="11.33203125" customWidth="1"/>
  </cols>
  <sheetData>
    <row r="3" spans="1:9" ht="19" x14ac:dyDescent="0.3">
      <c r="I3" s="25" t="s">
        <v>346</v>
      </c>
    </row>
    <row r="4" spans="1:9" x14ac:dyDescent="0.3">
      <c r="D4" s="27" t="s">
        <v>349</v>
      </c>
    </row>
    <row r="5" spans="1:9" x14ac:dyDescent="0.3">
      <c r="D5" s="27" t="s">
        <v>350</v>
      </c>
      <c r="H5" s="26" t="s">
        <v>334</v>
      </c>
      <c r="I5" s="26"/>
    </row>
    <row r="6" spans="1:9" x14ac:dyDescent="0.3">
      <c r="D6" s="27" t="s">
        <v>351</v>
      </c>
      <c r="H6" s="26" t="s">
        <v>335</v>
      </c>
      <c r="I6" s="26"/>
    </row>
    <row r="7" spans="1:9" x14ac:dyDescent="0.3">
      <c r="D7" s="27" t="s">
        <v>352</v>
      </c>
      <c r="H7" s="26" t="s">
        <v>336</v>
      </c>
      <c r="I7" s="26"/>
    </row>
    <row r="8" spans="1:9" x14ac:dyDescent="0.3">
      <c r="D8" s="27"/>
      <c r="H8" s="26"/>
      <c r="I8" s="26"/>
    </row>
    <row r="9" spans="1:9" x14ac:dyDescent="0.3">
      <c r="A9" t="s">
        <v>344</v>
      </c>
      <c r="B9" s="36"/>
      <c r="C9" s="36"/>
      <c r="D9" s="36"/>
      <c r="H9" s="26" t="s">
        <v>337</v>
      </c>
      <c r="I9" s="26"/>
    </row>
    <row r="10" spans="1:9" x14ac:dyDescent="0.3">
      <c r="A10" t="s">
        <v>345</v>
      </c>
    </row>
    <row r="13" spans="1:9" x14ac:dyDescent="0.3">
      <c r="A13" s="4" t="s">
        <v>24</v>
      </c>
      <c r="B13" s="4" t="s">
        <v>133</v>
      </c>
      <c r="C13" s="4" t="s">
        <v>93</v>
      </c>
      <c r="D13" s="4" t="s">
        <v>182</v>
      </c>
      <c r="E13" s="4" t="s">
        <v>95</v>
      </c>
      <c r="F13" s="4" t="s">
        <v>30</v>
      </c>
    </row>
    <row r="14" spans="1:9" x14ac:dyDescent="0.3">
      <c r="A14" s="2">
        <v>1</v>
      </c>
      <c r="B14" s="3" t="s">
        <v>183</v>
      </c>
      <c r="C14" s="2" t="s">
        <v>313</v>
      </c>
      <c r="D14" s="3"/>
      <c r="E14" s="3"/>
      <c r="F14" s="3"/>
    </row>
    <row r="15" spans="1:9" x14ac:dyDescent="0.3">
      <c r="A15" s="2">
        <v>2</v>
      </c>
      <c r="B15" s="3" t="s">
        <v>184</v>
      </c>
      <c r="C15" s="2"/>
      <c r="D15" s="3"/>
      <c r="E15" s="3"/>
      <c r="F15" s="3"/>
    </row>
    <row r="16" spans="1:9" x14ac:dyDescent="0.3">
      <c r="A16" s="2">
        <v>3</v>
      </c>
      <c r="B16" s="3" t="s">
        <v>185</v>
      </c>
      <c r="C16" s="2"/>
      <c r="D16" s="3"/>
      <c r="E16" s="3"/>
      <c r="F16" s="3"/>
    </row>
    <row r="17" spans="1:6" x14ac:dyDescent="0.3">
      <c r="A17" s="2">
        <v>4</v>
      </c>
      <c r="B17" s="3" t="s">
        <v>186</v>
      </c>
      <c r="C17" s="2"/>
      <c r="D17" s="3"/>
      <c r="E17" s="3"/>
      <c r="F17" s="3"/>
    </row>
    <row r="18" spans="1:6" x14ac:dyDescent="0.3">
      <c r="A18" s="2">
        <v>5</v>
      </c>
      <c r="B18" s="3" t="s">
        <v>187</v>
      </c>
      <c r="C18" s="2"/>
      <c r="D18" s="3"/>
      <c r="E18" s="3"/>
      <c r="F18" s="3"/>
    </row>
    <row r="19" spans="1:6" x14ac:dyDescent="0.3">
      <c r="A19" s="2">
        <v>6</v>
      </c>
      <c r="B19" s="3" t="s">
        <v>188</v>
      </c>
      <c r="C19" s="2"/>
      <c r="D19" s="3"/>
      <c r="E19" s="3"/>
      <c r="F19" s="3"/>
    </row>
    <row r="20" spans="1:6" x14ac:dyDescent="0.3">
      <c r="A20" s="2">
        <v>7</v>
      </c>
      <c r="B20" s="3" t="s">
        <v>189</v>
      </c>
      <c r="C20" s="2"/>
      <c r="D20" s="3"/>
      <c r="E20" s="3"/>
      <c r="F20" s="3"/>
    </row>
    <row r="21" spans="1:6" x14ac:dyDescent="0.3">
      <c r="A21" s="2">
        <v>8</v>
      </c>
      <c r="B21" s="3" t="s">
        <v>190</v>
      </c>
      <c r="C21" s="2"/>
      <c r="D21" s="3"/>
      <c r="E21" s="3"/>
      <c r="F21" s="3"/>
    </row>
    <row r="22" spans="1:6" x14ac:dyDescent="0.3">
      <c r="A22" s="2">
        <v>9</v>
      </c>
      <c r="B22" s="3" t="s">
        <v>191</v>
      </c>
      <c r="C22" s="2"/>
      <c r="D22" s="3"/>
      <c r="E22" s="3"/>
      <c r="F22" s="3"/>
    </row>
    <row r="23" spans="1:6" x14ac:dyDescent="0.3">
      <c r="A23" s="2">
        <v>10</v>
      </c>
      <c r="B23" s="3" t="s">
        <v>192</v>
      </c>
      <c r="C23" s="2"/>
      <c r="D23" s="3"/>
      <c r="E23" s="3"/>
      <c r="F23" s="3"/>
    </row>
    <row r="24" spans="1:6" x14ac:dyDescent="0.3">
      <c r="A24" s="2">
        <v>11</v>
      </c>
      <c r="B24" s="3" t="s">
        <v>193</v>
      </c>
      <c r="C24" s="2"/>
      <c r="D24" s="3"/>
      <c r="E24" s="3"/>
      <c r="F24" s="3"/>
    </row>
    <row r="25" spans="1:6" x14ac:dyDescent="0.3">
      <c r="A25" s="2">
        <v>12</v>
      </c>
      <c r="B25" s="3" t="s">
        <v>194</v>
      </c>
      <c r="C25" s="2"/>
      <c r="D25" s="3"/>
      <c r="E25" s="3"/>
      <c r="F25" s="3"/>
    </row>
    <row r="29" spans="1:6" x14ac:dyDescent="0.3">
      <c r="A29" s="35" t="s">
        <v>343</v>
      </c>
    </row>
    <row r="37" spans="1:6" x14ac:dyDescent="0.3">
      <c r="A37" s="28" t="s">
        <v>339</v>
      </c>
      <c r="B37" s="29"/>
      <c r="C37" s="29"/>
      <c r="E37" s="28" t="s">
        <v>340</v>
      </c>
      <c r="F37" s="29"/>
    </row>
    <row r="38" spans="1:6" x14ac:dyDescent="0.3">
      <c r="A38" s="30" t="s">
        <v>341</v>
      </c>
      <c r="E38" s="30" t="s">
        <v>341</v>
      </c>
    </row>
  </sheetData>
  <dataValidations count="1">
    <dataValidation type="list" allowBlank="1" prompt="Nivel de cumplimiento" sqref="C14:C25" xr:uid="{00000000-0002-0000-0400-000000000000}">
      <formula1>"Cumple,Cumple Parcialmente,No Cumple,N/A"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J36"/>
  <sheetViews>
    <sheetView topLeftCell="C1" workbookViewId="0">
      <selection activeCell="E4" sqref="E4:E7"/>
    </sheetView>
  </sheetViews>
  <sheetFormatPr baseColWidth="10" defaultColWidth="9.109375" defaultRowHeight="15.05" x14ac:dyDescent="0.3"/>
  <cols>
    <col min="1" max="1" width="25" customWidth="1"/>
    <col min="2" max="3" width="35" customWidth="1"/>
    <col min="4" max="5" width="15" customWidth="1"/>
    <col min="6" max="6" width="30" customWidth="1"/>
    <col min="7" max="7" width="40" customWidth="1"/>
    <col min="9" max="9" width="18.109375" customWidth="1"/>
    <col min="10" max="10" width="11.5546875" customWidth="1"/>
  </cols>
  <sheetData>
    <row r="3" spans="1:10" ht="19" x14ac:dyDescent="0.3">
      <c r="J3" s="25" t="s">
        <v>12</v>
      </c>
    </row>
    <row r="4" spans="1:10" x14ac:dyDescent="0.3">
      <c r="E4" s="27" t="s">
        <v>349</v>
      </c>
    </row>
    <row r="5" spans="1:10" x14ac:dyDescent="0.3">
      <c r="E5" s="27" t="s">
        <v>350</v>
      </c>
      <c r="I5" s="26" t="s">
        <v>334</v>
      </c>
      <c r="J5" s="26"/>
    </row>
    <row r="6" spans="1:10" x14ac:dyDescent="0.3">
      <c r="E6" s="27" t="s">
        <v>351</v>
      </c>
      <c r="I6" s="26" t="s">
        <v>335</v>
      </c>
      <c r="J6" s="26"/>
    </row>
    <row r="7" spans="1:10" x14ac:dyDescent="0.3">
      <c r="E7" s="27" t="s">
        <v>352</v>
      </c>
      <c r="I7" s="26" t="s">
        <v>336</v>
      </c>
      <c r="J7" s="26"/>
    </row>
    <row r="8" spans="1:10" x14ac:dyDescent="0.3">
      <c r="I8" s="26" t="s">
        <v>337</v>
      </c>
      <c r="J8" s="26"/>
    </row>
    <row r="9" spans="1:10" ht="18.350000000000001" x14ac:dyDescent="0.35">
      <c r="D9" s="33" t="s">
        <v>347</v>
      </c>
    </row>
    <row r="10" spans="1:10" x14ac:dyDescent="0.3">
      <c r="D10" s="17" t="s">
        <v>195</v>
      </c>
    </row>
    <row r="13" spans="1:10" x14ac:dyDescent="0.3">
      <c r="A13" s="4" t="s">
        <v>196</v>
      </c>
      <c r="B13" s="4" t="s">
        <v>197</v>
      </c>
      <c r="C13" s="4" t="s">
        <v>198</v>
      </c>
      <c r="D13" s="4" t="s">
        <v>199</v>
      </c>
      <c r="E13" s="4" t="s">
        <v>200</v>
      </c>
      <c r="F13" s="4" t="s">
        <v>201</v>
      </c>
      <c r="G13" s="4" t="s">
        <v>30</v>
      </c>
    </row>
    <row r="14" spans="1:10" x14ac:dyDescent="0.3">
      <c r="A14" s="3" t="s">
        <v>202</v>
      </c>
      <c r="B14" s="3"/>
      <c r="C14" s="3"/>
      <c r="D14" s="2"/>
      <c r="E14" s="2" t="s">
        <v>348</v>
      </c>
      <c r="F14" s="3"/>
      <c r="G14" s="3"/>
    </row>
    <row r="15" spans="1:10" x14ac:dyDescent="0.3">
      <c r="A15" s="3" t="s">
        <v>203</v>
      </c>
      <c r="B15" s="3"/>
      <c r="C15" s="3"/>
      <c r="D15" s="2"/>
      <c r="E15" s="2"/>
      <c r="F15" s="3"/>
      <c r="G15" s="3"/>
    </row>
    <row r="16" spans="1:10" x14ac:dyDescent="0.3">
      <c r="A16" s="3" t="s">
        <v>204</v>
      </c>
      <c r="B16" s="3"/>
      <c r="C16" s="3"/>
      <c r="D16" s="2"/>
      <c r="E16" s="2"/>
      <c r="F16" s="3"/>
      <c r="G16" s="3"/>
    </row>
    <row r="17" spans="1:7" x14ac:dyDescent="0.3">
      <c r="A17" s="3" t="s">
        <v>205</v>
      </c>
      <c r="B17" s="3"/>
      <c r="C17" s="3"/>
      <c r="D17" s="2"/>
      <c r="E17" s="2"/>
      <c r="F17" s="3"/>
      <c r="G17" s="3"/>
    </row>
    <row r="18" spans="1:7" x14ac:dyDescent="0.3">
      <c r="A18" s="3" t="s">
        <v>206</v>
      </c>
      <c r="B18" s="3"/>
      <c r="C18" s="3"/>
      <c r="D18" s="2"/>
      <c r="E18" s="2"/>
      <c r="F18" s="3"/>
      <c r="G18" s="3"/>
    </row>
    <row r="19" spans="1:7" ht="30.15" x14ac:dyDescent="0.3">
      <c r="A19" s="3" t="s">
        <v>207</v>
      </c>
      <c r="B19" s="3"/>
      <c r="C19" s="3"/>
      <c r="D19" s="2"/>
      <c r="E19" s="2"/>
      <c r="F19" s="3"/>
      <c r="G19" s="3"/>
    </row>
    <row r="20" spans="1:7" x14ac:dyDescent="0.3">
      <c r="A20" s="3" t="s">
        <v>208</v>
      </c>
      <c r="B20" s="3"/>
      <c r="C20" s="3"/>
      <c r="D20" s="2"/>
      <c r="E20" s="2"/>
      <c r="F20" s="3"/>
      <c r="G20" s="3"/>
    </row>
    <row r="21" spans="1:7" x14ac:dyDescent="0.3">
      <c r="A21" s="3" t="s">
        <v>209</v>
      </c>
      <c r="B21" s="3"/>
      <c r="C21" s="3"/>
      <c r="D21" s="2"/>
      <c r="E21" s="2"/>
      <c r="F21" s="3"/>
      <c r="G21" s="3"/>
    </row>
    <row r="22" spans="1:7" x14ac:dyDescent="0.3">
      <c r="A22" s="3" t="s">
        <v>210</v>
      </c>
      <c r="B22" s="3"/>
      <c r="C22" s="3"/>
      <c r="D22" s="2"/>
      <c r="E22" s="2"/>
      <c r="F22" s="3"/>
      <c r="G22" s="3"/>
    </row>
    <row r="23" spans="1:7" x14ac:dyDescent="0.3">
      <c r="A23" s="3" t="s">
        <v>211</v>
      </c>
      <c r="B23" s="3"/>
      <c r="C23" s="3"/>
      <c r="D23" s="2"/>
      <c r="E23" s="2"/>
      <c r="F23" s="3"/>
      <c r="G23" s="3"/>
    </row>
    <row r="27" spans="1:7" x14ac:dyDescent="0.3">
      <c r="C27" s="35" t="s">
        <v>343</v>
      </c>
    </row>
    <row r="35" spans="3:7" x14ac:dyDescent="0.3">
      <c r="C35" s="32" t="s">
        <v>339</v>
      </c>
      <c r="D35" s="29"/>
      <c r="E35" s="29"/>
      <c r="F35" s="32" t="s">
        <v>340</v>
      </c>
      <c r="G35" s="29"/>
    </row>
    <row r="36" spans="3:7" x14ac:dyDescent="0.3">
      <c r="C36" s="30" t="s">
        <v>341</v>
      </c>
      <c r="F36" s="30" t="s">
        <v>341</v>
      </c>
    </row>
  </sheetData>
  <dataValidations count="1">
    <dataValidation type="list" allowBlank="1" prompt="Resultado de la prueba" sqref="E14:E23" xr:uid="{00000000-0002-0000-0500-000000000000}">
      <formula1>"Satisfactorio,Aceptable,Deficiente,N/A"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L71"/>
  <sheetViews>
    <sheetView topLeftCell="C1" workbookViewId="0">
      <selection activeCell="E4" sqref="E4:E7"/>
    </sheetView>
  </sheetViews>
  <sheetFormatPr baseColWidth="10" defaultColWidth="9.109375" defaultRowHeight="15.05" x14ac:dyDescent="0.3"/>
  <cols>
    <col min="1" max="1" width="8" customWidth="1"/>
    <col min="2" max="2" width="20" customWidth="1"/>
    <col min="3" max="3" width="40" customWidth="1"/>
    <col min="4" max="4" width="12" customWidth="1"/>
    <col min="5" max="5" width="30" customWidth="1"/>
    <col min="6" max="6" width="40" customWidth="1"/>
    <col min="7" max="7" width="20" customWidth="1"/>
    <col min="8" max="8" width="12" customWidth="1"/>
    <col min="9" max="9" width="15" customWidth="1"/>
    <col min="11" max="11" width="17.5546875" customWidth="1"/>
    <col min="12" max="12" width="11.88671875" customWidth="1"/>
  </cols>
  <sheetData>
    <row r="3" spans="1:12" ht="19" x14ac:dyDescent="0.3">
      <c r="L3" s="25" t="s">
        <v>14</v>
      </c>
    </row>
    <row r="4" spans="1:12" x14ac:dyDescent="0.3">
      <c r="E4" s="27" t="s">
        <v>349</v>
      </c>
    </row>
    <row r="5" spans="1:12" x14ac:dyDescent="0.3">
      <c r="E5" s="27" t="s">
        <v>350</v>
      </c>
      <c r="K5" s="26" t="s">
        <v>334</v>
      </c>
      <c r="L5" s="26"/>
    </row>
    <row r="6" spans="1:12" x14ac:dyDescent="0.3">
      <c r="E6" s="27" t="s">
        <v>351</v>
      </c>
      <c r="K6" s="26" t="s">
        <v>335</v>
      </c>
      <c r="L6" s="26"/>
    </row>
    <row r="7" spans="1:12" x14ac:dyDescent="0.3">
      <c r="E7" s="27" t="s">
        <v>352</v>
      </c>
      <c r="K7" s="26" t="s">
        <v>336</v>
      </c>
      <c r="L7" s="26"/>
    </row>
    <row r="8" spans="1:12" x14ac:dyDescent="0.3">
      <c r="E8" s="27"/>
      <c r="K8" s="26" t="s">
        <v>337</v>
      </c>
      <c r="L8" s="26"/>
    </row>
    <row r="9" spans="1:12" ht="18.350000000000001" x14ac:dyDescent="0.35">
      <c r="D9" s="33" t="s">
        <v>212</v>
      </c>
    </row>
    <row r="10" spans="1:12" x14ac:dyDescent="0.3">
      <c r="D10" s="17" t="s">
        <v>213</v>
      </c>
    </row>
    <row r="13" spans="1:12" x14ac:dyDescent="0.3">
      <c r="A13" s="4" t="s">
        <v>132</v>
      </c>
      <c r="B13" s="4" t="s">
        <v>214</v>
      </c>
      <c r="C13" s="4" t="s">
        <v>215</v>
      </c>
      <c r="D13" s="4" t="s">
        <v>216</v>
      </c>
      <c r="E13" s="4" t="s">
        <v>217</v>
      </c>
      <c r="F13" s="4" t="s">
        <v>218</v>
      </c>
      <c r="G13" s="4" t="s">
        <v>95</v>
      </c>
      <c r="H13" s="4" t="s">
        <v>219</v>
      </c>
      <c r="I13" s="4" t="s">
        <v>2</v>
      </c>
    </row>
    <row r="14" spans="1:12" x14ac:dyDescent="0.3">
      <c r="A14" s="2" t="s">
        <v>220</v>
      </c>
      <c r="B14" s="3"/>
      <c r="C14" s="3"/>
      <c r="D14" s="2" t="s">
        <v>316</v>
      </c>
      <c r="E14" s="3"/>
      <c r="F14" s="3"/>
      <c r="G14" s="3"/>
      <c r="H14" s="3"/>
      <c r="I14" s="2"/>
    </row>
    <row r="15" spans="1:12" x14ac:dyDescent="0.3">
      <c r="A15" s="2" t="s">
        <v>221</v>
      </c>
      <c r="B15" s="3"/>
      <c r="C15" s="3"/>
      <c r="D15" s="2"/>
      <c r="E15" s="3"/>
      <c r="F15" s="3"/>
      <c r="G15" s="3"/>
      <c r="H15" s="3"/>
      <c r="I15" s="2"/>
    </row>
    <row r="16" spans="1:12" x14ac:dyDescent="0.3">
      <c r="A16" s="2" t="s">
        <v>222</v>
      </c>
      <c r="B16" s="3"/>
      <c r="C16" s="3"/>
      <c r="D16" s="2"/>
      <c r="E16" s="3"/>
      <c r="F16" s="3"/>
      <c r="G16" s="3"/>
      <c r="H16" s="3"/>
      <c r="I16" s="2"/>
    </row>
    <row r="17" spans="1:9" x14ac:dyDescent="0.3">
      <c r="A17" s="2" t="s">
        <v>223</v>
      </c>
      <c r="B17" s="3"/>
      <c r="C17" s="3"/>
      <c r="D17" s="2"/>
      <c r="E17" s="3"/>
      <c r="F17" s="3"/>
      <c r="G17" s="3"/>
      <c r="H17" s="3"/>
      <c r="I17" s="2"/>
    </row>
    <row r="18" spans="1:9" x14ac:dyDescent="0.3">
      <c r="A18" s="2" t="s">
        <v>224</v>
      </c>
      <c r="B18" s="3"/>
      <c r="C18" s="3"/>
      <c r="D18" s="2"/>
      <c r="E18" s="3"/>
      <c r="F18" s="3"/>
      <c r="G18" s="3"/>
      <c r="H18" s="3"/>
      <c r="I18" s="2"/>
    </row>
    <row r="19" spans="1:9" x14ac:dyDescent="0.3">
      <c r="A19" s="2" t="s">
        <v>225</v>
      </c>
      <c r="B19" s="3"/>
      <c r="C19" s="3"/>
      <c r="D19" s="2"/>
      <c r="E19" s="3"/>
      <c r="F19" s="3"/>
      <c r="G19" s="3"/>
      <c r="H19" s="3"/>
      <c r="I19" s="2"/>
    </row>
    <row r="20" spans="1:9" x14ac:dyDescent="0.3">
      <c r="A20" s="2" t="s">
        <v>226</v>
      </c>
      <c r="B20" s="3"/>
      <c r="C20" s="3"/>
      <c r="D20" s="2"/>
      <c r="E20" s="3"/>
      <c r="F20" s="3"/>
      <c r="G20" s="3"/>
      <c r="H20" s="3"/>
      <c r="I20" s="2"/>
    </row>
    <row r="21" spans="1:9" x14ac:dyDescent="0.3">
      <c r="A21" s="2" t="s">
        <v>227</v>
      </c>
      <c r="B21" s="3"/>
      <c r="C21" s="3"/>
      <c r="D21" s="2"/>
      <c r="E21" s="3"/>
      <c r="F21" s="3"/>
      <c r="G21" s="3"/>
      <c r="H21" s="3"/>
      <c r="I21" s="2"/>
    </row>
    <row r="22" spans="1:9" x14ac:dyDescent="0.3">
      <c r="A22" s="2" t="s">
        <v>228</v>
      </c>
      <c r="B22" s="3"/>
      <c r="C22" s="3"/>
      <c r="D22" s="2"/>
      <c r="E22" s="3"/>
      <c r="F22" s="3"/>
      <c r="G22" s="3"/>
      <c r="H22" s="3"/>
      <c r="I22" s="2"/>
    </row>
    <row r="23" spans="1:9" x14ac:dyDescent="0.3">
      <c r="A23" s="2" t="s">
        <v>229</v>
      </c>
      <c r="B23" s="3"/>
      <c r="C23" s="3"/>
      <c r="D23" s="2"/>
      <c r="E23" s="3"/>
      <c r="F23" s="3"/>
      <c r="G23" s="3"/>
      <c r="H23" s="3"/>
      <c r="I23" s="2"/>
    </row>
    <row r="24" spans="1:9" x14ac:dyDescent="0.3">
      <c r="A24" s="2" t="s">
        <v>230</v>
      </c>
      <c r="B24" s="3"/>
      <c r="C24" s="3"/>
      <c r="D24" s="2"/>
      <c r="E24" s="3"/>
      <c r="F24" s="3"/>
      <c r="G24" s="3"/>
      <c r="H24" s="3"/>
      <c r="I24" s="2"/>
    </row>
    <row r="25" spans="1:9" x14ac:dyDescent="0.3">
      <c r="A25" s="2" t="s">
        <v>231</v>
      </c>
      <c r="B25" s="3"/>
      <c r="C25" s="3"/>
      <c r="D25" s="2"/>
      <c r="F25" s="3"/>
      <c r="G25" s="3"/>
      <c r="H25" s="3"/>
      <c r="I25" s="2"/>
    </row>
    <row r="26" spans="1:9" x14ac:dyDescent="0.3">
      <c r="A26" s="2" t="s">
        <v>232</v>
      </c>
      <c r="B26" s="3"/>
      <c r="C26" s="3"/>
      <c r="D26" s="2"/>
      <c r="E26" s="3"/>
      <c r="F26" s="3"/>
      <c r="G26" s="3"/>
      <c r="H26" s="3"/>
      <c r="I26" s="2"/>
    </row>
    <row r="27" spans="1:9" x14ac:dyDescent="0.3">
      <c r="A27" s="2" t="s">
        <v>233</v>
      </c>
      <c r="B27" s="3"/>
      <c r="C27" s="3"/>
      <c r="D27" s="2"/>
      <c r="E27" s="3"/>
      <c r="F27" s="3"/>
      <c r="G27" s="3"/>
      <c r="H27" s="3"/>
      <c r="I27" s="2"/>
    </row>
    <row r="28" spans="1:9" x14ac:dyDescent="0.3">
      <c r="A28" s="2" t="s">
        <v>234</v>
      </c>
      <c r="B28" s="3"/>
      <c r="C28" s="3"/>
      <c r="D28" s="2"/>
      <c r="E28" s="3"/>
      <c r="F28" s="3"/>
      <c r="G28" s="3"/>
      <c r="H28" s="3"/>
      <c r="I28" s="2"/>
    </row>
    <row r="29" spans="1:9" x14ac:dyDescent="0.3">
      <c r="A29" s="2" t="s">
        <v>235</v>
      </c>
      <c r="B29" s="3"/>
      <c r="C29" s="3"/>
      <c r="D29" s="2"/>
      <c r="E29" s="3"/>
      <c r="F29" s="3"/>
      <c r="G29" s="3"/>
      <c r="H29" s="3"/>
      <c r="I29" s="2"/>
    </row>
    <row r="30" spans="1:9" x14ac:dyDescent="0.3">
      <c r="A30" s="2" t="s">
        <v>236</v>
      </c>
      <c r="B30" s="3"/>
      <c r="C30" s="3"/>
      <c r="D30" s="2"/>
      <c r="E30" s="3"/>
      <c r="F30" s="3"/>
      <c r="G30" s="3"/>
      <c r="H30" s="3"/>
      <c r="I30" s="2"/>
    </row>
    <row r="31" spans="1:9" x14ac:dyDescent="0.3">
      <c r="A31" s="2" t="s">
        <v>237</v>
      </c>
      <c r="B31" s="3"/>
      <c r="C31" s="3"/>
      <c r="D31" s="2"/>
      <c r="E31" s="3"/>
      <c r="F31" s="3"/>
      <c r="G31" s="3"/>
      <c r="H31" s="3"/>
      <c r="I31" s="2"/>
    </row>
    <row r="32" spans="1:9" x14ac:dyDescent="0.3">
      <c r="A32" s="2" t="s">
        <v>238</v>
      </c>
      <c r="B32" s="3"/>
      <c r="C32" s="3"/>
      <c r="D32" s="2"/>
      <c r="E32" s="3"/>
      <c r="F32" s="3"/>
      <c r="G32" s="3"/>
      <c r="H32" s="3"/>
      <c r="I32" s="2"/>
    </row>
    <row r="33" spans="1:9" x14ac:dyDescent="0.3">
      <c r="A33" s="2" t="s">
        <v>239</v>
      </c>
      <c r="B33" s="3"/>
      <c r="C33" s="3"/>
      <c r="D33" s="2"/>
      <c r="E33" s="3"/>
      <c r="F33" s="3"/>
      <c r="G33" s="3"/>
      <c r="H33" s="3"/>
      <c r="I33" s="2"/>
    </row>
    <row r="36" spans="1:9" x14ac:dyDescent="0.3">
      <c r="A36" s="35" t="s">
        <v>343</v>
      </c>
    </row>
    <row r="44" spans="1:9" x14ac:dyDescent="0.3">
      <c r="A44" s="28" t="s">
        <v>339</v>
      </c>
      <c r="B44" s="29"/>
      <c r="C44" s="29"/>
      <c r="H44" s="28" t="s">
        <v>340</v>
      </c>
      <c r="I44" s="29"/>
    </row>
    <row r="45" spans="1:9" x14ac:dyDescent="0.3">
      <c r="A45" s="30" t="s">
        <v>341</v>
      </c>
      <c r="H45" s="30" t="s">
        <v>341</v>
      </c>
    </row>
    <row r="71" spans="10:10" x14ac:dyDescent="0.3">
      <c r="J71" s="29"/>
    </row>
  </sheetData>
  <dataValidations count="2">
    <dataValidation type="list" allowBlank="1" prompt="Nivel de severidad" sqref="D14:D33" xr:uid="{00000000-0002-0000-0600-000000000000}">
      <formula1>"Crítica,Alta,Media,Baja"</formula1>
    </dataValidation>
    <dataValidation type="list" allowBlank="1" prompt="Estado actual" sqref="I14:I33" xr:uid="{00000000-0002-0000-0600-000001000000}">
      <formula1>"Pendiente,En Proceso,Implementado,Cerrado,No Aplica"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J61"/>
  <sheetViews>
    <sheetView workbookViewId="0">
      <selection activeCell="E4" sqref="E4:E7"/>
    </sheetView>
  </sheetViews>
  <sheetFormatPr baseColWidth="10" defaultColWidth="9.109375" defaultRowHeight="15.05" x14ac:dyDescent="0.3"/>
  <cols>
    <col min="1" max="1" width="17.44140625" customWidth="1"/>
    <col min="2" max="2" width="55" customWidth="1"/>
    <col min="3" max="5" width="6" customWidth="1"/>
    <col min="6" max="6" width="12" customWidth="1"/>
    <col min="7" max="7" width="40" customWidth="1"/>
    <col min="9" max="9" width="17.33203125" bestFit="1" customWidth="1"/>
    <col min="10" max="10" width="11.109375" customWidth="1"/>
  </cols>
  <sheetData>
    <row r="3" spans="1:10" ht="19" x14ac:dyDescent="0.3">
      <c r="J3" s="25" t="s">
        <v>16</v>
      </c>
    </row>
    <row r="4" spans="1:10" x14ac:dyDescent="0.3">
      <c r="E4" s="27" t="s">
        <v>349</v>
      </c>
    </row>
    <row r="5" spans="1:10" x14ac:dyDescent="0.3">
      <c r="E5" s="27" t="s">
        <v>350</v>
      </c>
      <c r="I5" s="26" t="s">
        <v>334</v>
      </c>
      <c r="J5" s="26"/>
    </row>
    <row r="6" spans="1:10" x14ac:dyDescent="0.3">
      <c r="E6" s="27" t="s">
        <v>351</v>
      </c>
      <c r="I6" s="26" t="s">
        <v>335</v>
      </c>
      <c r="J6" s="26"/>
    </row>
    <row r="7" spans="1:10" x14ac:dyDescent="0.3">
      <c r="E7" s="27" t="s">
        <v>352</v>
      </c>
      <c r="I7" s="26" t="s">
        <v>336</v>
      </c>
      <c r="J7" s="26"/>
    </row>
    <row r="8" spans="1:10" x14ac:dyDescent="0.3">
      <c r="E8" s="27"/>
      <c r="I8" s="26" t="s">
        <v>337</v>
      </c>
      <c r="J8" s="26"/>
    </row>
    <row r="9" spans="1:10" ht="18.350000000000001" x14ac:dyDescent="0.35">
      <c r="C9" s="33" t="s">
        <v>240</v>
      </c>
    </row>
    <row r="10" spans="1:10" x14ac:dyDescent="0.3">
      <c r="C10" s="17" t="s">
        <v>241</v>
      </c>
    </row>
    <row r="13" spans="1:10" x14ac:dyDescent="0.3">
      <c r="A13" s="4" t="s">
        <v>24</v>
      </c>
      <c r="B13" s="4" t="s">
        <v>242</v>
      </c>
      <c r="C13" s="4" t="s">
        <v>26</v>
      </c>
      <c r="D13" s="4" t="s">
        <v>27</v>
      </c>
      <c r="E13" s="4" t="s">
        <v>28</v>
      </c>
      <c r="F13" s="4" t="s">
        <v>29</v>
      </c>
      <c r="G13" s="4" t="s">
        <v>30</v>
      </c>
    </row>
    <row r="14" spans="1:10" x14ac:dyDescent="0.3">
      <c r="A14" s="18" t="s">
        <v>243</v>
      </c>
    </row>
    <row r="15" spans="1:10" x14ac:dyDescent="0.3">
      <c r="A15" s="2">
        <v>1</v>
      </c>
      <c r="B15" s="3" t="s">
        <v>244</v>
      </c>
      <c r="C15" s="2" t="s">
        <v>26</v>
      </c>
      <c r="D15" s="2"/>
      <c r="E15" s="2"/>
      <c r="F15" s="5">
        <f>IF(C15="Sí",5,IF(D15="No",1,IF(E15="N/A",0,"")))</f>
        <v>5</v>
      </c>
      <c r="G15" s="3"/>
    </row>
    <row r="16" spans="1:10" x14ac:dyDescent="0.3">
      <c r="A16" s="2">
        <v>2</v>
      </c>
      <c r="B16" s="3" t="s">
        <v>245</v>
      </c>
      <c r="C16" s="2"/>
      <c r="D16" s="2"/>
      <c r="E16" s="2"/>
      <c r="F16" s="5" t="str">
        <f>IF(C16="Sí",5,IF(D16="No",1,IF(E16="N/A",0,"")))</f>
        <v/>
      </c>
      <c r="G16" s="3"/>
    </row>
    <row r="17" spans="1:7" x14ac:dyDescent="0.3">
      <c r="A17" s="2">
        <v>3</v>
      </c>
      <c r="B17" s="3" t="s">
        <v>246</v>
      </c>
      <c r="C17" s="2"/>
      <c r="D17" s="2"/>
      <c r="E17" s="2"/>
      <c r="F17" s="5" t="str">
        <f>IF(C17="Sí",5,IF(D17="No",1,IF(E17="N/A",0,"")))</f>
        <v/>
      </c>
      <c r="G17" s="3"/>
    </row>
    <row r="18" spans="1:7" x14ac:dyDescent="0.3">
      <c r="A18" s="2">
        <v>4</v>
      </c>
      <c r="B18" s="3" t="s">
        <v>247</v>
      </c>
      <c r="C18" s="2"/>
      <c r="D18" s="2"/>
      <c r="E18" s="2"/>
      <c r="F18" s="5" t="str">
        <f>IF(C18="Sí",5,IF(D18="No",1,IF(E18="N/A",0,"")))</f>
        <v/>
      </c>
      <c r="G18" s="3"/>
    </row>
    <row r="19" spans="1:7" x14ac:dyDescent="0.3">
      <c r="A19" s="2">
        <v>5</v>
      </c>
      <c r="B19" s="3" t="s">
        <v>248</v>
      </c>
      <c r="C19" s="2"/>
      <c r="D19" s="2"/>
      <c r="E19" s="2"/>
      <c r="F19" s="5" t="str">
        <f>IF(C19="Sí",5,IF(D19="No",1,IF(E19="N/A",0,"")))</f>
        <v/>
      </c>
      <c r="G19" s="3"/>
    </row>
    <row r="20" spans="1:7" x14ac:dyDescent="0.3">
      <c r="A20" s="18" t="s">
        <v>249</v>
      </c>
    </row>
    <row r="21" spans="1:7" x14ac:dyDescent="0.3">
      <c r="A21" s="2">
        <v>6</v>
      </c>
      <c r="B21" s="3" t="s">
        <v>250</v>
      </c>
      <c r="C21" s="2"/>
      <c r="D21" s="2"/>
      <c r="E21" s="2"/>
      <c r="F21" s="5" t="str">
        <f>IF(C21="Sí",5,IF(D21="No",1,IF(E21="N/A",0,"")))</f>
        <v/>
      </c>
      <c r="G21" s="3"/>
    </row>
    <row r="22" spans="1:7" x14ac:dyDescent="0.3">
      <c r="A22" s="2">
        <v>7</v>
      </c>
      <c r="B22" s="3" t="s">
        <v>251</v>
      </c>
      <c r="C22" s="2"/>
      <c r="D22" s="2"/>
      <c r="E22" s="2"/>
      <c r="F22" s="5" t="str">
        <f>IF(C22="Sí",5,IF(D22="No",1,IF(E22="N/A",0,"")))</f>
        <v/>
      </c>
      <c r="G22" s="3"/>
    </row>
    <row r="23" spans="1:7" x14ac:dyDescent="0.3">
      <c r="A23" s="2">
        <v>8</v>
      </c>
      <c r="B23" s="3" t="s">
        <v>252</v>
      </c>
      <c r="C23" s="2"/>
      <c r="D23" s="2"/>
      <c r="E23" s="2"/>
      <c r="F23" s="5" t="str">
        <f>IF(C23="Sí",5,IF(D23="No",1,IF(E23="N/A",0,"")))</f>
        <v/>
      </c>
      <c r="G23" s="3"/>
    </row>
    <row r="24" spans="1:7" x14ac:dyDescent="0.3">
      <c r="A24" s="2">
        <v>9</v>
      </c>
      <c r="B24" s="3" t="s">
        <v>253</v>
      </c>
      <c r="C24" s="2"/>
      <c r="D24" s="2"/>
      <c r="E24" s="2"/>
      <c r="F24" s="5" t="str">
        <f>IF(C24="Sí",5,IF(D24="No",1,IF(E24="N/A",0,"")))</f>
        <v/>
      </c>
      <c r="G24" s="3"/>
    </row>
    <row r="25" spans="1:7" x14ac:dyDescent="0.3">
      <c r="A25" s="2">
        <v>10</v>
      </c>
      <c r="B25" s="3" t="s">
        <v>254</v>
      </c>
      <c r="C25" s="2"/>
      <c r="D25" s="2"/>
      <c r="E25" s="2"/>
      <c r="F25" s="5" t="str">
        <f>IF(C25="Sí",5,IF(D25="No",1,IF(E25="N/A",0,"")))</f>
        <v/>
      </c>
      <c r="G25" s="3"/>
    </row>
    <row r="26" spans="1:7" x14ac:dyDescent="0.3">
      <c r="A26" s="18" t="s">
        <v>255</v>
      </c>
    </row>
    <row r="27" spans="1:7" x14ac:dyDescent="0.3">
      <c r="A27" s="2">
        <v>11</v>
      </c>
      <c r="B27" s="3" t="s">
        <v>256</v>
      </c>
      <c r="C27" s="2"/>
      <c r="D27" s="2"/>
      <c r="E27" s="2"/>
      <c r="F27" s="5" t="str">
        <f>IF(C27="Sí",5,IF(D27="No",1,IF(E27="N/A",0,"")))</f>
        <v/>
      </c>
      <c r="G27" s="3"/>
    </row>
    <row r="28" spans="1:7" x14ac:dyDescent="0.3">
      <c r="A28" s="2">
        <v>12</v>
      </c>
      <c r="B28" s="3" t="s">
        <v>257</v>
      </c>
      <c r="C28" s="2"/>
      <c r="D28" s="2"/>
      <c r="E28" s="2"/>
      <c r="F28" s="5" t="str">
        <f>IF(C28="Sí",5,IF(D28="No",1,IF(E28="N/A",0,"")))</f>
        <v/>
      </c>
      <c r="G28" s="3"/>
    </row>
    <row r="29" spans="1:7" x14ac:dyDescent="0.3">
      <c r="A29" s="2">
        <v>13</v>
      </c>
      <c r="B29" s="3" t="s">
        <v>258</v>
      </c>
      <c r="C29" s="2"/>
      <c r="D29" s="2"/>
      <c r="E29" s="2"/>
      <c r="F29" s="5" t="str">
        <f>IF(C29="Sí",5,IF(D29="No",1,IF(E29="N/A",0,"")))</f>
        <v/>
      </c>
      <c r="G29" s="3"/>
    </row>
    <row r="30" spans="1:7" x14ac:dyDescent="0.3">
      <c r="A30" s="2">
        <v>14</v>
      </c>
      <c r="B30" s="3" t="s">
        <v>259</v>
      </c>
      <c r="C30" s="2"/>
      <c r="D30" s="2"/>
      <c r="E30" s="2"/>
      <c r="F30" s="5" t="str">
        <f>IF(C30="Sí",5,IF(D30="No",1,IF(E30="N/A",0,"")))</f>
        <v/>
      </c>
      <c r="G30" s="3"/>
    </row>
    <row r="31" spans="1:7" x14ac:dyDescent="0.3">
      <c r="A31" s="18" t="s">
        <v>260</v>
      </c>
    </row>
    <row r="32" spans="1:7" x14ac:dyDescent="0.3">
      <c r="A32" s="2">
        <v>15</v>
      </c>
      <c r="B32" s="3" t="s">
        <v>261</v>
      </c>
      <c r="C32" s="2"/>
      <c r="D32" s="2"/>
      <c r="E32" s="2"/>
      <c r="F32" s="5" t="str">
        <f>IF(C32="Sí",5,IF(D32="No",1,IF(E32="N/A",0,"")))</f>
        <v/>
      </c>
      <c r="G32" s="3"/>
    </row>
    <row r="33" spans="1:7" x14ac:dyDescent="0.3">
      <c r="A33" s="2">
        <v>16</v>
      </c>
      <c r="B33" s="3" t="s">
        <v>262</v>
      </c>
      <c r="C33" s="2"/>
      <c r="D33" s="2"/>
      <c r="E33" s="2"/>
      <c r="F33" s="5" t="str">
        <f>IF(C33="Sí",5,IF(D33="No",1,IF(E33="N/A",0,"")))</f>
        <v/>
      </c>
      <c r="G33" s="3"/>
    </row>
    <row r="34" spans="1:7" x14ac:dyDescent="0.3">
      <c r="A34" s="2">
        <v>17</v>
      </c>
      <c r="B34" s="3" t="s">
        <v>263</v>
      </c>
      <c r="C34" s="2"/>
      <c r="D34" s="2"/>
      <c r="E34" s="2"/>
      <c r="F34" s="5" t="str">
        <f>IF(C34="Sí",5,IF(D34="No",1,IF(E34="N/A",0,"")))</f>
        <v/>
      </c>
      <c r="G34" s="3"/>
    </row>
    <row r="35" spans="1:7" x14ac:dyDescent="0.3">
      <c r="A35" s="2">
        <v>18</v>
      </c>
      <c r="B35" s="3" t="s">
        <v>264</v>
      </c>
      <c r="C35" s="2"/>
      <c r="D35" s="2"/>
      <c r="E35" s="2"/>
      <c r="F35" s="5" t="str">
        <f>IF(C35="Sí",5,IF(D35="No",1,IF(E35="N/A",0,"")))</f>
        <v/>
      </c>
      <c r="G35" s="3"/>
    </row>
    <row r="36" spans="1:7" x14ac:dyDescent="0.3">
      <c r="A36" s="18" t="s">
        <v>265</v>
      </c>
    </row>
    <row r="37" spans="1:7" x14ac:dyDescent="0.3">
      <c r="A37" s="2">
        <v>19</v>
      </c>
      <c r="B37" s="3" t="s">
        <v>266</v>
      </c>
      <c r="C37" s="2"/>
      <c r="D37" s="2"/>
      <c r="E37" s="2"/>
      <c r="F37" s="5" t="str">
        <f>IF(C37="Sí",5,IF(D37="No",1,IF(E37="N/A",0,"")))</f>
        <v/>
      </c>
      <c r="G37" s="3"/>
    </row>
    <row r="38" spans="1:7" x14ac:dyDescent="0.3">
      <c r="A38" s="2">
        <v>20</v>
      </c>
      <c r="B38" s="3" t="s">
        <v>267</v>
      </c>
      <c r="C38" s="2"/>
      <c r="D38" s="2"/>
      <c r="E38" s="2"/>
      <c r="F38" s="5" t="str">
        <f>IF(C38="Sí",5,IF(D38="No",1,IF(E38="N/A",0,"")))</f>
        <v/>
      </c>
      <c r="G38" s="3"/>
    </row>
    <row r="39" spans="1:7" x14ac:dyDescent="0.3">
      <c r="A39" s="2">
        <v>21</v>
      </c>
      <c r="B39" s="3" t="s">
        <v>268</v>
      </c>
      <c r="C39" s="2"/>
      <c r="D39" s="2"/>
      <c r="E39" s="2"/>
      <c r="F39" s="5" t="str">
        <f>IF(C39="Sí",5,IF(D39="No",1,IF(E39="N/A",0,"")))</f>
        <v/>
      </c>
      <c r="G39" s="3"/>
    </row>
    <row r="41" spans="1:7" x14ac:dyDescent="0.3">
      <c r="A41" s="18" t="s">
        <v>126</v>
      </c>
    </row>
    <row r="42" spans="1:7" ht="15.75" x14ac:dyDescent="0.3">
      <c r="A42" t="s">
        <v>269</v>
      </c>
      <c r="B42" s="14">
        <f>SUM(F14:F40)</f>
        <v>5</v>
      </c>
    </row>
    <row r="43" spans="1:7" ht="15.75" x14ac:dyDescent="0.3">
      <c r="A43" t="s">
        <v>129</v>
      </c>
      <c r="B43" s="8">
        <f>IF(COUNTIF(F14:F40,"&lt;&gt;0")*5&gt;0,B42/(COUNTIF(F14:F40,"&lt;&gt;0")*5),0)</f>
        <v>3.7037037037037035E-2</v>
      </c>
    </row>
    <row r="52" spans="1:7" x14ac:dyDescent="0.3">
      <c r="A52" s="35" t="s">
        <v>343</v>
      </c>
    </row>
    <row r="60" spans="1:7" x14ac:dyDescent="0.3">
      <c r="A60" s="28" t="s">
        <v>339</v>
      </c>
      <c r="B60" s="29"/>
      <c r="C60" s="29"/>
      <c r="F60" s="28" t="s">
        <v>340</v>
      </c>
      <c r="G60" s="29"/>
    </row>
    <row r="61" spans="1:7" x14ac:dyDescent="0.3">
      <c r="A61" s="30" t="s">
        <v>341</v>
      </c>
      <c r="F61" s="30" t="s">
        <v>341</v>
      </c>
    </row>
  </sheetData>
  <dataValidations count="1">
    <dataValidation type="list" allowBlank="1" prompt="Seleccione: Sí, No o N/A" sqref="C15:E19 C21:E25 C27:E30 C32:E35 C37:E39" xr:uid="{00000000-0002-0000-0700-000000000000}">
      <formula1>"Sí,No,N/A"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K46"/>
  <sheetViews>
    <sheetView workbookViewId="0">
      <selection activeCell="E4" sqref="E4:E7"/>
    </sheetView>
  </sheetViews>
  <sheetFormatPr baseColWidth="10" defaultColWidth="9.109375" defaultRowHeight="15.05" x14ac:dyDescent="0.3"/>
  <cols>
    <col min="1" max="1" width="8" customWidth="1"/>
    <col min="2" max="2" width="35" customWidth="1"/>
    <col min="3" max="3" width="18" customWidth="1"/>
    <col min="4" max="5" width="15" customWidth="1"/>
    <col min="6" max="6" width="18" customWidth="1"/>
    <col min="7" max="7" width="25" customWidth="1"/>
    <col min="8" max="8" width="40" customWidth="1"/>
    <col min="10" max="10" width="16.5546875" customWidth="1"/>
    <col min="11" max="11" width="11.5546875" customWidth="1"/>
  </cols>
  <sheetData>
    <row r="3" spans="1:11" ht="19" x14ac:dyDescent="0.3">
      <c r="K3" s="25" t="s">
        <v>17</v>
      </c>
    </row>
    <row r="4" spans="1:11" x14ac:dyDescent="0.3">
      <c r="E4" s="27" t="s">
        <v>349</v>
      </c>
    </row>
    <row r="5" spans="1:11" x14ac:dyDescent="0.3">
      <c r="E5" s="27" t="s">
        <v>350</v>
      </c>
      <c r="J5" s="26" t="s">
        <v>334</v>
      </c>
      <c r="K5" s="26"/>
    </row>
    <row r="6" spans="1:11" x14ac:dyDescent="0.3">
      <c r="E6" s="27" t="s">
        <v>351</v>
      </c>
      <c r="J6" s="26" t="s">
        <v>335</v>
      </c>
      <c r="K6" s="26"/>
    </row>
    <row r="7" spans="1:11" x14ac:dyDescent="0.3">
      <c r="E7" s="27" t="s">
        <v>352</v>
      </c>
      <c r="J7" s="26" t="s">
        <v>336</v>
      </c>
      <c r="K7" s="26"/>
    </row>
    <row r="8" spans="1:11" x14ac:dyDescent="0.3">
      <c r="J8" s="26" t="s">
        <v>337</v>
      </c>
      <c r="K8" s="26"/>
    </row>
    <row r="9" spans="1:11" ht="18.350000000000001" x14ac:dyDescent="0.35">
      <c r="D9" s="33" t="s">
        <v>270</v>
      </c>
    </row>
    <row r="10" spans="1:11" x14ac:dyDescent="0.3">
      <c r="D10" s="17" t="s">
        <v>271</v>
      </c>
    </row>
    <row r="13" spans="1:11" ht="20.3" customHeight="1" x14ac:dyDescent="0.3">
      <c r="A13" s="4" t="s">
        <v>24</v>
      </c>
      <c r="B13" s="37" t="s">
        <v>272</v>
      </c>
      <c r="C13" s="4" t="s">
        <v>273</v>
      </c>
      <c r="D13" s="4" t="s">
        <v>3</v>
      </c>
      <c r="E13" s="4" t="s">
        <v>274</v>
      </c>
      <c r="F13" s="4" t="s">
        <v>275</v>
      </c>
      <c r="G13" s="4" t="s">
        <v>200</v>
      </c>
      <c r="H13" s="4" t="s">
        <v>30</v>
      </c>
    </row>
    <row r="14" spans="1:11" x14ac:dyDescent="0.3">
      <c r="A14" s="2">
        <v>1</v>
      </c>
      <c r="B14" s="3"/>
      <c r="C14" s="3"/>
      <c r="D14" s="2" t="s">
        <v>295</v>
      </c>
      <c r="E14" s="3"/>
      <c r="F14" s="2" t="s">
        <v>317</v>
      </c>
      <c r="G14" s="2" t="s">
        <v>318</v>
      </c>
      <c r="H14" s="3"/>
    </row>
    <row r="15" spans="1:11" x14ac:dyDescent="0.3">
      <c r="A15" s="2">
        <v>2</v>
      </c>
      <c r="B15" s="3"/>
      <c r="C15" s="3"/>
      <c r="D15" s="2"/>
      <c r="E15" s="3"/>
      <c r="F15" s="2"/>
      <c r="G15" s="2"/>
      <c r="H15" s="3"/>
    </row>
    <row r="16" spans="1:11" x14ac:dyDescent="0.3">
      <c r="A16" s="2">
        <v>3</v>
      </c>
      <c r="B16" s="3"/>
      <c r="C16" s="3"/>
      <c r="D16" s="2"/>
      <c r="E16" s="3"/>
      <c r="F16" s="2"/>
      <c r="G16" s="2"/>
      <c r="H16" s="3"/>
    </row>
    <row r="17" spans="1:8" x14ac:dyDescent="0.3">
      <c r="A17" s="2">
        <v>4</v>
      </c>
      <c r="B17" s="3"/>
      <c r="C17" s="3"/>
      <c r="D17" s="2"/>
      <c r="E17" s="3"/>
      <c r="F17" s="2"/>
      <c r="G17" s="2"/>
      <c r="H17" s="3"/>
    </row>
    <row r="18" spans="1:8" x14ac:dyDescent="0.3">
      <c r="A18" s="2">
        <v>5</v>
      </c>
      <c r="B18" s="3"/>
      <c r="C18" s="3"/>
      <c r="D18" s="2"/>
      <c r="E18" s="3"/>
      <c r="F18" s="2"/>
      <c r="G18" s="2"/>
      <c r="H18" s="3"/>
    </row>
    <row r="19" spans="1:8" x14ac:dyDescent="0.3">
      <c r="A19" s="2">
        <v>6</v>
      </c>
      <c r="B19" s="3"/>
      <c r="C19" s="3"/>
      <c r="D19" s="2"/>
      <c r="E19" s="3"/>
      <c r="F19" s="2"/>
      <c r="G19" s="2"/>
      <c r="H19" s="3"/>
    </row>
    <row r="20" spans="1:8" x14ac:dyDescent="0.3">
      <c r="A20" s="2">
        <v>7</v>
      </c>
      <c r="B20" s="3"/>
      <c r="C20" s="3"/>
      <c r="D20" s="2"/>
      <c r="E20" s="3"/>
      <c r="F20" s="2"/>
      <c r="G20" s="2"/>
      <c r="H20" s="3"/>
    </row>
    <row r="21" spans="1:8" x14ac:dyDescent="0.3">
      <c r="A21" s="2">
        <v>8</v>
      </c>
      <c r="B21" s="3"/>
      <c r="C21" s="3"/>
      <c r="D21" s="2"/>
      <c r="E21" s="3"/>
      <c r="F21" s="2"/>
      <c r="G21" s="2"/>
      <c r="H21" s="3"/>
    </row>
    <row r="22" spans="1:8" x14ac:dyDescent="0.3">
      <c r="A22" s="2">
        <v>9</v>
      </c>
      <c r="B22" s="3"/>
      <c r="C22" s="3"/>
      <c r="D22" s="2"/>
      <c r="E22" s="3"/>
      <c r="F22" s="2"/>
      <c r="G22" s="2"/>
      <c r="H22" s="3"/>
    </row>
    <row r="23" spans="1:8" x14ac:dyDescent="0.3">
      <c r="A23" s="2">
        <v>10</v>
      </c>
      <c r="B23" s="3"/>
      <c r="C23" s="3"/>
      <c r="D23" s="2"/>
      <c r="E23" s="3"/>
      <c r="F23" s="2"/>
      <c r="G23" s="2"/>
      <c r="H23" s="3"/>
    </row>
    <row r="24" spans="1:8" x14ac:dyDescent="0.3">
      <c r="A24" s="2">
        <v>11</v>
      </c>
      <c r="B24" s="3"/>
      <c r="C24" s="3"/>
      <c r="D24" s="2"/>
      <c r="E24" s="3"/>
      <c r="F24" s="2"/>
      <c r="G24" s="2"/>
      <c r="H24" s="3"/>
    </row>
    <row r="25" spans="1:8" x14ac:dyDescent="0.3">
      <c r="A25" s="2">
        <v>12</v>
      </c>
      <c r="B25" s="3"/>
      <c r="C25" s="3"/>
      <c r="D25" s="2"/>
      <c r="E25" s="3"/>
      <c r="F25" s="2"/>
      <c r="G25" s="2"/>
      <c r="H25" s="3"/>
    </row>
    <row r="26" spans="1:8" x14ac:dyDescent="0.3">
      <c r="A26" s="2">
        <v>13</v>
      </c>
      <c r="B26" s="3"/>
      <c r="C26" s="3"/>
      <c r="D26" s="2"/>
      <c r="E26" s="3"/>
      <c r="F26" s="2"/>
      <c r="G26" s="2"/>
      <c r="H26" s="3"/>
    </row>
    <row r="27" spans="1:8" x14ac:dyDescent="0.3">
      <c r="A27" s="2">
        <v>14</v>
      </c>
      <c r="B27" s="3"/>
      <c r="C27" s="3"/>
      <c r="D27" s="2"/>
      <c r="E27" s="3"/>
      <c r="F27" s="2"/>
      <c r="G27" s="2"/>
      <c r="H27" s="3"/>
    </row>
    <row r="28" spans="1:8" x14ac:dyDescent="0.3">
      <c r="A28" s="2">
        <v>15</v>
      </c>
      <c r="B28" s="3"/>
      <c r="C28" s="3"/>
      <c r="D28" s="2"/>
      <c r="E28" s="3"/>
      <c r="F28" s="2"/>
      <c r="G28" s="2"/>
      <c r="H28" s="3"/>
    </row>
    <row r="29" spans="1:8" x14ac:dyDescent="0.3">
      <c r="A29" s="2">
        <v>16</v>
      </c>
      <c r="B29" s="3"/>
      <c r="C29" s="3"/>
      <c r="D29" s="2"/>
      <c r="E29" s="3"/>
      <c r="F29" s="2"/>
      <c r="G29" s="2"/>
      <c r="H29" s="3"/>
    </row>
    <row r="30" spans="1:8" x14ac:dyDescent="0.3">
      <c r="A30" s="2">
        <v>17</v>
      </c>
      <c r="B30" s="3"/>
      <c r="C30" s="3"/>
      <c r="D30" s="2"/>
      <c r="E30" s="3"/>
      <c r="F30" s="2"/>
      <c r="G30" s="2"/>
      <c r="H30" s="3"/>
    </row>
    <row r="31" spans="1:8" x14ac:dyDescent="0.3">
      <c r="A31" s="2">
        <v>18</v>
      </c>
      <c r="B31" s="3"/>
      <c r="C31" s="3"/>
      <c r="D31" s="2"/>
      <c r="E31" s="3"/>
      <c r="F31" s="2"/>
      <c r="G31" s="2"/>
      <c r="H31" s="3"/>
    </row>
    <row r="32" spans="1:8" x14ac:dyDescent="0.3">
      <c r="A32" s="2">
        <v>19</v>
      </c>
      <c r="B32" s="3"/>
      <c r="C32" s="3"/>
      <c r="D32" s="2"/>
      <c r="E32" s="3"/>
      <c r="F32" s="2"/>
      <c r="G32" s="2"/>
      <c r="H32" s="3"/>
    </row>
    <row r="33" spans="1:8" x14ac:dyDescent="0.3">
      <c r="A33" s="2">
        <v>20</v>
      </c>
      <c r="B33" s="3"/>
      <c r="C33" s="3"/>
      <c r="D33" s="2"/>
      <c r="E33" s="3"/>
      <c r="F33" s="2"/>
      <c r="G33" s="2"/>
      <c r="H33" s="3"/>
    </row>
    <row r="37" spans="1:8" x14ac:dyDescent="0.3">
      <c r="A37" s="35" t="s">
        <v>343</v>
      </c>
    </row>
    <row r="45" spans="1:8" x14ac:dyDescent="0.3">
      <c r="A45" s="28" t="s">
        <v>339</v>
      </c>
      <c r="B45" s="29"/>
      <c r="C45" s="29"/>
      <c r="F45" s="28" t="s">
        <v>340</v>
      </c>
      <c r="G45" s="29"/>
      <c r="H45" s="29"/>
    </row>
    <row r="46" spans="1:8" x14ac:dyDescent="0.3">
      <c r="A46" s="30" t="s">
        <v>341</v>
      </c>
      <c r="F46" s="30" t="s">
        <v>341</v>
      </c>
    </row>
  </sheetData>
  <dataValidations count="3">
    <dataValidation type="list" allowBlank="1" prompt="Tipo de tercero" sqref="D14:D33" xr:uid="{00000000-0002-0000-0800-000000000000}">
      <formula1>"Cliente,Proveedor,Empleado,Accionista,Otro"</formula1>
    </dataValidation>
    <dataValidation type="list" allowBlank="1" prompt="Lista consultada" sqref="F14:F33" xr:uid="{00000000-0002-0000-0800-000001000000}">
      <formula1>"OFAC,ONU,UE,PEP,Todas"</formula1>
    </dataValidation>
    <dataValidation type="list" allowBlank="1" prompt="Resultado de verificación" sqref="G14:G33" xr:uid="{00000000-0002-0000-0800-000002000000}">
      <formula1>"Sin Coincidencias,Con Coincidencias - Gestionado,Con Coincidencias - Pendiente,N/A"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K70"/>
  <sheetViews>
    <sheetView workbookViewId="0">
      <selection activeCell="F4" sqref="F4:F7"/>
    </sheetView>
  </sheetViews>
  <sheetFormatPr baseColWidth="10" defaultColWidth="9.109375" defaultRowHeight="15.05" x14ac:dyDescent="0.3"/>
  <cols>
    <col min="1" max="1" width="14" customWidth="1"/>
    <col min="2" max="2" width="45" customWidth="1"/>
    <col min="3" max="5" width="6" customWidth="1"/>
    <col min="6" max="6" width="12" customWidth="1"/>
    <col min="7" max="7" width="30" customWidth="1"/>
    <col min="8" max="8" width="40" customWidth="1"/>
    <col min="10" max="10" width="16.6640625" customWidth="1"/>
    <col min="11" max="11" width="10.6640625" customWidth="1"/>
  </cols>
  <sheetData>
    <row r="3" spans="1:11" ht="19" x14ac:dyDescent="0.3">
      <c r="K3" s="25" t="s">
        <v>19</v>
      </c>
    </row>
    <row r="4" spans="1:11" x14ac:dyDescent="0.3">
      <c r="F4" s="27" t="s">
        <v>349</v>
      </c>
    </row>
    <row r="5" spans="1:11" x14ac:dyDescent="0.3">
      <c r="F5" s="27" t="s">
        <v>350</v>
      </c>
      <c r="J5" s="26" t="s">
        <v>334</v>
      </c>
      <c r="K5" s="26"/>
    </row>
    <row r="6" spans="1:11" x14ac:dyDescent="0.3">
      <c r="F6" s="27" t="s">
        <v>351</v>
      </c>
      <c r="J6" s="26" t="s">
        <v>335</v>
      </c>
      <c r="K6" s="26"/>
    </row>
    <row r="7" spans="1:11" x14ac:dyDescent="0.3">
      <c r="F7" s="27" t="s">
        <v>352</v>
      </c>
      <c r="J7" s="26" t="s">
        <v>336</v>
      </c>
      <c r="K7" s="26"/>
    </row>
    <row r="8" spans="1:11" x14ac:dyDescent="0.3">
      <c r="F8" s="27"/>
      <c r="J8" s="26" t="s">
        <v>337</v>
      </c>
      <c r="K8" s="26"/>
    </row>
    <row r="9" spans="1:11" ht="18.350000000000001" x14ac:dyDescent="0.35">
      <c r="C9" s="33" t="s">
        <v>276</v>
      </c>
    </row>
    <row r="10" spans="1:11" x14ac:dyDescent="0.3">
      <c r="C10" s="17" t="s">
        <v>277</v>
      </c>
    </row>
    <row r="13" spans="1:11" x14ac:dyDescent="0.3">
      <c r="A13" s="4" t="s">
        <v>24</v>
      </c>
      <c r="B13" s="4" t="s">
        <v>278</v>
      </c>
      <c r="C13" s="4" t="s">
        <v>26</v>
      </c>
      <c r="D13" s="4" t="s">
        <v>27</v>
      </c>
      <c r="E13" s="4" t="s">
        <v>28</v>
      </c>
      <c r="F13" s="4" t="s">
        <v>29</v>
      </c>
      <c r="G13" s="4" t="s">
        <v>94</v>
      </c>
      <c r="H13" s="4" t="s">
        <v>30</v>
      </c>
    </row>
    <row r="14" spans="1:11" x14ac:dyDescent="0.3">
      <c r="A14" s="2">
        <v>1</v>
      </c>
      <c r="B14" s="3" t="s">
        <v>279</v>
      </c>
      <c r="C14" s="2" t="s">
        <v>26</v>
      </c>
      <c r="D14" s="2"/>
      <c r="E14" s="2"/>
      <c r="F14" s="5">
        <f t="shared" ref="F14:F25" si="0">IF(C14="Sí",5,IF(D14="No",1,IF(E14="N/A",0,"")))</f>
        <v>5</v>
      </c>
      <c r="G14" s="3"/>
      <c r="H14" s="3"/>
    </row>
    <row r="15" spans="1:11" x14ac:dyDescent="0.3">
      <c r="A15" s="2">
        <v>2</v>
      </c>
      <c r="B15" s="3" t="s">
        <v>280</v>
      </c>
      <c r="C15" s="2"/>
      <c r="D15" s="2"/>
      <c r="E15" s="2"/>
      <c r="F15" s="5" t="str">
        <f t="shared" si="0"/>
        <v/>
      </c>
      <c r="G15" s="3"/>
      <c r="H15" s="3"/>
    </row>
    <row r="16" spans="1:11" x14ac:dyDescent="0.3">
      <c r="A16" s="2">
        <v>3</v>
      </c>
      <c r="B16" s="3" t="s">
        <v>281</v>
      </c>
      <c r="C16" s="2"/>
      <c r="D16" s="2"/>
      <c r="E16" s="2"/>
      <c r="F16" s="5" t="str">
        <f t="shared" si="0"/>
        <v/>
      </c>
      <c r="G16" s="3"/>
      <c r="H16" s="3"/>
    </row>
    <row r="17" spans="1:8" x14ac:dyDescent="0.3">
      <c r="A17" s="2">
        <v>4</v>
      </c>
      <c r="B17" s="3" t="s">
        <v>282</v>
      </c>
      <c r="C17" s="2"/>
      <c r="D17" s="2"/>
      <c r="E17" s="2"/>
      <c r="F17" s="5" t="str">
        <f t="shared" si="0"/>
        <v/>
      </c>
      <c r="G17" s="3"/>
      <c r="H17" s="3"/>
    </row>
    <row r="18" spans="1:8" x14ac:dyDescent="0.3">
      <c r="A18" s="2">
        <v>5</v>
      </c>
      <c r="B18" s="3" t="s">
        <v>283</v>
      </c>
      <c r="C18" s="2"/>
      <c r="D18" s="2"/>
      <c r="E18" s="2"/>
      <c r="F18" s="5" t="str">
        <f t="shared" si="0"/>
        <v/>
      </c>
      <c r="G18" s="3"/>
      <c r="H18" s="3"/>
    </row>
    <row r="19" spans="1:8" x14ac:dyDescent="0.3">
      <c r="A19" s="2">
        <v>6</v>
      </c>
      <c r="B19" s="3" t="s">
        <v>284</v>
      </c>
      <c r="C19" s="2"/>
      <c r="D19" s="2"/>
      <c r="E19" s="2"/>
      <c r="F19" s="5" t="str">
        <f t="shared" si="0"/>
        <v/>
      </c>
      <c r="G19" s="3"/>
      <c r="H19" s="3"/>
    </row>
    <row r="20" spans="1:8" x14ac:dyDescent="0.3">
      <c r="A20" s="2">
        <v>7</v>
      </c>
      <c r="B20" s="3" t="s">
        <v>285</v>
      </c>
      <c r="C20" s="2"/>
      <c r="D20" s="2"/>
      <c r="E20" s="2"/>
      <c r="F20" s="5" t="str">
        <f t="shared" si="0"/>
        <v/>
      </c>
      <c r="G20" s="3"/>
      <c r="H20" s="3"/>
    </row>
    <row r="21" spans="1:8" x14ac:dyDescent="0.3">
      <c r="A21" s="2">
        <v>8</v>
      </c>
      <c r="B21" s="3" t="s">
        <v>286</v>
      </c>
      <c r="C21" s="2"/>
      <c r="D21" s="2"/>
      <c r="E21" s="2"/>
      <c r="F21" s="5" t="str">
        <f t="shared" si="0"/>
        <v/>
      </c>
      <c r="G21" s="3"/>
      <c r="H21" s="3"/>
    </row>
    <row r="22" spans="1:8" x14ac:dyDescent="0.3">
      <c r="A22" s="2">
        <v>9</v>
      </c>
      <c r="B22" s="3" t="s">
        <v>287</v>
      </c>
      <c r="C22" s="2"/>
      <c r="D22" s="2"/>
      <c r="E22" s="2"/>
      <c r="F22" s="5" t="str">
        <f t="shared" si="0"/>
        <v/>
      </c>
      <c r="G22" s="3"/>
      <c r="H22" s="3"/>
    </row>
    <row r="23" spans="1:8" x14ac:dyDescent="0.3">
      <c r="A23" s="2">
        <v>10</v>
      </c>
      <c r="B23" s="3" t="s">
        <v>288</v>
      </c>
      <c r="C23" s="2"/>
      <c r="D23" s="2"/>
      <c r="E23" s="2"/>
      <c r="F23" s="5" t="str">
        <f t="shared" si="0"/>
        <v/>
      </c>
      <c r="G23" s="3"/>
      <c r="H23" s="3"/>
    </row>
    <row r="24" spans="1:8" x14ac:dyDescent="0.3">
      <c r="A24" s="2">
        <v>11</v>
      </c>
      <c r="B24" s="3" t="s">
        <v>289</v>
      </c>
      <c r="C24" s="2"/>
      <c r="D24" s="2"/>
      <c r="E24" s="2"/>
      <c r="F24" s="5" t="str">
        <f t="shared" si="0"/>
        <v/>
      </c>
      <c r="G24" s="3"/>
      <c r="H24" s="3"/>
    </row>
    <row r="25" spans="1:8" x14ac:dyDescent="0.3">
      <c r="A25" s="2">
        <v>12</v>
      </c>
      <c r="B25" s="3" t="s">
        <v>290</v>
      </c>
      <c r="C25" s="2"/>
      <c r="D25" s="2"/>
      <c r="E25" s="2"/>
      <c r="F25" s="5" t="str">
        <f t="shared" si="0"/>
        <v/>
      </c>
      <c r="G25" s="3"/>
      <c r="H25" s="3"/>
    </row>
    <row r="27" spans="1:8" x14ac:dyDescent="0.3">
      <c r="A27" s="18" t="s">
        <v>126</v>
      </c>
    </row>
    <row r="28" spans="1:8" ht="15.75" x14ac:dyDescent="0.3">
      <c r="A28" t="s">
        <v>291</v>
      </c>
      <c r="B28" s="38">
        <f>SUM(F14:F26)</f>
        <v>5</v>
      </c>
    </row>
    <row r="36" spans="1:8" x14ac:dyDescent="0.3">
      <c r="A36" s="35" t="s">
        <v>343</v>
      </c>
    </row>
    <row r="44" spans="1:8" x14ac:dyDescent="0.3">
      <c r="A44" s="28" t="s">
        <v>339</v>
      </c>
      <c r="B44" s="29"/>
      <c r="C44" s="29"/>
      <c r="H44" s="32" t="s">
        <v>340</v>
      </c>
    </row>
    <row r="45" spans="1:8" x14ac:dyDescent="0.3">
      <c r="A45" s="30" t="s">
        <v>341</v>
      </c>
      <c r="H45" s="30" t="s">
        <v>341</v>
      </c>
    </row>
    <row r="70" spans="9:9" x14ac:dyDescent="0.3">
      <c r="I70" s="29"/>
    </row>
  </sheetData>
  <dataValidations count="1">
    <dataValidation type="list" allowBlank="1" prompt="Seleccione: Sí, No o N/A" sqref="C14:E25" xr:uid="{00000000-0002-0000-0900-000000000000}">
      <formula1>"Sí,No,N/A"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J41"/>
  <sheetViews>
    <sheetView workbookViewId="0">
      <selection activeCell="E4" sqref="E4:E7"/>
    </sheetView>
  </sheetViews>
  <sheetFormatPr baseColWidth="10" defaultColWidth="9.109375" defaultRowHeight="15.05" x14ac:dyDescent="0.3"/>
  <cols>
    <col min="1" max="1" width="12" customWidth="1"/>
    <col min="2" max="2" width="30" customWidth="1"/>
    <col min="3" max="3" width="35" customWidth="1"/>
    <col min="4" max="4" width="15" customWidth="1"/>
    <col min="5" max="5" width="22" customWidth="1"/>
    <col min="6" max="6" width="45" customWidth="1"/>
    <col min="7" max="7" width="18" customWidth="1"/>
    <col min="9" max="9" width="17.6640625" customWidth="1"/>
    <col min="10" max="10" width="11.33203125" customWidth="1"/>
  </cols>
  <sheetData>
    <row r="3" spans="1:10" ht="19" x14ac:dyDescent="0.3">
      <c r="J3" s="25" t="s">
        <v>20</v>
      </c>
    </row>
    <row r="4" spans="1:10" x14ac:dyDescent="0.3">
      <c r="E4" s="27" t="s">
        <v>349</v>
      </c>
    </row>
    <row r="5" spans="1:10" x14ac:dyDescent="0.3">
      <c r="E5" s="27" t="s">
        <v>350</v>
      </c>
      <c r="I5" s="26" t="s">
        <v>334</v>
      </c>
      <c r="J5" s="26"/>
    </row>
    <row r="6" spans="1:10" x14ac:dyDescent="0.3">
      <c r="E6" s="27" t="s">
        <v>351</v>
      </c>
      <c r="I6" s="26" t="s">
        <v>335</v>
      </c>
      <c r="J6" s="26"/>
    </row>
    <row r="7" spans="1:10" x14ac:dyDescent="0.3">
      <c r="E7" s="27" t="s">
        <v>352</v>
      </c>
      <c r="I7" s="26" t="s">
        <v>336</v>
      </c>
      <c r="J7" s="26"/>
    </row>
    <row r="8" spans="1:10" x14ac:dyDescent="0.3">
      <c r="E8" s="27"/>
      <c r="I8" s="26" t="s">
        <v>337</v>
      </c>
      <c r="J8" s="26"/>
    </row>
    <row r="9" spans="1:10" ht="18.350000000000001" x14ac:dyDescent="0.35">
      <c r="D9" s="33" t="s">
        <v>292</v>
      </c>
    </row>
    <row r="10" spans="1:10" x14ac:dyDescent="0.3">
      <c r="D10" s="17" t="s">
        <v>293</v>
      </c>
    </row>
    <row r="13" spans="1:10" ht="23.25" customHeight="1" x14ac:dyDescent="0.3">
      <c r="A13" s="4" t="s">
        <v>294</v>
      </c>
      <c r="B13" s="4" t="s">
        <v>295</v>
      </c>
      <c r="C13" s="4" t="s">
        <v>296</v>
      </c>
      <c r="D13" s="4" t="s">
        <v>297</v>
      </c>
      <c r="E13" s="4" t="s">
        <v>298</v>
      </c>
      <c r="F13" s="4" t="s">
        <v>299</v>
      </c>
      <c r="G13" s="4" t="s">
        <v>2</v>
      </c>
    </row>
    <row r="14" spans="1:10" x14ac:dyDescent="0.3">
      <c r="A14" s="2"/>
      <c r="B14" s="3"/>
      <c r="C14" s="3"/>
      <c r="D14" s="15"/>
      <c r="E14" s="2" t="s">
        <v>319</v>
      </c>
      <c r="F14" s="3"/>
      <c r="G14" s="2"/>
    </row>
    <row r="15" spans="1:10" x14ac:dyDescent="0.3">
      <c r="A15" s="2"/>
      <c r="B15" s="3"/>
      <c r="C15" s="3"/>
      <c r="D15" s="15"/>
      <c r="E15" s="2"/>
      <c r="F15" s="3"/>
      <c r="G15" s="2"/>
    </row>
    <row r="16" spans="1:10" x14ac:dyDescent="0.3">
      <c r="A16" s="2"/>
      <c r="B16" s="3"/>
      <c r="C16" s="3"/>
      <c r="D16" s="15"/>
      <c r="E16" s="2"/>
      <c r="F16" s="3"/>
      <c r="G16" s="2"/>
    </row>
    <row r="17" spans="1:7" x14ac:dyDescent="0.3">
      <c r="A17" s="2"/>
      <c r="B17" s="3"/>
      <c r="C17" s="3"/>
      <c r="D17" s="15"/>
      <c r="E17" s="2"/>
      <c r="F17" s="3"/>
      <c r="G17" s="2"/>
    </row>
    <row r="18" spans="1:7" x14ac:dyDescent="0.3">
      <c r="A18" s="2"/>
      <c r="B18" s="3"/>
      <c r="C18" s="3"/>
      <c r="D18" s="15"/>
      <c r="E18" s="2"/>
      <c r="F18" s="3"/>
      <c r="G18" s="2"/>
    </row>
    <row r="19" spans="1:7" x14ac:dyDescent="0.3">
      <c r="A19" s="2"/>
      <c r="B19" s="3"/>
      <c r="C19" s="3"/>
      <c r="D19" s="15"/>
      <c r="E19" s="2"/>
      <c r="F19" s="3"/>
      <c r="G19" s="2"/>
    </row>
    <row r="20" spans="1:7" x14ac:dyDescent="0.3">
      <c r="A20" s="2"/>
      <c r="B20" s="3"/>
      <c r="C20" s="3"/>
      <c r="D20" s="15"/>
      <c r="E20" s="2"/>
      <c r="F20" s="3"/>
      <c r="G20" s="2"/>
    </row>
    <row r="21" spans="1:7" x14ac:dyDescent="0.3">
      <c r="A21" s="2"/>
      <c r="B21" s="3"/>
      <c r="C21" s="3"/>
      <c r="D21" s="15"/>
      <c r="E21" s="2"/>
      <c r="F21" s="3"/>
      <c r="G21" s="2"/>
    </row>
    <row r="22" spans="1:7" x14ac:dyDescent="0.3">
      <c r="A22" s="2"/>
      <c r="B22" s="3"/>
      <c r="C22" s="3"/>
      <c r="D22" s="15"/>
      <c r="E22" s="2"/>
      <c r="F22" s="3"/>
      <c r="G22" s="2"/>
    </row>
    <row r="23" spans="1:7" x14ac:dyDescent="0.3">
      <c r="A23" s="2"/>
      <c r="B23" s="3"/>
      <c r="C23" s="3"/>
      <c r="D23" s="15"/>
      <c r="E23" s="2"/>
      <c r="F23" s="3"/>
      <c r="G23" s="2"/>
    </row>
    <row r="24" spans="1:7" x14ac:dyDescent="0.3">
      <c r="A24" s="2"/>
      <c r="B24" s="3"/>
      <c r="C24" s="3"/>
      <c r="D24" s="15"/>
      <c r="E24" s="2"/>
      <c r="F24" s="3"/>
      <c r="G24" s="2"/>
    </row>
    <row r="25" spans="1:7" x14ac:dyDescent="0.3">
      <c r="A25" s="2"/>
      <c r="B25" s="3"/>
      <c r="C25" s="3"/>
      <c r="D25" s="15"/>
      <c r="E25" s="2"/>
      <c r="F25" s="3"/>
      <c r="G25" s="2"/>
    </row>
    <row r="26" spans="1:7" x14ac:dyDescent="0.3">
      <c r="A26" s="2"/>
      <c r="B26" s="3"/>
      <c r="C26" s="3"/>
      <c r="D26" s="15"/>
      <c r="E26" s="2"/>
      <c r="F26" s="3"/>
      <c r="G26" s="2"/>
    </row>
    <row r="27" spans="1:7" x14ac:dyDescent="0.3">
      <c r="A27" s="2"/>
      <c r="B27" s="3"/>
      <c r="C27" s="3"/>
      <c r="D27" s="15"/>
      <c r="E27" s="2"/>
      <c r="F27" s="3"/>
      <c r="G27" s="2"/>
    </row>
    <row r="28" spans="1:7" x14ac:dyDescent="0.3">
      <c r="A28" s="2"/>
      <c r="B28" s="3"/>
      <c r="C28" s="3"/>
      <c r="D28" s="15"/>
      <c r="E28" s="2"/>
      <c r="F28" s="3"/>
      <c r="G28" s="2"/>
    </row>
    <row r="32" spans="1:7" x14ac:dyDescent="0.3">
      <c r="A32" s="35" t="s">
        <v>343</v>
      </c>
    </row>
    <row r="40" spans="1:6" x14ac:dyDescent="0.3">
      <c r="A40" s="28" t="s">
        <v>339</v>
      </c>
      <c r="B40" s="29"/>
      <c r="C40" s="29"/>
      <c r="E40" s="28" t="s">
        <v>340</v>
      </c>
      <c r="F40" s="29"/>
    </row>
    <row r="41" spans="1:6" x14ac:dyDescent="0.3">
      <c r="A41" s="30" t="s">
        <v>341</v>
      </c>
      <c r="E41" s="30" t="s">
        <v>341</v>
      </c>
    </row>
  </sheetData>
  <dataValidations count="2">
    <dataValidation type="list" allowBlank="1" prompt="Tipo de alerta" sqref="E14:E28" xr:uid="{00000000-0002-0000-0A00-000000000000}">
      <formula1>"Montos Inusuales,Fraccionamiento,Inconsistencia Perfil,Actividad Atípica,Sin Alerta"</formula1>
    </dataValidation>
    <dataValidation type="list" allowBlank="1" prompt="Estado de la operación" sqref="G14:G28" xr:uid="{00000000-0002-0000-0A00-000001000000}">
      <formula1>"En Análisis,Justificado,Reportado UIAF,Archivado"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J44"/>
  <sheetViews>
    <sheetView workbookViewId="0">
      <selection activeCell="F4" sqref="F4:F7"/>
    </sheetView>
  </sheetViews>
  <sheetFormatPr baseColWidth="10" defaultColWidth="9.109375" defaultRowHeight="15.05" x14ac:dyDescent="0.3"/>
  <cols>
    <col min="1" max="1" width="16.44140625" customWidth="1"/>
    <col min="2" max="2" width="55" customWidth="1"/>
    <col min="3" max="5" width="6" customWidth="1"/>
    <col min="6" max="6" width="12" customWidth="1"/>
    <col min="7" max="7" width="40" customWidth="1"/>
    <col min="9" max="9" width="17.6640625" customWidth="1"/>
    <col min="10" max="10" width="10.109375" customWidth="1"/>
  </cols>
  <sheetData>
    <row r="3" spans="1:10" ht="19" x14ac:dyDescent="0.3">
      <c r="J3" s="25" t="s">
        <v>22</v>
      </c>
    </row>
    <row r="4" spans="1:10" x14ac:dyDescent="0.3">
      <c r="F4" s="27" t="s">
        <v>349</v>
      </c>
    </row>
    <row r="5" spans="1:10" x14ac:dyDescent="0.3">
      <c r="F5" s="27" t="s">
        <v>350</v>
      </c>
      <c r="I5" s="26" t="s">
        <v>334</v>
      </c>
      <c r="J5" s="26"/>
    </row>
    <row r="6" spans="1:10" x14ac:dyDescent="0.3">
      <c r="F6" s="27" t="s">
        <v>351</v>
      </c>
      <c r="I6" s="26" t="s">
        <v>335</v>
      </c>
      <c r="J6" s="26"/>
    </row>
    <row r="7" spans="1:10" x14ac:dyDescent="0.3">
      <c r="F7" s="27" t="s">
        <v>352</v>
      </c>
      <c r="I7" s="26" t="s">
        <v>336</v>
      </c>
      <c r="J7" s="26"/>
    </row>
    <row r="8" spans="1:10" x14ac:dyDescent="0.3">
      <c r="I8" s="26" t="s">
        <v>337</v>
      </c>
      <c r="J8" s="26"/>
    </row>
    <row r="9" spans="1:10" ht="18.350000000000001" x14ac:dyDescent="0.35">
      <c r="C9" s="33" t="s">
        <v>300</v>
      </c>
    </row>
    <row r="10" spans="1:10" x14ac:dyDescent="0.3">
      <c r="C10" s="17" t="s">
        <v>301</v>
      </c>
    </row>
    <row r="13" spans="1:10" x14ac:dyDescent="0.3">
      <c r="A13" s="4" t="s">
        <v>24</v>
      </c>
      <c r="B13" s="4" t="s">
        <v>302</v>
      </c>
      <c r="C13" s="4" t="s">
        <v>26</v>
      </c>
      <c r="D13" s="4" t="s">
        <v>27</v>
      </c>
      <c r="E13" s="4" t="s">
        <v>28</v>
      </c>
      <c r="F13" s="4" t="s">
        <v>29</v>
      </c>
      <c r="G13" s="4" t="s">
        <v>30</v>
      </c>
    </row>
    <row r="14" spans="1:10" x14ac:dyDescent="0.3">
      <c r="A14" s="2">
        <v>1</v>
      </c>
      <c r="B14" s="3" t="s">
        <v>303</v>
      </c>
      <c r="C14" s="2" t="s">
        <v>26</v>
      </c>
      <c r="D14" s="2"/>
      <c r="E14" s="2"/>
      <c r="F14" s="5">
        <f t="shared" ref="F14:F23" si="0">IF(C14="Sí",5,IF(D14="No",1,IF(E14="N/A",0,"")))</f>
        <v>5</v>
      </c>
      <c r="G14" s="3"/>
    </row>
    <row r="15" spans="1:10" x14ac:dyDescent="0.3">
      <c r="A15" s="2">
        <v>2</v>
      </c>
      <c r="B15" s="3" t="s">
        <v>304</v>
      </c>
      <c r="C15" s="2"/>
      <c r="D15" s="2"/>
      <c r="E15" s="2"/>
      <c r="F15" s="5" t="str">
        <f t="shared" si="0"/>
        <v/>
      </c>
      <c r="G15" s="3"/>
    </row>
    <row r="16" spans="1:10" x14ac:dyDescent="0.3">
      <c r="A16" s="2">
        <v>3</v>
      </c>
      <c r="B16" s="3" t="s">
        <v>305</v>
      </c>
      <c r="C16" s="2"/>
      <c r="D16" s="2"/>
      <c r="E16" s="2"/>
      <c r="F16" s="5" t="str">
        <f t="shared" si="0"/>
        <v/>
      </c>
      <c r="G16" s="3"/>
    </row>
    <row r="17" spans="1:7" x14ac:dyDescent="0.3">
      <c r="A17" s="2">
        <v>4</v>
      </c>
      <c r="B17" s="3" t="s">
        <v>306</v>
      </c>
      <c r="C17" s="2"/>
      <c r="D17" s="2"/>
      <c r="E17" s="2"/>
      <c r="F17" s="5" t="str">
        <f t="shared" si="0"/>
        <v/>
      </c>
      <c r="G17" s="3"/>
    </row>
    <row r="18" spans="1:7" x14ac:dyDescent="0.3">
      <c r="A18" s="2">
        <v>5</v>
      </c>
      <c r="B18" s="3" t="s">
        <v>307</v>
      </c>
      <c r="C18" s="2"/>
      <c r="D18" s="2"/>
      <c r="E18" s="2"/>
      <c r="F18" s="5" t="str">
        <f t="shared" si="0"/>
        <v/>
      </c>
      <c r="G18" s="3"/>
    </row>
    <row r="19" spans="1:7" x14ac:dyDescent="0.3">
      <c r="A19" s="2">
        <v>6</v>
      </c>
      <c r="B19" s="3" t="s">
        <v>308</v>
      </c>
      <c r="C19" s="2"/>
      <c r="D19" s="2"/>
      <c r="E19" s="2"/>
      <c r="F19" s="5" t="str">
        <f t="shared" si="0"/>
        <v/>
      </c>
      <c r="G19" s="3"/>
    </row>
    <row r="20" spans="1:7" x14ac:dyDescent="0.3">
      <c r="A20" s="2">
        <v>7</v>
      </c>
      <c r="B20" s="3" t="s">
        <v>309</v>
      </c>
      <c r="C20" s="2"/>
      <c r="D20" s="2"/>
      <c r="E20" s="2"/>
      <c r="F20" s="5" t="str">
        <f t="shared" si="0"/>
        <v/>
      </c>
      <c r="G20" s="3"/>
    </row>
    <row r="21" spans="1:7" x14ac:dyDescent="0.3">
      <c r="A21" s="2">
        <v>8</v>
      </c>
      <c r="B21" s="3" t="s">
        <v>310</v>
      </c>
      <c r="C21" s="2"/>
      <c r="D21" s="2"/>
      <c r="E21" s="2"/>
      <c r="F21" s="5" t="str">
        <f t="shared" si="0"/>
        <v/>
      </c>
      <c r="G21" s="3"/>
    </row>
    <row r="22" spans="1:7" x14ac:dyDescent="0.3">
      <c r="A22" s="2">
        <v>9</v>
      </c>
      <c r="B22" s="3" t="s">
        <v>311</v>
      </c>
      <c r="C22" s="2"/>
      <c r="D22" s="2"/>
      <c r="E22" s="2"/>
      <c r="F22" s="5" t="str">
        <f t="shared" si="0"/>
        <v/>
      </c>
      <c r="G22" s="3"/>
    </row>
    <row r="23" spans="1:7" x14ac:dyDescent="0.3">
      <c r="A23" s="2">
        <v>10</v>
      </c>
      <c r="B23" s="3" t="s">
        <v>312</v>
      </c>
      <c r="C23" s="2"/>
      <c r="D23" s="2"/>
      <c r="E23" s="2"/>
      <c r="F23" s="5" t="str">
        <f t="shared" si="0"/>
        <v/>
      </c>
      <c r="G23" s="3"/>
    </row>
    <row r="25" spans="1:7" x14ac:dyDescent="0.3">
      <c r="A25" s="18" t="s">
        <v>126</v>
      </c>
    </row>
    <row r="26" spans="1:7" ht="15.75" x14ac:dyDescent="0.3">
      <c r="A26" t="s">
        <v>291</v>
      </c>
      <c r="B26" s="14">
        <f>SUM(F14:F24)</f>
        <v>5</v>
      </c>
    </row>
    <row r="27" spans="1:7" ht="15.75" x14ac:dyDescent="0.3">
      <c r="A27" t="s">
        <v>129</v>
      </c>
      <c r="B27" s="8">
        <f>IF(COUNTIF(F14:F24,"&lt;&gt;0")*5&gt;0,B26/(COUNTIF(F14:F24,"&lt;&gt;0")*5),0)</f>
        <v>9.0909090909090912E-2</v>
      </c>
    </row>
    <row r="35" spans="1:7" x14ac:dyDescent="0.3">
      <c r="A35" s="35" t="s">
        <v>343</v>
      </c>
    </row>
    <row r="43" spans="1:7" x14ac:dyDescent="0.3">
      <c r="A43" s="28" t="s">
        <v>339</v>
      </c>
      <c r="B43" s="29"/>
      <c r="C43" s="29"/>
      <c r="F43" s="28" t="s">
        <v>340</v>
      </c>
      <c r="G43" s="29"/>
    </row>
    <row r="44" spans="1:7" x14ac:dyDescent="0.3">
      <c r="A44" s="30" t="s">
        <v>341</v>
      </c>
      <c r="F44" s="30" t="s">
        <v>341</v>
      </c>
    </row>
  </sheetData>
  <dataValidations count="1">
    <dataValidation type="list" allowBlank="1" prompt="Seleccione: Sí, No o N/A" sqref="C14:E25" xr:uid="{00000000-0002-0000-0B00-000000000000}">
      <formula1>"Sí,No,N/A"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ÍNDICE</vt:lpstr>
      <vt:lpstr>K-1</vt:lpstr>
      <vt:lpstr>K-2</vt:lpstr>
      <vt:lpstr>K-3</vt:lpstr>
      <vt:lpstr>K-4</vt:lpstr>
      <vt:lpstr>K-5</vt:lpstr>
      <vt:lpstr>K-6</vt:lpstr>
      <vt:lpstr>K-7</vt:lpstr>
      <vt:lpstr>K-7.1</vt:lpstr>
      <vt:lpstr>K-7.2</vt:lpstr>
      <vt:lpstr>K-7.3</vt:lpstr>
      <vt:lpstr>K-8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Ángel</cp:lastModifiedBy>
  <dcterms:created xsi:type="dcterms:W3CDTF">2025-11-14T12:15:26Z</dcterms:created>
  <dcterms:modified xsi:type="dcterms:W3CDTF">2025-12-08T02:32:44Z</dcterms:modified>
</cp:coreProperties>
</file>